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NSPIRON\Downloads\"/>
    </mc:Choice>
  </mc:AlternateContent>
  <xr:revisionPtr revIDLastSave="0" documentId="13_ncr:1_{86D2B048-0EB6-4D64-9891-E5EC8C0C3581}" xr6:coauthVersionLast="47" xr6:coauthVersionMax="47" xr10:uidLastSave="{00000000-0000-0000-0000-000000000000}"/>
  <bookViews>
    <workbookView xWindow="-120" yWindow="-120" windowWidth="20730" windowHeight="11160" tabRatio="821" activeTab="4" xr2:uid="{00000000-000D-0000-FFFF-FFFF00000000}"/>
  </bookViews>
  <sheets>
    <sheet name="WASTAGE - EXTRUSION" sheetId="1" r:id="rId1"/>
    <sheet name="WASTAGE- PRINTING LAMINTAION SL" sheetId="2" r:id="rId2"/>
    <sheet name="WASTAGE - POUCHING" sheetId="3" r:id="rId3"/>
    <sheet name="WASTAGE - PVC" sheetId="4" r:id="rId4"/>
    <sheet name="WASTAGE - WPP" sheetId="5" r:id="rId5"/>
  </sheets>
  <definedNames>
    <definedName name="_xlnm._FilterDatabase" localSheetId="0" hidden="1">'WASTAGE - EXTRUSION'!$A$1:$S$263</definedName>
    <definedName name="_xlnm._FilterDatabase" localSheetId="4" hidden="1">'WASTAGE - WPP'!$A$1:$I$1025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25" i="5" l="1"/>
  <c r="H1024" i="5"/>
  <c r="H1023" i="5"/>
  <c r="H1022" i="5"/>
  <c r="H1021" i="5"/>
  <c r="H1020" i="5"/>
  <c r="H1019" i="5"/>
  <c r="H1018" i="5"/>
  <c r="H1017" i="5"/>
  <c r="H1016" i="5"/>
  <c r="H1015" i="5"/>
  <c r="H1014" i="5"/>
  <c r="H1013" i="5"/>
  <c r="H1012" i="5"/>
  <c r="H1011" i="5"/>
  <c r="H1010" i="5"/>
  <c r="H1009" i="5"/>
  <c r="H1008" i="5"/>
  <c r="H1007" i="5"/>
  <c r="H1006" i="5"/>
  <c r="H1005" i="5"/>
  <c r="H1004" i="5"/>
  <c r="H1003" i="5"/>
  <c r="H1002" i="5"/>
  <c r="H1001" i="5"/>
  <c r="H1000" i="5"/>
  <c r="H999" i="5"/>
  <c r="H998" i="5"/>
  <c r="H997" i="5"/>
  <c r="H996" i="5"/>
  <c r="H995" i="5"/>
  <c r="H994" i="5"/>
  <c r="H993" i="5"/>
  <c r="H992" i="5"/>
  <c r="H991" i="5"/>
  <c r="H990" i="5"/>
  <c r="H989" i="5"/>
  <c r="H988" i="5"/>
  <c r="H987" i="5"/>
  <c r="H986" i="5"/>
  <c r="H985" i="5"/>
  <c r="H984" i="5"/>
  <c r="H983" i="5"/>
  <c r="H982" i="5"/>
  <c r="H981" i="5"/>
  <c r="H980" i="5"/>
  <c r="H979" i="5"/>
  <c r="H978" i="5"/>
  <c r="H977" i="5"/>
  <c r="H976" i="5"/>
  <c r="H975" i="5"/>
  <c r="H974" i="5"/>
  <c r="H973" i="5"/>
  <c r="H972" i="5"/>
  <c r="H971" i="5"/>
  <c r="H970" i="5"/>
  <c r="H969" i="5"/>
  <c r="H968" i="5"/>
  <c r="H967" i="5"/>
  <c r="H966" i="5"/>
  <c r="H965" i="5"/>
  <c r="H964" i="5"/>
  <c r="H963" i="5"/>
  <c r="H962" i="5"/>
  <c r="H961" i="5"/>
  <c r="H960" i="5"/>
  <c r="H959" i="5"/>
  <c r="H958" i="5"/>
  <c r="H957" i="5"/>
  <c r="H956" i="5"/>
  <c r="H955" i="5"/>
  <c r="H954" i="5"/>
  <c r="H953" i="5"/>
  <c r="H952" i="5"/>
  <c r="H951" i="5"/>
  <c r="H950" i="5"/>
  <c r="H949" i="5"/>
  <c r="H948" i="5"/>
  <c r="H947" i="5"/>
  <c r="H946" i="5"/>
  <c r="H945" i="5"/>
  <c r="H944" i="5"/>
  <c r="H943" i="5"/>
  <c r="H942" i="5"/>
  <c r="H941" i="5"/>
  <c r="H940" i="5"/>
  <c r="H939" i="5"/>
  <c r="H938" i="5"/>
  <c r="H937" i="5"/>
  <c r="H936" i="5"/>
  <c r="H935" i="5"/>
  <c r="H934" i="5"/>
  <c r="H933" i="5"/>
  <c r="H932" i="5"/>
  <c r="H931" i="5"/>
  <c r="H930" i="5"/>
  <c r="H929" i="5"/>
  <c r="H928" i="5"/>
  <c r="H927" i="5"/>
  <c r="H926" i="5"/>
  <c r="H925" i="5"/>
  <c r="H924" i="5"/>
  <c r="H923" i="5"/>
  <c r="H922" i="5"/>
  <c r="H921" i="5"/>
  <c r="H920" i="5"/>
  <c r="H919" i="5"/>
  <c r="H918" i="5"/>
  <c r="H917" i="5"/>
  <c r="H916" i="5"/>
  <c r="H915" i="5"/>
  <c r="H914" i="5"/>
  <c r="H913" i="5"/>
  <c r="H912" i="5"/>
  <c r="H911" i="5"/>
  <c r="H910" i="5"/>
  <c r="H909" i="5"/>
  <c r="H908" i="5"/>
  <c r="H907" i="5"/>
  <c r="H906" i="5"/>
  <c r="H905" i="5"/>
  <c r="H904" i="5"/>
  <c r="H903" i="5"/>
  <c r="H902" i="5"/>
  <c r="H901" i="5"/>
  <c r="H900" i="5"/>
  <c r="H899" i="5"/>
  <c r="H898" i="5"/>
  <c r="H897" i="5"/>
  <c r="H896" i="5"/>
  <c r="H895" i="5"/>
  <c r="H894" i="5"/>
  <c r="H893" i="5"/>
  <c r="H892" i="5"/>
  <c r="H891" i="5"/>
  <c r="H890" i="5"/>
  <c r="H889" i="5"/>
  <c r="H888" i="5"/>
  <c r="H887" i="5"/>
  <c r="H886" i="5"/>
  <c r="H885" i="5"/>
  <c r="H884" i="5"/>
  <c r="H883" i="5"/>
  <c r="H882" i="5"/>
  <c r="H881" i="5"/>
  <c r="H880" i="5"/>
  <c r="H879" i="5"/>
  <c r="H878" i="5"/>
  <c r="H877" i="5"/>
  <c r="H876" i="5"/>
  <c r="H875" i="5"/>
  <c r="H874" i="5"/>
  <c r="H873" i="5"/>
  <c r="H872" i="5"/>
  <c r="H871" i="5"/>
  <c r="H870" i="5"/>
  <c r="H869" i="5"/>
  <c r="H868" i="5"/>
  <c r="H867" i="5"/>
  <c r="H866" i="5"/>
  <c r="H865" i="5"/>
  <c r="H864" i="5"/>
  <c r="H863" i="5"/>
  <c r="H862" i="5"/>
  <c r="H861" i="5"/>
  <c r="H860" i="5"/>
  <c r="H859" i="5"/>
  <c r="H858" i="5"/>
  <c r="H857" i="5"/>
  <c r="H856" i="5"/>
  <c r="H855" i="5"/>
  <c r="H854" i="5"/>
  <c r="H853" i="5"/>
  <c r="H852" i="5"/>
  <c r="H851" i="5"/>
  <c r="H850" i="5"/>
  <c r="H849" i="5"/>
  <c r="H848" i="5"/>
  <c r="H847" i="5"/>
  <c r="H846" i="5"/>
  <c r="H845" i="5"/>
  <c r="H844" i="5"/>
  <c r="H843" i="5"/>
  <c r="H842" i="5"/>
  <c r="H841" i="5"/>
  <c r="H840" i="5"/>
  <c r="H839" i="5"/>
  <c r="H838" i="5"/>
  <c r="H837" i="5"/>
  <c r="H836" i="5"/>
  <c r="H835" i="5"/>
  <c r="H834" i="5"/>
  <c r="H833" i="5"/>
  <c r="H832" i="5"/>
  <c r="H831" i="5"/>
  <c r="H830" i="5"/>
  <c r="H829" i="5"/>
  <c r="H828" i="5"/>
  <c r="H827" i="5"/>
  <c r="H826" i="5"/>
  <c r="H825" i="5"/>
  <c r="H824" i="5"/>
  <c r="H823" i="5"/>
  <c r="H822" i="5"/>
  <c r="H821" i="5"/>
  <c r="H820" i="5"/>
  <c r="H819" i="5"/>
  <c r="H818" i="5"/>
  <c r="H817" i="5"/>
  <c r="H816" i="5"/>
  <c r="H815" i="5"/>
  <c r="H814" i="5"/>
  <c r="H813" i="5"/>
  <c r="H812" i="5"/>
  <c r="H811" i="5"/>
  <c r="H810" i="5"/>
  <c r="H809" i="5"/>
  <c r="H808" i="5"/>
  <c r="H807" i="5"/>
  <c r="H806" i="5"/>
  <c r="H805" i="5"/>
  <c r="H804" i="5"/>
  <c r="H803" i="5"/>
  <c r="H802" i="5"/>
  <c r="H801" i="5"/>
  <c r="H800" i="5"/>
  <c r="H799" i="5"/>
  <c r="H798" i="5"/>
  <c r="H797" i="5"/>
  <c r="H796" i="5"/>
  <c r="H795" i="5"/>
  <c r="H794" i="5"/>
  <c r="H793" i="5"/>
  <c r="H792" i="5"/>
  <c r="H791" i="5"/>
  <c r="H790" i="5"/>
  <c r="H789" i="5"/>
  <c r="H788" i="5"/>
  <c r="H787" i="5"/>
  <c r="H786" i="5"/>
  <c r="H785" i="5"/>
  <c r="H784" i="5"/>
  <c r="H783" i="5"/>
  <c r="H782" i="5"/>
  <c r="H781" i="5"/>
  <c r="H780" i="5"/>
  <c r="H779" i="5"/>
  <c r="H778" i="5"/>
  <c r="H777" i="5"/>
  <c r="H776" i="5"/>
  <c r="H775" i="5"/>
  <c r="H774" i="5"/>
  <c r="H773" i="5"/>
  <c r="H772" i="5"/>
  <c r="H771" i="5"/>
  <c r="H770" i="5"/>
  <c r="H769" i="5"/>
  <c r="H768" i="5"/>
  <c r="H767" i="5"/>
  <c r="H766" i="5"/>
  <c r="H765" i="5"/>
  <c r="H764" i="5"/>
  <c r="H763" i="5"/>
  <c r="H762" i="5"/>
  <c r="H761" i="5"/>
  <c r="H760" i="5"/>
  <c r="H759" i="5"/>
  <c r="H758" i="5"/>
  <c r="H757" i="5"/>
  <c r="H756" i="5"/>
  <c r="H755" i="5"/>
  <c r="H754" i="5"/>
  <c r="H753" i="5"/>
  <c r="H752" i="5"/>
  <c r="H751" i="5"/>
  <c r="H750" i="5"/>
  <c r="H749" i="5"/>
  <c r="H748" i="5"/>
  <c r="H747" i="5"/>
  <c r="H746" i="5"/>
  <c r="H745" i="5"/>
  <c r="H744" i="5"/>
  <c r="H743" i="5"/>
  <c r="H742" i="5"/>
  <c r="H741" i="5"/>
  <c r="H740" i="5"/>
  <c r="H739" i="5"/>
  <c r="H738" i="5"/>
  <c r="H737" i="5"/>
  <c r="H736" i="5"/>
  <c r="H735" i="5"/>
  <c r="H734" i="5"/>
  <c r="H733" i="5"/>
  <c r="H732" i="5"/>
  <c r="H731" i="5"/>
  <c r="H730" i="5"/>
  <c r="H729" i="5"/>
  <c r="H728" i="5"/>
  <c r="H727" i="5"/>
  <c r="H726" i="5"/>
  <c r="H725" i="5"/>
  <c r="H724" i="5"/>
  <c r="H723" i="5"/>
  <c r="H722" i="5"/>
  <c r="H721" i="5"/>
  <c r="H720" i="5"/>
  <c r="H719" i="5"/>
  <c r="H718" i="5"/>
  <c r="H717" i="5"/>
  <c r="H716" i="5"/>
  <c r="H715" i="5"/>
  <c r="H714" i="5"/>
  <c r="H713" i="5"/>
  <c r="H712" i="5"/>
  <c r="H711" i="5"/>
  <c r="H710" i="5"/>
  <c r="H709" i="5"/>
  <c r="H708" i="5"/>
  <c r="H707" i="5"/>
  <c r="H706" i="5"/>
  <c r="H705" i="5"/>
  <c r="H704" i="5"/>
  <c r="H703" i="5"/>
  <c r="H702" i="5"/>
  <c r="H701" i="5"/>
  <c r="H700" i="5"/>
  <c r="H699" i="5"/>
  <c r="H698" i="5"/>
  <c r="H697" i="5"/>
  <c r="H696" i="5"/>
  <c r="H695" i="5"/>
  <c r="H694" i="5"/>
  <c r="H693" i="5"/>
  <c r="H692" i="5"/>
  <c r="H691" i="5"/>
  <c r="H690" i="5"/>
  <c r="H689" i="5"/>
  <c r="H688" i="5"/>
  <c r="H687" i="5"/>
  <c r="H686" i="5"/>
  <c r="H685" i="5"/>
  <c r="H684" i="5"/>
  <c r="H683" i="5"/>
  <c r="H682" i="5"/>
  <c r="H681" i="5"/>
  <c r="H680" i="5"/>
  <c r="H679" i="5"/>
  <c r="H678" i="5"/>
  <c r="H677" i="5"/>
  <c r="H676" i="5"/>
  <c r="H675" i="5"/>
  <c r="H674" i="5"/>
  <c r="H673" i="5"/>
  <c r="H672" i="5"/>
  <c r="H671" i="5"/>
  <c r="H670" i="5"/>
  <c r="H669" i="5"/>
  <c r="H668" i="5"/>
  <c r="H667" i="5"/>
  <c r="H666" i="5"/>
  <c r="H665" i="5"/>
  <c r="H664" i="5"/>
  <c r="H663" i="5"/>
  <c r="H662" i="5"/>
  <c r="H661" i="5"/>
  <c r="H660" i="5"/>
  <c r="H659" i="5"/>
  <c r="H658" i="5"/>
  <c r="H657" i="5"/>
  <c r="H656" i="5"/>
  <c r="H655" i="5"/>
  <c r="H654" i="5"/>
  <c r="H653" i="5"/>
  <c r="H652" i="5"/>
  <c r="H651" i="5"/>
  <c r="H650" i="5"/>
  <c r="H649" i="5"/>
  <c r="H648" i="5"/>
  <c r="H647" i="5"/>
  <c r="H646" i="5"/>
  <c r="H645" i="5"/>
  <c r="H644" i="5"/>
  <c r="H643" i="5"/>
  <c r="H642" i="5"/>
  <c r="H641" i="5"/>
  <c r="H640" i="5"/>
  <c r="H639" i="5"/>
  <c r="H638" i="5"/>
  <c r="H637" i="5"/>
  <c r="H636" i="5"/>
  <c r="H635" i="5"/>
  <c r="H634" i="5"/>
  <c r="H633" i="5"/>
  <c r="H632" i="5"/>
  <c r="H631" i="5"/>
  <c r="H630" i="5"/>
  <c r="H629" i="5"/>
  <c r="H628" i="5"/>
  <c r="H627" i="5"/>
  <c r="H626" i="5"/>
  <c r="H625" i="5"/>
  <c r="H624" i="5"/>
  <c r="H623" i="5"/>
  <c r="H622" i="5"/>
  <c r="H621" i="5"/>
  <c r="H620" i="5"/>
  <c r="H619" i="5"/>
  <c r="H618" i="5"/>
  <c r="H617" i="5"/>
  <c r="H616" i="5"/>
  <c r="H615" i="5"/>
  <c r="H614" i="5"/>
  <c r="H613" i="5"/>
  <c r="H612" i="5"/>
  <c r="H611" i="5"/>
  <c r="H610" i="5"/>
  <c r="H609" i="5"/>
  <c r="H608" i="5"/>
  <c r="H607" i="5"/>
  <c r="H606" i="5"/>
  <c r="H605" i="5"/>
  <c r="H604" i="5"/>
  <c r="H603" i="5"/>
  <c r="H602" i="5"/>
  <c r="H601" i="5"/>
  <c r="H600" i="5"/>
  <c r="H599" i="5"/>
  <c r="H598" i="5"/>
  <c r="H597" i="5"/>
  <c r="H596" i="5"/>
  <c r="H595" i="5"/>
  <c r="H594" i="5"/>
  <c r="H593" i="5"/>
  <c r="H592" i="5"/>
  <c r="H591" i="5"/>
  <c r="H590" i="5"/>
  <c r="H589" i="5"/>
  <c r="H588" i="5"/>
  <c r="H587" i="5"/>
  <c r="H586" i="5"/>
  <c r="H585" i="5"/>
  <c r="H584" i="5"/>
  <c r="H583" i="5"/>
  <c r="H582" i="5"/>
  <c r="H581" i="5"/>
  <c r="H580" i="5"/>
  <c r="H579" i="5"/>
  <c r="H578" i="5"/>
  <c r="H577" i="5"/>
  <c r="H576" i="5"/>
  <c r="H575" i="5"/>
  <c r="H574" i="5"/>
  <c r="H573" i="5"/>
  <c r="H572" i="5"/>
  <c r="H571" i="5"/>
  <c r="H570" i="5"/>
  <c r="H569" i="5"/>
  <c r="H568" i="5"/>
  <c r="H567" i="5"/>
  <c r="H566" i="5"/>
  <c r="H565" i="5"/>
  <c r="H564" i="5"/>
  <c r="H563" i="5"/>
  <c r="H562" i="5"/>
  <c r="H561" i="5"/>
  <c r="H560" i="5"/>
  <c r="H559" i="5"/>
  <c r="H558" i="5"/>
  <c r="H557" i="5"/>
  <c r="H556" i="5"/>
  <c r="H555" i="5"/>
  <c r="H554" i="5"/>
  <c r="H553" i="5"/>
  <c r="H552" i="5"/>
  <c r="H551" i="5"/>
  <c r="H550" i="5"/>
  <c r="H549" i="5"/>
  <c r="H548" i="5"/>
  <c r="H547" i="5"/>
  <c r="H546" i="5"/>
  <c r="H545" i="5"/>
  <c r="H544" i="5"/>
  <c r="H543" i="5"/>
  <c r="H542" i="5"/>
  <c r="H541" i="5"/>
  <c r="H540" i="5"/>
  <c r="H539" i="5"/>
  <c r="H538" i="5"/>
  <c r="H537" i="5"/>
  <c r="H536" i="5"/>
  <c r="H535" i="5"/>
  <c r="H534" i="5"/>
  <c r="H533" i="5"/>
  <c r="H532" i="5"/>
  <c r="H531" i="5"/>
  <c r="H530" i="5"/>
  <c r="H529" i="5"/>
  <c r="H528" i="5"/>
  <c r="H527" i="5"/>
  <c r="H526" i="5"/>
  <c r="H525" i="5"/>
  <c r="H524" i="5"/>
  <c r="H523" i="5"/>
  <c r="H522" i="5"/>
  <c r="H521" i="5"/>
  <c r="H520" i="5"/>
  <c r="H519" i="5"/>
  <c r="H518" i="5"/>
  <c r="H517" i="5"/>
  <c r="H516" i="5"/>
  <c r="H515" i="5"/>
  <c r="H514" i="5"/>
  <c r="H513" i="5"/>
  <c r="H512" i="5"/>
  <c r="H511" i="5"/>
  <c r="H510" i="5"/>
  <c r="H509" i="5"/>
  <c r="H508" i="5"/>
  <c r="H507" i="5"/>
  <c r="H506" i="5"/>
  <c r="H505" i="5"/>
  <c r="H504" i="5"/>
  <c r="H503" i="5"/>
  <c r="H502" i="5"/>
  <c r="H501" i="5"/>
  <c r="H500" i="5"/>
  <c r="H499" i="5"/>
  <c r="H498" i="5"/>
  <c r="H497" i="5"/>
  <c r="H496" i="5"/>
  <c r="H495" i="5"/>
  <c r="H494" i="5"/>
  <c r="H493" i="5"/>
  <c r="H492" i="5"/>
  <c r="H491" i="5"/>
  <c r="H490" i="5"/>
  <c r="H489" i="5"/>
  <c r="H488" i="5"/>
  <c r="H487" i="5"/>
  <c r="H486" i="5"/>
  <c r="H485" i="5"/>
  <c r="H484" i="5"/>
  <c r="H483" i="5"/>
  <c r="H482" i="5"/>
  <c r="H481" i="5"/>
  <c r="H480" i="5"/>
  <c r="H479" i="5"/>
  <c r="H478" i="5"/>
  <c r="H477" i="5"/>
  <c r="H476" i="5"/>
  <c r="H475" i="5"/>
  <c r="H474" i="5"/>
  <c r="H473" i="5"/>
  <c r="H472" i="5"/>
  <c r="H471" i="5"/>
  <c r="H470" i="5"/>
  <c r="H469" i="5"/>
  <c r="H468" i="5"/>
  <c r="H467" i="5"/>
  <c r="H466" i="5"/>
  <c r="H465" i="5"/>
  <c r="H464" i="5"/>
  <c r="H463" i="5"/>
  <c r="H462" i="5"/>
  <c r="H461" i="5"/>
  <c r="H460" i="5"/>
  <c r="H459" i="5"/>
  <c r="H458" i="5"/>
  <c r="H457" i="5"/>
  <c r="H456" i="5"/>
  <c r="H455" i="5"/>
  <c r="H454" i="5"/>
  <c r="H453" i="5"/>
  <c r="H452" i="5"/>
  <c r="H451" i="5"/>
  <c r="H450" i="5"/>
  <c r="H449" i="5"/>
  <c r="H448" i="5"/>
  <c r="H447" i="5"/>
  <c r="H446" i="5"/>
  <c r="H445" i="5"/>
  <c r="H444" i="5"/>
  <c r="H443" i="5"/>
  <c r="H442" i="5"/>
  <c r="H441" i="5"/>
  <c r="H440" i="5"/>
  <c r="H439" i="5"/>
  <c r="H438" i="5"/>
  <c r="H437" i="5"/>
  <c r="H436" i="5"/>
  <c r="H435" i="5"/>
  <c r="H434" i="5"/>
  <c r="H433" i="5"/>
  <c r="H432" i="5"/>
  <c r="H431" i="5"/>
  <c r="H430" i="5"/>
  <c r="H429" i="5"/>
  <c r="H428" i="5"/>
  <c r="H427" i="5"/>
  <c r="H426" i="5"/>
  <c r="H425" i="5"/>
  <c r="H424" i="5"/>
  <c r="H423" i="5"/>
  <c r="H422" i="5"/>
  <c r="H421" i="5"/>
  <c r="H420" i="5"/>
  <c r="H419" i="5"/>
  <c r="H418" i="5"/>
  <c r="H417" i="5"/>
  <c r="H416" i="5"/>
  <c r="H415" i="5"/>
  <c r="H414" i="5"/>
  <c r="H413" i="5"/>
  <c r="H412" i="5"/>
  <c r="H411" i="5"/>
  <c r="H410" i="5"/>
  <c r="H409" i="5"/>
  <c r="H408" i="5"/>
  <c r="H407" i="5"/>
  <c r="H406" i="5"/>
  <c r="H405" i="5"/>
  <c r="H404" i="5"/>
  <c r="H403" i="5"/>
  <c r="H402" i="5"/>
  <c r="H401" i="5"/>
  <c r="H400" i="5"/>
  <c r="H399" i="5"/>
  <c r="H398" i="5"/>
  <c r="H397" i="5"/>
  <c r="H396" i="5"/>
  <c r="H395" i="5"/>
  <c r="H394" i="5"/>
  <c r="H393" i="5"/>
  <c r="H392" i="5"/>
  <c r="H391" i="5"/>
  <c r="H390" i="5"/>
  <c r="H389" i="5"/>
  <c r="H388" i="5"/>
  <c r="H387" i="5"/>
  <c r="H386" i="5"/>
  <c r="H385" i="5"/>
  <c r="H384" i="5"/>
  <c r="H383" i="5"/>
  <c r="H382" i="5"/>
  <c r="H381" i="5"/>
  <c r="H380" i="5"/>
  <c r="H379" i="5"/>
  <c r="H378" i="5"/>
  <c r="H377" i="5"/>
  <c r="H376" i="5"/>
  <c r="H375" i="5"/>
  <c r="H374" i="5"/>
  <c r="H373" i="5"/>
  <c r="H372" i="5"/>
  <c r="H371" i="5"/>
  <c r="H370" i="5"/>
  <c r="H369" i="5"/>
  <c r="H368" i="5"/>
  <c r="H367" i="5"/>
  <c r="H366" i="5"/>
  <c r="H365" i="5"/>
  <c r="H364" i="5"/>
  <c r="H363" i="5"/>
  <c r="H362" i="5"/>
  <c r="H361" i="5"/>
  <c r="H360" i="5"/>
  <c r="H359" i="5"/>
  <c r="H358" i="5"/>
  <c r="H357" i="5"/>
  <c r="H356" i="5"/>
  <c r="H355" i="5"/>
  <c r="H354" i="5"/>
  <c r="H353" i="5"/>
  <c r="H352" i="5"/>
  <c r="H351" i="5"/>
  <c r="H350" i="5"/>
  <c r="H349" i="5"/>
  <c r="H348" i="5"/>
  <c r="H347" i="5"/>
  <c r="H346" i="5"/>
  <c r="H345" i="5"/>
  <c r="H344" i="5"/>
  <c r="H343" i="5"/>
  <c r="H342" i="5"/>
  <c r="H341" i="5"/>
  <c r="H340" i="5"/>
  <c r="H339" i="5"/>
  <c r="H338" i="5"/>
  <c r="H337" i="5"/>
  <c r="H336" i="5"/>
  <c r="H335" i="5"/>
  <c r="H334" i="5"/>
  <c r="H333" i="5"/>
  <c r="H332" i="5"/>
  <c r="H331" i="5"/>
  <c r="H330" i="5"/>
  <c r="H329" i="5"/>
  <c r="H328" i="5"/>
  <c r="H327" i="5"/>
  <c r="H326" i="5"/>
  <c r="H325" i="5"/>
  <c r="H324" i="5"/>
  <c r="H323" i="5"/>
  <c r="H322" i="5"/>
  <c r="H321" i="5"/>
  <c r="H320" i="5"/>
  <c r="H319" i="5"/>
  <c r="H318" i="5"/>
  <c r="H317" i="5"/>
  <c r="H316" i="5"/>
  <c r="H315" i="5"/>
  <c r="H314" i="5"/>
  <c r="H313" i="5"/>
  <c r="H312" i="5"/>
  <c r="H311" i="5"/>
  <c r="H310" i="5"/>
  <c r="H309" i="5"/>
  <c r="H308" i="5"/>
  <c r="H307" i="5"/>
  <c r="H306" i="5"/>
  <c r="H305" i="5"/>
  <c r="H304" i="5"/>
  <c r="H303" i="5"/>
  <c r="H302" i="5"/>
  <c r="H301" i="5"/>
  <c r="H300" i="5"/>
  <c r="H299" i="5"/>
  <c r="H298" i="5"/>
  <c r="H297" i="5"/>
  <c r="H296" i="5"/>
  <c r="H295" i="5"/>
  <c r="H294" i="5"/>
  <c r="H293" i="5"/>
  <c r="H292" i="5"/>
  <c r="H291" i="5"/>
  <c r="H290" i="5"/>
  <c r="H289" i="5"/>
  <c r="H288" i="5"/>
  <c r="H287" i="5"/>
  <c r="H286" i="5"/>
  <c r="H285" i="5"/>
  <c r="H284" i="5"/>
  <c r="H283" i="5"/>
  <c r="H282" i="5"/>
  <c r="H281" i="5"/>
  <c r="H280" i="5"/>
  <c r="H279" i="5"/>
  <c r="H278" i="5"/>
  <c r="H277" i="5"/>
  <c r="H276" i="5"/>
  <c r="H275" i="5"/>
  <c r="H274" i="5"/>
  <c r="H273" i="5"/>
  <c r="H272" i="5"/>
  <c r="H271" i="5"/>
  <c r="H270" i="5"/>
  <c r="H269" i="5"/>
  <c r="H268" i="5"/>
  <c r="H267" i="5"/>
  <c r="H266" i="5"/>
  <c r="H265" i="5"/>
  <c r="H264" i="5"/>
  <c r="H263" i="5"/>
  <c r="H262" i="5"/>
  <c r="H261" i="5"/>
  <c r="H260" i="5"/>
  <c r="H259" i="5"/>
  <c r="H258" i="5"/>
  <c r="H257" i="5"/>
  <c r="H256" i="5"/>
  <c r="H255" i="5"/>
  <c r="H254" i="5"/>
  <c r="H253" i="5"/>
  <c r="H252" i="5"/>
  <c r="H251" i="5"/>
  <c r="H250" i="5"/>
  <c r="H249" i="5"/>
  <c r="H248" i="5"/>
  <c r="H247" i="5"/>
  <c r="H246" i="5"/>
  <c r="H245" i="5"/>
  <c r="H244" i="5"/>
  <c r="H243" i="5"/>
  <c r="H242" i="5"/>
  <c r="H241" i="5"/>
  <c r="H240" i="5"/>
  <c r="H239" i="5"/>
  <c r="H238" i="5"/>
  <c r="H237" i="5"/>
  <c r="H236" i="5"/>
  <c r="H235" i="5"/>
  <c r="H234" i="5"/>
  <c r="H233" i="5"/>
  <c r="G233" i="5"/>
  <c r="H232" i="5"/>
  <c r="G232" i="5"/>
  <c r="H231" i="5"/>
  <c r="G231" i="5"/>
  <c r="H230" i="5"/>
  <c r="G230" i="5"/>
  <c r="H229" i="5"/>
  <c r="G229" i="5"/>
  <c r="H228" i="5"/>
  <c r="G228" i="5"/>
  <c r="H227" i="5"/>
  <c r="G227" i="5"/>
  <c r="H226" i="5"/>
  <c r="G226" i="5"/>
  <c r="H225" i="5"/>
  <c r="G225" i="5"/>
  <c r="H224" i="5"/>
  <c r="G224" i="5"/>
  <c r="H223" i="5"/>
  <c r="G223" i="5"/>
  <c r="H222" i="5"/>
  <c r="G222" i="5"/>
  <c r="H221" i="5"/>
  <c r="G221" i="5"/>
  <c r="H220" i="5"/>
  <c r="G220" i="5"/>
  <c r="H219" i="5"/>
  <c r="G219" i="5"/>
  <c r="H218" i="5"/>
  <c r="E218" i="5"/>
  <c r="G218" i="5" s="1"/>
  <c r="D218" i="5"/>
  <c r="H217" i="5"/>
  <c r="E217" i="5"/>
  <c r="G217" i="5" s="1"/>
  <c r="D217" i="5"/>
  <c r="H216" i="5"/>
  <c r="E216" i="5"/>
  <c r="G216" i="5" s="1"/>
  <c r="D216" i="5"/>
  <c r="H215" i="5"/>
  <c r="E215" i="5"/>
  <c r="G215" i="5" s="1"/>
  <c r="D215" i="5"/>
  <c r="H214" i="5"/>
  <c r="E214" i="5"/>
  <c r="G214" i="5" s="1"/>
  <c r="D214" i="5"/>
  <c r="H213" i="5"/>
  <c r="E213" i="5"/>
  <c r="G213" i="5" s="1"/>
  <c r="D213" i="5"/>
  <c r="H212" i="5"/>
  <c r="E212" i="5"/>
  <c r="G212" i="5" s="1"/>
  <c r="D212" i="5"/>
  <c r="H211" i="5"/>
  <c r="E211" i="5"/>
  <c r="G211" i="5" s="1"/>
  <c r="D211" i="5"/>
  <c r="H210" i="5"/>
  <c r="E210" i="5"/>
  <c r="G210" i="5" s="1"/>
  <c r="D210" i="5"/>
  <c r="H209" i="5"/>
  <c r="E209" i="5"/>
  <c r="G209" i="5" s="1"/>
  <c r="D209" i="5"/>
  <c r="H208" i="5"/>
  <c r="E208" i="5"/>
  <c r="G208" i="5" s="1"/>
  <c r="D208" i="5"/>
  <c r="H207" i="5"/>
  <c r="E207" i="5"/>
  <c r="G207" i="5" s="1"/>
  <c r="D207" i="5"/>
  <c r="H206" i="5"/>
  <c r="E206" i="5"/>
  <c r="G206" i="5" s="1"/>
  <c r="D206" i="5"/>
  <c r="H205" i="5"/>
  <c r="E205" i="5"/>
  <c r="G205" i="5" s="1"/>
  <c r="D205" i="5"/>
  <c r="H204" i="5"/>
  <c r="E204" i="5"/>
  <c r="G204" i="5" s="1"/>
  <c r="D204" i="5"/>
  <c r="H203" i="5"/>
  <c r="E203" i="5"/>
  <c r="G203" i="5" s="1"/>
  <c r="D203" i="5"/>
  <c r="H202" i="5"/>
  <c r="E202" i="5"/>
  <c r="G202" i="5" s="1"/>
  <c r="D202" i="5"/>
  <c r="H201" i="5"/>
  <c r="E201" i="5"/>
  <c r="G201" i="5" s="1"/>
  <c r="D201" i="5"/>
  <c r="H200" i="5"/>
  <c r="E200" i="5"/>
  <c r="G200" i="5" s="1"/>
  <c r="D200" i="5"/>
  <c r="H199" i="5"/>
  <c r="E199" i="5"/>
  <c r="G199" i="5" s="1"/>
  <c r="D199" i="5"/>
  <c r="H198" i="5"/>
  <c r="E198" i="5"/>
  <c r="G198" i="5" s="1"/>
  <c r="D198" i="5"/>
  <c r="H197" i="5"/>
  <c r="E197" i="5"/>
  <c r="G197" i="5" s="1"/>
  <c r="D197" i="5"/>
  <c r="H196" i="5"/>
  <c r="E196" i="5"/>
  <c r="G196" i="5" s="1"/>
  <c r="D196" i="5"/>
  <c r="H195" i="5"/>
  <c r="E195" i="5"/>
  <c r="G195" i="5" s="1"/>
  <c r="D195" i="5"/>
  <c r="H194" i="5"/>
  <c r="E194" i="5"/>
  <c r="G194" i="5" s="1"/>
  <c r="D194" i="5"/>
  <c r="H193" i="5"/>
  <c r="E193" i="5"/>
  <c r="G193" i="5" s="1"/>
  <c r="D193" i="5"/>
  <c r="H192" i="5"/>
  <c r="E192" i="5"/>
  <c r="G192" i="5" s="1"/>
  <c r="D192" i="5"/>
  <c r="H191" i="5"/>
  <c r="E191" i="5"/>
  <c r="G191" i="5" s="1"/>
  <c r="D191" i="5"/>
  <c r="B191" i="5"/>
  <c r="H190" i="5"/>
  <c r="G190" i="5"/>
  <c r="E190" i="5"/>
  <c r="D190" i="5"/>
  <c r="H189" i="5"/>
  <c r="G189" i="5"/>
  <c r="E189" i="5"/>
  <c r="D189" i="5"/>
  <c r="H188" i="5"/>
  <c r="G188" i="5"/>
  <c r="E188" i="5"/>
  <c r="D188" i="5"/>
  <c r="H187" i="5"/>
  <c r="G187" i="5"/>
  <c r="E187" i="5"/>
  <c r="D187" i="5"/>
  <c r="H186" i="5"/>
  <c r="G186" i="5"/>
  <c r="E186" i="5"/>
  <c r="D186" i="5"/>
  <c r="H185" i="5"/>
  <c r="G185" i="5"/>
  <c r="E185" i="5"/>
  <c r="D185" i="5"/>
  <c r="H184" i="5"/>
  <c r="G184" i="5"/>
  <c r="E184" i="5"/>
  <c r="D184" i="5"/>
  <c r="H183" i="5"/>
  <c r="G183" i="5"/>
  <c r="E183" i="5"/>
  <c r="D183" i="5"/>
  <c r="H182" i="5"/>
  <c r="G182" i="5"/>
  <c r="E182" i="5"/>
  <c r="D182" i="5"/>
  <c r="H181" i="5"/>
  <c r="G181" i="5"/>
  <c r="E181" i="5"/>
  <c r="D181" i="5"/>
  <c r="H180" i="5"/>
  <c r="G180" i="5"/>
  <c r="E180" i="5"/>
  <c r="D180" i="5"/>
  <c r="H179" i="5"/>
  <c r="G179" i="5"/>
  <c r="E179" i="5"/>
  <c r="D179" i="5"/>
  <c r="H178" i="5"/>
  <c r="G178" i="5"/>
  <c r="E178" i="5"/>
  <c r="D178" i="5"/>
  <c r="H177" i="5"/>
  <c r="G177" i="5"/>
  <c r="E177" i="5"/>
  <c r="D177" i="5"/>
  <c r="H176" i="5"/>
  <c r="G176" i="5"/>
  <c r="E176" i="5"/>
  <c r="D176" i="5"/>
  <c r="H175" i="5"/>
  <c r="G175" i="5"/>
  <c r="E175" i="5"/>
  <c r="D175" i="5"/>
  <c r="H174" i="5"/>
  <c r="G174" i="5"/>
  <c r="E174" i="5"/>
  <c r="D174" i="5"/>
  <c r="H173" i="5"/>
  <c r="G173" i="5"/>
  <c r="E173" i="5"/>
  <c r="D173" i="5"/>
  <c r="H172" i="5"/>
  <c r="G172" i="5"/>
  <c r="E172" i="5"/>
  <c r="D172" i="5"/>
  <c r="H171" i="5"/>
  <c r="G171" i="5"/>
  <c r="E171" i="5"/>
  <c r="D171" i="5"/>
  <c r="H170" i="5"/>
  <c r="G170" i="5"/>
  <c r="E170" i="5"/>
  <c r="D170" i="5"/>
  <c r="H169" i="5"/>
  <c r="G169" i="5"/>
  <c r="E169" i="5"/>
  <c r="D169" i="5"/>
  <c r="H168" i="5"/>
  <c r="G168" i="5"/>
  <c r="E168" i="5"/>
  <c r="D168" i="5"/>
  <c r="H167" i="5"/>
  <c r="G167" i="5"/>
  <c r="E167" i="5"/>
  <c r="D167" i="5"/>
  <c r="H166" i="5"/>
  <c r="G166" i="5"/>
  <c r="E166" i="5"/>
  <c r="D166" i="5"/>
  <c r="H165" i="5"/>
  <c r="G165" i="5"/>
  <c r="E165" i="5"/>
  <c r="D165" i="5"/>
  <c r="H164" i="5"/>
  <c r="G164" i="5"/>
  <c r="E164" i="5"/>
  <c r="D164" i="5"/>
  <c r="H163" i="5"/>
  <c r="G163" i="5"/>
  <c r="E163" i="5"/>
  <c r="D163" i="5"/>
  <c r="H162" i="5"/>
  <c r="G162" i="5"/>
  <c r="E162" i="5"/>
  <c r="D162" i="5"/>
  <c r="H161" i="5"/>
  <c r="G161" i="5"/>
  <c r="E161" i="5"/>
  <c r="D161" i="5"/>
  <c r="H160" i="5"/>
  <c r="G160" i="5"/>
  <c r="E160" i="5"/>
  <c r="D160" i="5"/>
  <c r="H159" i="5"/>
  <c r="G159" i="5"/>
  <c r="E159" i="5"/>
  <c r="D159" i="5"/>
  <c r="H158" i="5"/>
  <c r="G158" i="5"/>
  <c r="E158" i="5"/>
  <c r="D158" i="5"/>
  <c r="H157" i="5"/>
  <c r="G157" i="5"/>
  <c r="E157" i="5"/>
  <c r="D157" i="5"/>
  <c r="H156" i="5"/>
  <c r="G156" i="5"/>
  <c r="E156" i="5"/>
  <c r="D156" i="5"/>
  <c r="H155" i="5"/>
  <c r="G155" i="5"/>
  <c r="E155" i="5"/>
  <c r="D155" i="5"/>
  <c r="H154" i="5"/>
  <c r="G154" i="5"/>
  <c r="E154" i="5"/>
  <c r="D154" i="5"/>
  <c r="H153" i="5"/>
  <c r="G153" i="5"/>
  <c r="E153" i="5"/>
  <c r="D153" i="5"/>
  <c r="H152" i="5"/>
  <c r="G152" i="5"/>
  <c r="E152" i="5"/>
  <c r="D152" i="5"/>
  <c r="H151" i="5"/>
  <c r="G151" i="5"/>
  <c r="E151" i="5"/>
  <c r="D151" i="5"/>
  <c r="H150" i="5"/>
  <c r="G150" i="5"/>
  <c r="E150" i="5"/>
  <c r="D150" i="5"/>
  <c r="H149" i="5"/>
  <c r="G149" i="5"/>
  <c r="E149" i="5"/>
  <c r="D149" i="5"/>
  <c r="H148" i="5"/>
  <c r="G148" i="5"/>
  <c r="E148" i="5"/>
  <c r="D148" i="5"/>
  <c r="H147" i="5"/>
  <c r="G147" i="5"/>
  <c r="E147" i="5"/>
  <c r="D147" i="5"/>
  <c r="H146" i="5"/>
  <c r="G146" i="5"/>
  <c r="E146" i="5"/>
  <c r="D146" i="5"/>
  <c r="H145" i="5"/>
  <c r="G145" i="5"/>
  <c r="E145" i="5"/>
  <c r="D145" i="5"/>
  <c r="H144" i="5"/>
  <c r="G144" i="5"/>
  <c r="E144" i="5"/>
  <c r="D144" i="5"/>
  <c r="H143" i="5"/>
  <c r="G143" i="5"/>
  <c r="E143" i="5"/>
  <c r="D143" i="5"/>
  <c r="H142" i="5"/>
  <c r="G142" i="5"/>
  <c r="E142" i="5"/>
  <c r="D142" i="5"/>
  <c r="H141" i="5"/>
  <c r="G141" i="5"/>
  <c r="E141" i="5"/>
  <c r="D141" i="5"/>
  <c r="H140" i="5"/>
  <c r="G140" i="5"/>
  <c r="E140" i="5"/>
  <c r="D140" i="5"/>
  <c r="H139" i="5"/>
  <c r="G139" i="5"/>
  <c r="E139" i="5"/>
  <c r="D139" i="5"/>
  <c r="H138" i="5"/>
  <c r="G138" i="5"/>
  <c r="E138" i="5"/>
  <c r="D138" i="5"/>
  <c r="H137" i="5"/>
  <c r="G137" i="5"/>
  <c r="E137" i="5"/>
  <c r="D137" i="5"/>
  <c r="H136" i="5"/>
  <c r="G136" i="5"/>
  <c r="E136" i="5"/>
  <c r="D136" i="5"/>
  <c r="H135" i="5"/>
  <c r="G135" i="5"/>
  <c r="E135" i="5"/>
  <c r="D135" i="5"/>
  <c r="H134" i="5"/>
  <c r="G134" i="5"/>
  <c r="E134" i="5"/>
  <c r="D134" i="5"/>
  <c r="H133" i="5"/>
  <c r="G133" i="5"/>
  <c r="E133" i="5"/>
  <c r="D133" i="5"/>
  <c r="H132" i="5"/>
  <c r="G132" i="5"/>
  <c r="E132" i="5"/>
  <c r="D132" i="5"/>
  <c r="H131" i="5"/>
  <c r="G131" i="5"/>
  <c r="E131" i="5"/>
  <c r="D131" i="5"/>
  <c r="H130" i="5"/>
  <c r="G130" i="5"/>
  <c r="E130" i="5"/>
  <c r="D130" i="5"/>
  <c r="H129" i="5"/>
  <c r="G129" i="5"/>
  <c r="E129" i="5"/>
  <c r="D129" i="5"/>
  <c r="H128" i="5"/>
  <c r="G128" i="5"/>
  <c r="C128" i="5"/>
  <c r="E128" i="5" s="1"/>
  <c r="B128" i="5"/>
  <c r="D128" i="5" s="1"/>
  <c r="H127" i="5"/>
  <c r="E127" i="5"/>
  <c r="G127" i="5" s="1"/>
  <c r="D127" i="5"/>
  <c r="H126" i="5"/>
  <c r="E126" i="5"/>
  <c r="G126" i="5" s="1"/>
  <c r="D126" i="5"/>
  <c r="H125" i="5"/>
  <c r="E125" i="5"/>
  <c r="G125" i="5" s="1"/>
  <c r="D125" i="5"/>
  <c r="H124" i="5"/>
  <c r="E124" i="5"/>
  <c r="G124" i="5" s="1"/>
  <c r="D124" i="5"/>
  <c r="H123" i="5"/>
  <c r="E123" i="5"/>
  <c r="G123" i="5" s="1"/>
  <c r="D123" i="5"/>
  <c r="H122" i="5"/>
  <c r="E122" i="5"/>
  <c r="G122" i="5" s="1"/>
  <c r="D122" i="5"/>
  <c r="H121" i="5"/>
  <c r="E121" i="5"/>
  <c r="G121" i="5" s="1"/>
  <c r="D121" i="5"/>
  <c r="H120" i="5"/>
  <c r="E120" i="5"/>
  <c r="G120" i="5" s="1"/>
  <c r="D120" i="5"/>
  <c r="H119" i="5"/>
  <c r="E119" i="5"/>
  <c r="G119" i="5" s="1"/>
  <c r="D119" i="5"/>
  <c r="H118" i="5"/>
  <c r="E118" i="5"/>
  <c r="G118" i="5" s="1"/>
  <c r="D118" i="5"/>
  <c r="H117" i="5"/>
  <c r="E117" i="5"/>
  <c r="G117" i="5" s="1"/>
  <c r="D117" i="5"/>
  <c r="H116" i="5"/>
  <c r="E116" i="5"/>
  <c r="G116" i="5" s="1"/>
  <c r="D116" i="5"/>
  <c r="H115" i="5"/>
  <c r="E115" i="5"/>
  <c r="G115" i="5" s="1"/>
  <c r="D115" i="5"/>
  <c r="H114" i="5"/>
  <c r="E114" i="5"/>
  <c r="G114" i="5" s="1"/>
  <c r="D114" i="5"/>
  <c r="H113" i="5"/>
  <c r="E113" i="5"/>
  <c r="G113" i="5" s="1"/>
  <c r="D113" i="5"/>
  <c r="H112" i="5"/>
  <c r="E112" i="5"/>
  <c r="G112" i="5" s="1"/>
  <c r="D112" i="5"/>
  <c r="H111" i="5"/>
  <c r="E111" i="5"/>
  <c r="G111" i="5" s="1"/>
  <c r="D111" i="5"/>
  <c r="H110" i="5"/>
  <c r="E110" i="5"/>
  <c r="G110" i="5" s="1"/>
  <c r="D110" i="5"/>
  <c r="H109" i="5"/>
  <c r="E109" i="5"/>
  <c r="G109" i="5" s="1"/>
  <c r="D109" i="5"/>
  <c r="H108" i="5"/>
  <c r="E108" i="5"/>
  <c r="G108" i="5" s="1"/>
  <c r="D108" i="5"/>
  <c r="H107" i="5"/>
  <c r="E107" i="5"/>
  <c r="G107" i="5" s="1"/>
  <c r="D107" i="5"/>
  <c r="H106" i="5"/>
  <c r="E106" i="5"/>
  <c r="G106" i="5" s="1"/>
  <c r="D106" i="5"/>
  <c r="H105" i="5"/>
  <c r="E105" i="5"/>
  <c r="G105" i="5" s="1"/>
  <c r="D105" i="5"/>
  <c r="H104" i="5"/>
  <c r="E104" i="5"/>
  <c r="G104" i="5" s="1"/>
  <c r="D104" i="5"/>
  <c r="H103" i="5"/>
  <c r="E103" i="5"/>
  <c r="G103" i="5" s="1"/>
  <c r="D103" i="5"/>
  <c r="H102" i="5"/>
  <c r="E102" i="5"/>
  <c r="G102" i="5" s="1"/>
  <c r="D102" i="5"/>
  <c r="H101" i="5"/>
  <c r="E101" i="5"/>
  <c r="G101" i="5" s="1"/>
  <c r="D101" i="5"/>
  <c r="H100" i="5"/>
  <c r="E100" i="5"/>
  <c r="G100" i="5" s="1"/>
  <c r="D100" i="5"/>
  <c r="H99" i="5"/>
  <c r="E99" i="5"/>
  <c r="G99" i="5" s="1"/>
  <c r="D99" i="5"/>
  <c r="H98" i="5"/>
  <c r="E98" i="5"/>
  <c r="G98" i="5" s="1"/>
  <c r="D98" i="5"/>
  <c r="H97" i="5"/>
  <c r="E97" i="5"/>
  <c r="G97" i="5" s="1"/>
  <c r="D97" i="5"/>
  <c r="H96" i="5"/>
  <c r="E96" i="5"/>
  <c r="G96" i="5" s="1"/>
  <c r="D96" i="5"/>
  <c r="H95" i="5"/>
  <c r="E95" i="5"/>
  <c r="G95" i="5" s="1"/>
  <c r="D95" i="5"/>
  <c r="H94" i="5"/>
  <c r="E94" i="5"/>
  <c r="G94" i="5" s="1"/>
  <c r="D94" i="5"/>
  <c r="I93" i="5"/>
  <c r="H93" i="5"/>
  <c r="E93" i="5"/>
  <c r="G93" i="5" s="1"/>
  <c r="D93" i="5"/>
  <c r="H92" i="5"/>
  <c r="E92" i="5"/>
  <c r="G92" i="5" s="1"/>
  <c r="D92" i="5"/>
  <c r="H91" i="5"/>
  <c r="E91" i="5"/>
  <c r="G91" i="5" s="1"/>
  <c r="D91" i="5"/>
  <c r="H90" i="5"/>
  <c r="E90" i="5"/>
  <c r="G90" i="5" s="1"/>
  <c r="D90" i="5"/>
  <c r="H89" i="5"/>
  <c r="E89" i="5"/>
  <c r="G89" i="5" s="1"/>
  <c r="D89" i="5"/>
  <c r="H88" i="5"/>
  <c r="E88" i="5"/>
  <c r="G88" i="5" s="1"/>
  <c r="D88" i="5"/>
  <c r="H87" i="5"/>
  <c r="E87" i="5"/>
  <c r="G87" i="5" s="1"/>
  <c r="D87" i="5"/>
  <c r="H86" i="5"/>
  <c r="E86" i="5"/>
  <c r="G86" i="5" s="1"/>
  <c r="D86" i="5"/>
  <c r="H85" i="5"/>
  <c r="E85" i="5"/>
  <c r="G85" i="5" s="1"/>
  <c r="D85" i="5"/>
  <c r="H84" i="5"/>
  <c r="E84" i="5"/>
  <c r="G84" i="5" s="1"/>
  <c r="D84" i="5"/>
  <c r="H83" i="5"/>
  <c r="E83" i="5"/>
  <c r="G83" i="5" s="1"/>
  <c r="D83" i="5"/>
  <c r="H82" i="5"/>
  <c r="E82" i="5"/>
  <c r="G82" i="5" s="1"/>
  <c r="D82" i="5"/>
  <c r="H81" i="5"/>
  <c r="E81" i="5"/>
  <c r="G81" i="5" s="1"/>
  <c r="D81" i="5"/>
  <c r="H80" i="5"/>
  <c r="E80" i="5"/>
  <c r="G80" i="5" s="1"/>
  <c r="D80" i="5"/>
  <c r="H79" i="5"/>
  <c r="E79" i="5"/>
  <c r="G79" i="5" s="1"/>
  <c r="D79" i="5"/>
  <c r="H78" i="5"/>
  <c r="E78" i="5"/>
  <c r="G78" i="5" s="1"/>
  <c r="D78" i="5"/>
  <c r="H77" i="5"/>
  <c r="E77" i="5"/>
  <c r="G77" i="5" s="1"/>
  <c r="D77" i="5"/>
  <c r="H76" i="5"/>
  <c r="E76" i="5"/>
  <c r="G76" i="5" s="1"/>
  <c r="D76" i="5"/>
  <c r="H75" i="5"/>
  <c r="E75" i="5"/>
  <c r="G75" i="5" s="1"/>
  <c r="D75" i="5"/>
  <c r="H74" i="5"/>
  <c r="E74" i="5"/>
  <c r="G74" i="5" s="1"/>
  <c r="D74" i="5"/>
  <c r="H73" i="5"/>
  <c r="E73" i="5"/>
  <c r="G73" i="5" s="1"/>
  <c r="D73" i="5"/>
  <c r="H72" i="5"/>
  <c r="E72" i="5"/>
  <c r="G72" i="5" s="1"/>
  <c r="D72" i="5"/>
  <c r="H71" i="5"/>
  <c r="E71" i="5"/>
  <c r="G71" i="5" s="1"/>
  <c r="D71" i="5"/>
  <c r="H70" i="5"/>
  <c r="E70" i="5"/>
  <c r="G70" i="5" s="1"/>
  <c r="D70" i="5"/>
  <c r="H69" i="5"/>
  <c r="E69" i="5"/>
  <c r="G69" i="5" s="1"/>
  <c r="D69" i="5"/>
  <c r="H68" i="5"/>
  <c r="E68" i="5"/>
  <c r="G68" i="5" s="1"/>
  <c r="D68" i="5"/>
  <c r="H67" i="5"/>
  <c r="E67" i="5"/>
  <c r="G67" i="5" s="1"/>
  <c r="D67" i="5"/>
  <c r="H66" i="5"/>
  <c r="E66" i="5"/>
  <c r="G66" i="5" s="1"/>
  <c r="D66" i="5"/>
  <c r="H65" i="5"/>
  <c r="E65" i="5"/>
  <c r="G65" i="5" s="1"/>
  <c r="D65" i="5"/>
  <c r="H64" i="5"/>
  <c r="E64" i="5"/>
  <c r="G64" i="5" s="1"/>
  <c r="D64" i="5"/>
  <c r="H63" i="5"/>
  <c r="E63" i="5"/>
  <c r="G63" i="5" s="1"/>
  <c r="D63" i="5"/>
  <c r="H62" i="5"/>
  <c r="E62" i="5"/>
  <c r="G62" i="5" s="1"/>
  <c r="D62" i="5"/>
  <c r="H61" i="5"/>
  <c r="E61" i="5"/>
  <c r="G61" i="5" s="1"/>
  <c r="D61" i="5"/>
  <c r="H60" i="5"/>
  <c r="E60" i="5"/>
  <c r="G60" i="5" s="1"/>
  <c r="D60" i="5"/>
  <c r="H59" i="5"/>
  <c r="E59" i="5"/>
  <c r="G59" i="5" s="1"/>
  <c r="D59" i="5"/>
  <c r="H58" i="5"/>
  <c r="E58" i="5"/>
  <c r="G58" i="5" s="1"/>
  <c r="D58" i="5"/>
  <c r="H57" i="5"/>
  <c r="E57" i="5"/>
  <c r="G57" i="5" s="1"/>
  <c r="D57" i="5"/>
  <c r="H56" i="5"/>
  <c r="E56" i="5"/>
  <c r="G56" i="5" s="1"/>
  <c r="B56" i="5"/>
  <c r="D56" i="5" s="1"/>
  <c r="H55" i="5"/>
  <c r="G55" i="5"/>
  <c r="E55" i="5"/>
  <c r="D55" i="5"/>
  <c r="H54" i="5"/>
  <c r="G54" i="5"/>
  <c r="E54" i="5"/>
  <c r="D54" i="5"/>
  <c r="H53" i="5"/>
  <c r="G53" i="5"/>
  <c r="E53" i="5"/>
  <c r="D53" i="5"/>
  <c r="H52" i="5"/>
  <c r="G52" i="5"/>
  <c r="E52" i="5"/>
  <c r="D52" i="5"/>
  <c r="H51" i="5"/>
  <c r="G51" i="5"/>
  <c r="E51" i="5"/>
  <c r="D51" i="5"/>
  <c r="H50" i="5"/>
  <c r="G50" i="5"/>
  <c r="E50" i="5"/>
  <c r="D50" i="5"/>
  <c r="H49" i="5"/>
  <c r="G49" i="5"/>
  <c r="E49" i="5"/>
  <c r="D49" i="5"/>
  <c r="H48" i="5"/>
  <c r="G48" i="5"/>
  <c r="E48" i="5"/>
  <c r="D48" i="5"/>
  <c r="H47" i="5"/>
  <c r="G47" i="5"/>
  <c r="E47" i="5"/>
  <c r="D47" i="5"/>
  <c r="H46" i="5"/>
  <c r="G46" i="5"/>
  <c r="E46" i="5"/>
  <c r="D46" i="5"/>
  <c r="H45" i="5"/>
  <c r="G45" i="5"/>
  <c r="E45" i="5"/>
  <c r="D45" i="5"/>
  <c r="H44" i="5"/>
  <c r="G44" i="5"/>
  <c r="E44" i="5"/>
  <c r="D44" i="5"/>
  <c r="H43" i="5"/>
  <c r="G43" i="5"/>
  <c r="E43" i="5"/>
  <c r="D43" i="5"/>
  <c r="H42" i="5"/>
  <c r="G42" i="5"/>
  <c r="E42" i="5"/>
  <c r="D42" i="5"/>
  <c r="H41" i="5"/>
  <c r="G41" i="5"/>
  <c r="E41" i="5"/>
  <c r="D41" i="5"/>
  <c r="H40" i="5"/>
  <c r="G40" i="5"/>
  <c r="E40" i="5"/>
  <c r="D40" i="5"/>
  <c r="H39" i="5"/>
  <c r="G39" i="5"/>
  <c r="E39" i="5"/>
  <c r="D39" i="5"/>
  <c r="H38" i="5"/>
  <c r="G38" i="5"/>
  <c r="E38" i="5"/>
  <c r="D38" i="5"/>
  <c r="H37" i="5"/>
  <c r="G37" i="5"/>
  <c r="E37" i="5"/>
  <c r="D37" i="5"/>
  <c r="H36" i="5"/>
  <c r="G36" i="5"/>
  <c r="E36" i="5"/>
  <c r="D36" i="5"/>
  <c r="H35" i="5"/>
  <c r="G35" i="5"/>
  <c r="E35" i="5"/>
  <c r="D35" i="5"/>
  <c r="H34" i="5"/>
  <c r="G34" i="5"/>
  <c r="E34" i="5"/>
  <c r="D34" i="5"/>
  <c r="H33" i="5"/>
  <c r="G33" i="5"/>
  <c r="E33" i="5"/>
  <c r="D33" i="5"/>
  <c r="H32" i="5"/>
  <c r="G32" i="5"/>
  <c r="E32" i="5"/>
  <c r="D32" i="5"/>
  <c r="H31" i="5"/>
  <c r="G31" i="5"/>
  <c r="E31" i="5"/>
  <c r="D31" i="5"/>
  <c r="H30" i="5"/>
  <c r="G30" i="5"/>
  <c r="E30" i="5"/>
  <c r="D30" i="5"/>
  <c r="H29" i="5"/>
  <c r="G29" i="5"/>
  <c r="E29" i="5"/>
  <c r="D29" i="5"/>
  <c r="H28" i="5"/>
  <c r="G28" i="5"/>
  <c r="E28" i="5"/>
  <c r="D28" i="5"/>
  <c r="H27" i="5"/>
  <c r="G27" i="5"/>
  <c r="E27" i="5"/>
  <c r="D27" i="5"/>
  <c r="H26" i="5"/>
  <c r="G26" i="5"/>
  <c r="E26" i="5"/>
  <c r="D26" i="5"/>
  <c r="H25" i="5"/>
  <c r="G25" i="5"/>
  <c r="E25" i="5"/>
  <c r="D25" i="5"/>
  <c r="H24" i="5"/>
  <c r="G24" i="5"/>
  <c r="E24" i="5"/>
  <c r="D24" i="5"/>
  <c r="H23" i="5"/>
  <c r="G23" i="5"/>
  <c r="E23" i="5"/>
  <c r="D23" i="5"/>
  <c r="H22" i="5"/>
  <c r="G22" i="5"/>
  <c r="E22" i="5"/>
  <c r="D22" i="5"/>
  <c r="H21" i="5"/>
  <c r="G21" i="5"/>
  <c r="E21" i="5"/>
  <c r="D21" i="5"/>
  <c r="H20" i="5"/>
  <c r="G20" i="5"/>
  <c r="E20" i="5"/>
  <c r="D20" i="5"/>
  <c r="H19" i="5"/>
  <c r="G19" i="5"/>
  <c r="E19" i="5"/>
  <c r="D19" i="5"/>
  <c r="H18" i="5"/>
  <c r="G18" i="5"/>
  <c r="E18" i="5"/>
  <c r="D18" i="5"/>
  <c r="H17" i="5"/>
  <c r="G17" i="5"/>
  <c r="E17" i="5"/>
  <c r="D17" i="5"/>
  <c r="H16" i="5"/>
  <c r="G16" i="5"/>
  <c r="E16" i="5"/>
  <c r="D16" i="5"/>
  <c r="H15" i="5"/>
  <c r="G15" i="5"/>
  <c r="E15" i="5"/>
  <c r="D15" i="5"/>
  <c r="H14" i="5"/>
  <c r="G14" i="5"/>
  <c r="E14" i="5"/>
  <c r="D14" i="5"/>
  <c r="H13" i="5"/>
  <c r="G13" i="5"/>
  <c r="E13" i="5"/>
  <c r="D13" i="5"/>
  <c r="H12" i="5"/>
  <c r="G12" i="5"/>
  <c r="E12" i="5"/>
  <c r="D12" i="5"/>
  <c r="H11" i="5"/>
  <c r="G11" i="5"/>
  <c r="E11" i="5"/>
  <c r="D11" i="5"/>
  <c r="H10" i="5"/>
  <c r="G10" i="5"/>
  <c r="E10" i="5"/>
  <c r="D10" i="5"/>
  <c r="H9" i="5"/>
  <c r="G9" i="5"/>
  <c r="E9" i="5"/>
  <c r="D9" i="5"/>
  <c r="H8" i="5"/>
  <c r="G8" i="5"/>
  <c r="E8" i="5"/>
  <c r="D8" i="5"/>
  <c r="H7" i="5"/>
  <c r="G7" i="5"/>
  <c r="E7" i="5"/>
  <c r="D7" i="5"/>
  <c r="H6" i="5"/>
  <c r="G6" i="5"/>
  <c r="E6" i="5"/>
  <c r="D6" i="5"/>
  <c r="H5" i="5"/>
  <c r="G5" i="5"/>
  <c r="E5" i="5"/>
  <c r="D5" i="5"/>
  <c r="H4" i="5"/>
  <c r="G4" i="5"/>
  <c r="E4" i="5"/>
  <c r="D4" i="5"/>
  <c r="H3" i="5"/>
  <c r="G3" i="5"/>
  <c r="E3" i="5"/>
  <c r="D3" i="5"/>
  <c r="H2" i="5"/>
  <c r="G2" i="5"/>
  <c r="E2" i="5"/>
  <c r="D2" i="5"/>
  <c r="G256" i="4"/>
  <c r="F256" i="4"/>
  <c r="D256" i="4"/>
  <c r="G255" i="4"/>
  <c r="D255" i="4"/>
  <c r="F255" i="4" s="1"/>
  <c r="G254" i="4"/>
  <c r="D254" i="4"/>
  <c r="F254" i="4" s="1"/>
  <c r="G253" i="4"/>
  <c r="F253" i="4"/>
  <c r="D253" i="4"/>
  <c r="G252" i="4"/>
  <c r="D252" i="4"/>
  <c r="F252" i="4" s="1"/>
  <c r="G251" i="4"/>
  <c r="D251" i="4"/>
  <c r="F251" i="4" s="1"/>
  <c r="G250" i="4"/>
  <c r="D250" i="4"/>
  <c r="F250" i="4" s="1"/>
  <c r="G249" i="4"/>
  <c r="F249" i="4"/>
  <c r="D249" i="4"/>
  <c r="G248" i="4"/>
  <c r="F248" i="4"/>
  <c r="D248" i="4"/>
  <c r="G247" i="4"/>
  <c r="D247" i="4"/>
  <c r="F247" i="4" s="1"/>
  <c r="G246" i="4"/>
  <c r="D246" i="4"/>
  <c r="F246" i="4" s="1"/>
  <c r="G245" i="4"/>
  <c r="F245" i="4"/>
  <c r="D245" i="4"/>
  <c r="G244" i="4"/>
  <c r="D244" i="4"/>
  <c r="F244" i="4" s="1"/>
  <c r="G243" i="4"/>
  <c r="D243" i="4"/>
  <c r="F243" i="4" s="1"/>
  <c r="G242" i="4"/>
  <c r="D242" i="4"/>
  <c r="F242" i="4" s="1"/>
  <c r="G241" i="4"/>
  <c r="F241" i="4"/>
  <c r="D241" i="4"/>
  <c r="G240" i="4"/>
  <c r="F240" i="4"/>
  <c r="D240" i="4"/>
  <c r="G239" i="4"/>
  <c r="D239" i="4"/>
  <c r="F239" i="4" s="1"/>
  <c r="G238" i="4"/>
  <c r="D238" i="4"/>
  <c r="F238" i="4" s="1"/>
  <c r="G237" i="4"/>
  <c r="F237" i="4"/>
  <c r="D237" i="4"/>
  <c r="G236" i="4"/>
  <c r="D236" i="4"/>
  <c r="F236" i="4" s="1"/>
  <c r="G235" i="4"/>
  <c r="D235" i="4"/>
  <c r="F235" i="4" s="1"/>
  <c r="G234" i="4"/>
  <c r="D234" i="4"/>
  <c r="F234" i="4" s="1"/>
  <c r="G233" i="4"/>
  <c r="F233" i="4"/>
  <c r="D233" i="4"/>
  <c r="G232" i="4"/>
  <c r="F232" i="4"/>
  <c r="D232" i="4"/>
  <c r="G231" i="4"/>
  <c r="D231" i="4"/>
  <c r="F231" i="4" s="1"/>
  <c r="G230" i="4"/>
  <c r="D230" i="4"/>
  <c r="F230" i="4" s="1"/>
  <c r="G229" i="4"/>
  <c r="F229" i="4"/>
  <c r="D229" i="4"/>
  <c r="G228" i="4"/>
  <c r="D228" i="4"/>
  <c r="F228" i="4" s="1"/>
  <c r="G227" i="4"/>
  <c r="D227" i="4"/>
  <c r="F227" i="4" s="1"/>
  <c r="G226" i="4"/>
  <c r="D226" i="4"/>
  <c r="F226" i="4" s="1"/>
  <c r="G225" i="4"/>
  <c r="F225" i="4"/>
  <c r="D225" i="4"/>
  <c r="G224" i="4"/>
  <c r="F224" i="4"/>
  <c r="D224" i="4"/>
  <c r="G223" i="4"/>
  <c r="D223" i="4"/>
  <c r="F223" i="4" s="1"/>
  <c r="G222" i="4"/>
  <c r="D222" i="4"/>
  <c r="F222" i="4" s="1"/>
  <c r="G221" i="4"/>
  <c r="F221" i="4"/>
  <c r="D221" i="4"/>
  <c r="G220" i="4"/>
  <c r="D220" i="4"/>
  <c r="F220" i="4" s="1"/>
  <c r="G219" i="4"/>
  <c r="D219" i="4"/>
  <c r="F219" i="4" s="1"/>
  <c r="G218" i="4"/>
  <c r="D218" i="4"/>
  <c r="F218" i="4" s="1"/>
  <c r="G217" i="4"/>
  <c r="F217" i="4"/>
  <c r="D217" i="4"/>
  <c r="G216" i="4"/>
  <c r="F216" i="4"/>
  <c r="D216" i="4"/>
  <c r="G215" i="4"/>
  <c r="D215" i="4"/>
  <c r="F215" i="4" s="1"/>
  <c r="G214" i="4"/>
  <c r="D214" i="4"/>
  <c r="F214" i="4" s="1"/>
  <c r="G213" i="4"/>
  <c r="F213" i="4"/>
  <c r="D213" i="4"/>
  <c r="G212" i="4"/>
  <c r="D212" i="4"/>
  <c r="F212" i="4" s="1"/>
  <c r="G211" i="4"/>
  <c r="D211" i="4"/>
  <c r="F211" i="4" s="1"/>
  <c r="G210" i="4"/>
  <c r="D210" i="4"/>
  <c r="F210" i="4" s="1"/>
  <c r="G209" i="4"/>
  <c r="F209" i="4"/>
  <c r="D209" i="4"/>
  <c r="G208" i="4"/>
  <c r="F208" i="4"/>
  <c r="D208" i="4"/>
  <c r="G207" i="4"/>
  <c r="D207" i="4"/>
  <c r="F207" i="4" s="1"/>
  <c r="G206" i="4"/>
  <c r="D206" i="4"/>
  <c r="F206" i="4" s="1"/>
  <c r="G205" i="4"/>
  <c r="F205" i="4"/>
  <c r="D205" i="4"/>
  <c r="G204" i="4"/>
  <c r="D204" i="4"/>
  <c r="F204" i="4" s="1"/>
  <c r="G203" i="4"/>
  <c r="D203" i="4"/>
  <c r="F203" i="4" s="1"/>
  <c r="G202" i="4"/>
  <c r="D202" i="4"/>
  <c r="F202" i="4" s="1"/>
  <c r="G201" i="4"/>
  <c r="F201" i="4"/>
  <c r="D201" i="4"/>
  <c r="G200" i="4"/>
  <c r="F200" i="4"/>
  <c r="D200" i="4"/>
  <c r="G199" i="4"/>
  <c r="D199" i="4"/>
  <c r="F199" i="4" s="1"/>
  <c r="G198" i="4"/>
  <c r="D198" i="4"/>
  <c r="F198" i="4" s="1"/>
  <c r="G197" i="4"/>
  <c r="F197" i="4"/>
  <c r="D197" i="4"/>
  <c r="G196" i="4"/>
  <c r="D196" i="4"/>
  <c r="F196" i="4" s="1"/>
  <c r="G195" i="4"/>
  <c r="D195" i="4"/>
  <c r="F195" i="4" s="1"/>
  <c r="G194" i="4"/>
  <c r="D194" i="4"/>
  <c r="F194" i="4" s="1"/>
  <c r="G193" i="4"/>
  <c r="F193" i="4"/>
  <c r="D193" i="4"/>
  <c r="G192" i="4"/>
  <c r="F192" i="4"/>
  <c r="D192" i="4"/>
  <c r="G191" i="4"/>
  <c r="D191" i="4"/>
  <c r="F191" i="4" s="1"/>
  <c r="G190" i="4"/>
  <c r="D190" i="4"/>
  <c r="F190" i="4" s="1"/>
  <c r="G189" i="4"/>
  <c r="F189" i="4"/>
  <c r="D189" i="4"/>
  <c r="G188" i="4"/>
  <c r="D188" i="4"/>
  <c r="F188" i="4" s="1"/>
  <c r="G187" i="4"/>
  <c r="D187" i="4"/>
  <c r="F187" i="4" s="1"/>
  <c r="G186" i="4"/>
  <c r="D186" i="4"/>
  <c r="F186" i="4" s="1"/>
  <c r="G185" i="4"/>
  <c r="F185" i="4"/>
  <c r="D185" i="4"/>
  <c r="G184" i="4"/>
  <c r="F184" i="4"/>
  <c r="D184" i="4"/>
  <c r="G183" i="4"/>
  <c r="D183" i="4"/>
  <c r="F183" i="4" s="1"/>
  <c r="G182" i="4"/>
  <c r="D182" i="4"/>
  <c r="F182" i="4" s="1"/>
  <c r="G181" i="4"/>
  <c r="F181" i="4"/>
  <c r="D181" i="4"/>
  <c r="G180" i="4"/>
  <c r="D180" i="4"/>
  <c r="F180" i="4" s="1"/>
  <c r="G179" i="4"/>
  <c r="F179" i="4"/>
  <c r="D179" i="4"/>
  <c r="G178" i="4"/>
  <c r="D178" i="4"/>
  <c r="F178" i="4" s="1"/>
  <c r="G177" i="4"/>
  <c r="F177" i="4"/>
  <c r="D177" i="4"/>
  <c r="G176" i="4"/>
  <c r="F176" i="4"/>
  <c r="D176" i="4"/>
  <c r="G175" i="4"/>
  <c r="F175" i="4"/>
  <c r="D175" i="4"/>
  <c r="G174" i="4"/>
  <c r="D174" i="4"/>
  <c r="F174" i="4" s="1"/>
  <c r="G173" i="4"/>
  <c r="F173" i="4"/>
  <c r="D173" i="4"/>
  <c r="G172" i="4"/>
  <c r="F172" i="4"/>
  <c r="D172" i="4"/>
  <c r="G171" i="4"/>
  <c r="F171" i="4"/>
  <c r="D171" i="4"/>
  <c r="G170" i="4"/>
  <c r="D170" i="4"/>
  <c r="F170" i="4" s="1"/>
  <c r="G169" i="4"/>
  <c r="F169" i="4"/>
  <c r="D169" i="4"/>
  <c r="G168" i="4"/>
  <c r="F168" i="4"/>
  <c r="D168" i="4"/>
  <c r="G167" i="4"/>
  <c r="D167" i="4"/>
  <c r="F167" i="4" s="1"/>
  <c r="G166" i="4"/>
  <c r="D166" i="4"/>
  <c r="F166" i="4" s="1"/>
  <c r="G165" i="4"/>
  <c r="F165" i="4"/>
  <c r="D165" i="4"/>
  <c r="G164" i="4"/>
  <c r="D164" i="4"/>
  <c r="F164" i="4" s="1"/>
  <c r="G163" i="4"/>
  <c r="F163" i="4"/>
  <c r="D163" i="4"/>
  <c r="G162" i="4"/>
  <c r="D162" i="4"/>
  <c r="F162" i="4" s="1"/>
  <c r="G161" i="4"/>
  <c r="F161" i="4"/>
  <c r="D161" i="4"/>
  <c r="G160" i="4"/>
  <c r="F160" i="4"/>
  <c r="D160" i="4"/>
  <c r="G159" i="4"/>
  <c r="F159" i="4"/>
  <c r="D159" i="4"/>
  <c r="G158" i="4"/>
  <c r="D158" i="4"/>
  <c r="F158" i="4" s="1"/>
  <c r="G157" i="4"/>
  <c r="F157" i="4"/>
  <c r="D157" i="4"/>
  <c r="G156" i="4"/>
  <c r="F156" i="4"/>
  <c r="D156" i="4"/>
  <c r="G155" i="4"/>
  <c r="F155" i="4"/>
  <c r="D155" i="4"/>
  <c r="G154" i="4"/>
  <c r="D154" i="4"/>
  <c r="F154" i="4" s="1"/>
  <c r="G153" i="4"/>
  <c r="F153" i="4"/>
  <c r="D153" i="4"/>
  <c r="G152" i="4"/>
  <c r="F152" i="4"/>
  <c r="D152" i="4"/>
  <c r="G151" i="4"/>
  <c r="D151" i="4"/>
  <c r="F151" i="4" s="1"/>
  <c r="G150" i="4"/>
  <c r="D150" i="4"/>
  <c r="F150" i="4" s="1"/>
  <c r="G149" i="4"/>
  <c r="F149" i="4"/>
  <c r="D149" i="4"/>
  <c r="G148" i="4"/>
  <c r="D148" i="4"/>
  <c r="F148" i="4" s="1"/>
  <c r="G147" i="4"/>
  <c r="F147" i="4"/>
  <c r="D147" i="4"/>
  <c r="G146" i="4"/>
  <c r="D146" i="4"/>
  <c r="F146" i="4" s="1"/>
  <c r="G145" i="4"/>
  <c r="F145" i="4"/>
  <c r="D145" i="4"/>
  <c r="G144" i="4"/>
  <c r="F144" i="4"/>
  <c r="D144" i="4"/>
  <c r="G143" i="4"/>
  <c r="F143" i="4"/>
  <c r="D143" i="4"/>
  <c r="G142" i="4"/>
  <c r="D142" i="4"/>
  <c r="F142" i="4" s="1"/>
  <c r="G141" i="4"/>
  <c r="F141" i="4"/>
  <c r="D141" i="4"/>
  <c r="G140" i="4"/>
  <c r="F140" i="4"/>
  <c r="D140" i="4"/>
  <c r="G139" i="4"/>
  <c r="F139" i="4"/>
  <c r="D139" i="4"/>
  <c r="G138" i="4"/>
  <c r="D138" i="4"/>
  <c r="F138" i="4" s="1"/>
  <c r="G137" i="4"/>
  <c r="F137" i="4"/>
  <c r="D137" i="4"/>
  <c r="G136" i="4"/>
  <c r="F136" i="4"/>
  <c r="D136" i="4"/>
  <c r="G135" i="4"/>
  <c r="D135" i="4"/>
  <c r="F135" i="4" s="1"/>
  <c r="G134" i="4"/>
  <c r="D134" i="4"/>
  <c r="F134" i="4" s="1"/>
  <c r="G133" i="4"/>
  <c r="F133" i="4"/>
  <c r="D133" i="4"/>
  <c r="G132" i="4"/>
  <c r="D132" i="4"/>
  <c r="F132" i="4" s="1"/>
  <c r="G131" i="4"/>
  <c r="D131" i="4"/>
  <c r="F131" i="4" s="1"/>
  <c r="G130" i="4"/>
  <c r="F130" i="4"/>
  <c r="D130" i="4"/>
  <c r="G129" i="4"/>
  <c r="F129" i="4"/>
  <c r="D129" i="4"/>
  <c r="G128" i="4"/>
  <c r="D128" i="4"/>
  <c r="F128" i="4" s="1"/>
  <c r="G127" i="4"/>
  <c r="D127" i="4"/>
  <c r="F127" i="4" s="1"/>
  <c r="G126" i="4"/>
  <c r="F126" i="4"/>
  <c r="D126" i="4"/>
  <c r="G125" i="4"/>
  <c r="F125" i="4"/>
  <c r="D125" i="4"/>
  <c r="G124" i="4"/>
  <c r="D124" i="4"/>
  <c r="F124" i="4" s="1"/>
  <c r="G123" i="4"/>
  <c r="D123" i="4"/>
  <c r="F123" i="4" s="1"/>
  <c r="G122" i="4"/>
  <c r="F122" i="4"/>
  <c r="D122" i="4"/>
  <c r="G121" i="4"/>
  <c r="F121" i="4"/>
  <c r="D121" i="4"/>
  <c r="G120" i="4"/>
  <c r="D120" i="4"/>
  <c r="F120" i="4" s="1"/>
  <c r="G119" i="4"/>
  <c r="D119" i="4"/>
  <c r="F119" i="4" s="1"/>
  <c r="G118" i="4"/>
  <c r="F118" i="4"/>
  <c r="D118" i="4"/>
  <c r="G117" i="4"/>
  <c r="F117" i="4"/>
  <c r="D117" i="4"/>
  <c r="G116" i="4"/>
  <c r="D116" i="4"/>
  <c r="F116" i="4" s="1"/>
  <c r="G115" i="4"/>
  <c r="D115" i="4"/>
  <c r="F115" i="4" s="1"/>
  <c r="G114" i="4"/>
  <c r="F114" i="4"/>
  <c r="D114" i="4"/>
  <c r="G113" i="4"/>
  <c r="F113" i="4"/>
  <c r="D113" i="4"/>
  <c r="G112" i="4"/>
  <c r="D112" i="4"/>
  <c r="F112" i="4" s="1"/>
  <c r="G111" i="4"/>
  <c r="D111" i="4"/>
  <c r="F111" i="4" s="1"/>
  <c r="G110" i="4"/>
  <c r="F110" i="4"/>
  <c r="D110" i="4"/>
  <c r="G109" i="4"/>
  <c r="F109" i="4"/>
  <c r="D109" i="4"/>
  <c r="G108" i="4"/>
  <c r="D108" i="4"/>
  <c r="F108" i="4" s="1"/>
  <c r="G107" i="4"/>
  <c r="D107" i="4"/>
  <c r="F107" i="4" s="1"/>
  <c r="G106" i="4"/>
  <c r="F106" i="4"/>
  <c r="D106" i="4"/>
  <c r="G105" i="4"/>
  <c r="F105" i="4"/>
  <c r="D105" i="4"/>
  <c r="G104" i="4"/>
  <c r="D104" i="4"/>
  <c r="F104" i="4" s="1"/>
  <c r="G103" i="4"/>
  <c r="F103" i="4"/>
  <c r="D103" i="4"/>
  <c r="G102" i="4"/>
  <c r="F102" i="4"/>
  <c r="D102" i="4"/>
  <c r="G101" i="4"/>
  <c r="F101" i="4"/>
  <c r="D101" i="4"/>
  <c r="G100" i="4"/>
  <c r="D100" i="4"/>
  <c r="F100" i="4" s="1"/>
  <c r="G99" i="4"/>
  <c r="F99" i="4"/>
  <c r="D99" i="4"/>
  <c r="G98" i="4"/>
  <c r="F98" i="4"/>
  <c r="D98" i="4"/>
  <c r="G97" i="4"/>
  <c r="F97" i="4"/>
  <c r="D97" i="4"/>
  <c r="G96" i="4"/>
  <c r="D96" i="4"/>
  <c r="F96" i="4" s="1"/>
  <c r="G95" i="4"/>
  <c r="F95" i="4"/>
  <c r="D95" i="4"/>
  <c r="G94" i="4"/>
  <c r="F94" i="4"/>
  <c r="D94" i="4"/>
  <c r="G93" i="4"/>
  <c r="F93" i="4"/>
  <c r="D93" i="4"/>
  <c r="G92" i="4"/>
  <c r="D92" i="4"/>
  <c r="F92" i="4" s="1"/>
  <c r="G91" i="4"/>
  <c r="D91" i="4"/>
  <c r="F91" i="4" s="1"/>
  <c r="G90" i="4"/>
  <c r="F90" i="4"/>
  <c r="D90" i="4"/>
  <c r="G89" i="4"/>
  <c r="F89" i="4"/>
  <c r="D89" i="4"/>
  <c r="G88" i="4"/>
  <c r="D88" i="4"/>
  <c r="F88" i="4" s="1"/>
  <c r="G87" i="4"/>
  <c r="D87" i="4"/>
  <c r="F87" i="4" s="1"/>
  <c r="G86" i="4"/>
  <c r="F86" i="4"/>
  <c r="D86" i="4"/>
  <c r="G85" i="4"/>
  <c r="F85" i="4"/>
  <c r="D85" i="4"/>
  <c r="G84" i="4"/>
  <c r="D84" i="4"/>
  <c r="F84" i="4" s="1"/>
  <c r="G83" i="4"/>
  <c r="D83" i="4"/>
  <c r="F83" i="4" s="1"/>
  <c r="G82" i="4"/>
  <c r="F82" i="4"/>
  <c r="D82" i="4"/>
  <c r="G81" i="4"/>
  <c r="F81" i="4"/>
  <c r="D81" i="4"/>
  <c r="G80" i="4"/>
  <c r="D80" i="4"/>
  <c r="F80" i="4" s="1"/>
  <c r="G79" i="4"/>
  <c r="D79" i="4"/>
  <c r="F79" i="4" s="1"/>
  <c r="G78" i="4"/>
  <c r="F78" i="4"/>
  <c r="D78" i="4"/>
  <c r="G77" i="4"/>
  <c r="F77" i="4"/>
  <c r="D77" i="4"/>
  <c r="G76" i="4"/>
  <c r="D76" i="4"/>
  <c r="F76" i="4" s="1"/>
  <c r="G75" i="4"/>
  <c r="F75" i="4"/>
  <c r="D75" i="4"/>
  <c r="G74" i="4"/>
  <c r="F74" i="4"/>
  <c r="D74" i="4"/>
  <c r="G73" i="4"/>
  <c r="F73" i="4"/>
  <c r="D73" i="4"/>
  <c r="G72" i="4"/>
  <c r="D72" i="4"/>
  <c r="F72" i="4" s="1"/>
  <c r="G71" i="4"/>
  <c r="D71" i="4"/>
  <c r="F71" i="4" s="1"/>
  <c r="G70" i="4"/>
  <c r="F70" i="4"/>
  <c r="D70" i="4"/>
  <c r="G69" i="4"/>
  <c r="F69" i="4"/>
  <c r="D69" i="4"/>
  <c r="G68" i="4"/>
  <c r="D68" i="4"/>
  <c r="F68" i="4" s="1"/>
  <c r="G67" i="4"/>
  <c r="D67" i="4"/>
  <c r="F67" i="4" s="1"/>
  <c r="G66" i="4"/>
  <c r="F66" i="4"/>
  <c r="D66" i="4"/>
  <c r="G65" i="4"/>
  <c r="F65" i="4"/>
  <c r="D65" i="4"/>
  <c r="G64" i="4"/>
  <c r="D64" i="4"/>
  <c r="F64" i="4" s="1"/>
  <c r="G63" i="4"/>
  <c r="D63" i="4"/>
  <c r="F63" i="4" s="1"/>
  <c r="G62" i="4"/>
  <c r="F62" i="4"/>
  <c r="D62" i="4"/>
  <c r="G61" i="4"/>
  <c r="F61" i="4"/>
  <c r="D61" i="4"/>
  <c r="G60" i="4"/>
  <c r="D60" i="4"/>
  <c r="F60" i="4" s="1"/>
  <c r="G59" i="4"/>
  <c r="D59" i="4"/>
  <c r="F59" i="4" s="1"/>
  <c r="G58" i="4"/>
  <c r="F58" i="4"/>
  <c r="D58" i="4"/>
  <c r="G57" i="4"/>
  <c r="F57" i="4"/>
  <c r="D57" i="4"/>
  <c r="G56" i="4"/>
  <c r="D56" i="4"/>
  <c r="F56" i="4" s="1"/>
  <c r="G55" i="4"/>
  <c r="D55" i="4"/>
  <c r="F55" i="4" s="1"/>
  <c r="G54" i="4"/>
  <c r="F54" i="4"/>
  <c r="D54" i="4"/>
  <c r="G53" i="4"/>
  <c r="F53" i="4"/>
  <c r="D53" i="4"/>
  <c r="G52" i="4"/>
  <c r="D52" i="4"/>
  <c r="F52" i="4" s="1"/>
  <c r="G51" i="4"/>
  <c r="D51" i="4"/>
  <c r="F51" i="4" s="1"/>
  <c r="G50" i="4"/>
  <c r="F50" i="4"/>
  <c r="D50" i="4"/>
  <c r="G49" i="4"/>
  <c r="F49" i="4"/>
  <c r="D49" i="4"/>
  <c r="G48" i="4"/>
  <c r="D48" i="4"/>
  <c r="F48" i="4" s="1"/>
  <c r="G47" i="4"/>
  <c r="D47" i="4"/>
  <c r="F47" i="4" s="1"/>
  <c r="G46" i="4"/>
  <c r="F46" i="4"/>
  <c r="D46" i="4"/>
  <c r="G45" i="4"/>
  <c r="F45" i="4"/>
  <c r="D45" i="4"/>
  <c r="G44" i="4"/>
  <c r="D44" i="4"/>
  <c r="F44" i="4" s="1"/>
  <c r="G43" i="4"/>
  <c r="D43" i="4"/>
  <c r="F43" i="4" s="1"/>
  <c r="G42" i="4"/>
  <c r="F42" i="4"/>
  <c r="D42" i="4"/>
  <c r="G41" i="4"/>
  <c r="F41" i="4"/>
  <c r="D41" i="4"/>
  <c r="G40" i="4"/>
  <c r="D40" i="4"/>
  <c r="F40" i="4" s="1"/>
  <c r="G39" i="4"/>
  <c r="F39" i="4"/>
  <c r="D39" i="4"/>
  <c r="G38" i="4"/>
  <c r="F38" i="4"/>
  <c r="D38" i="4"/>
  <c r="G37" i="4"/>
  <c r="F37" i="4"/>
  <c r="D37" i="4"/>
  <c r="G36" i="4"/>
  <c r="D36" i="4"/>
  <c r="F36" i="4" s="1"/>
  <c r="G35" i="4"/>
  <c r="D35" i="4"/>
  <c r="F35" i="4" s="1"/>
  <c r="G34" i="4"/>
  <c r="F34" i="4"/>
  <c r="D34" i="4"/>
  <c r="G33" i="4"/>
  <c r="F33" i="4"/>
  <c r="D33" i="4"/>
  <c r="G32" i="4"/>
  <c r="D32" i="4"/>
  <c r="F32" i="4" s="1"/>
  <c r="G31" i="4"/>
  <c r="D31" i="4"/>
  <c r="F31" i="4" s="1"/>
  <c r="G30" i="4"/>
  <c r="F30" i="4"/>
  <c r="D30" i="4"/>
  <c r="G29" i="4"/>
  <c r="F29" i="4"/>
  <c r="D29" i="4"/>
  <c r="G28" i="4"/>
  <c r="D28" i="4"/>
  <c r="F28" i="4" s="1"/>
  <c r="G27" i="4"/>
  <c r="D27" i="4"/>
  <c r="F27" i="4" s="1"/>
  <c r="G26" i="4"/>
  <c r="F26" i="4"/>
  <c r="D26" i="4"/>
  <c r="G25" i="4"/>
  <c r="F25" i="4"/>
  <c r="D25" i="4"/>
  <c r="G24" i="4"/>
  <c r="D24" i="4"/>
  <c r="F24" i="4" s="1"/>
  <c r="G23" i="4"/>
  <c r="D23" i="4"/>
  <c r="F23" i="4" s="1"/>
  <c r="G22" i="4"/>
  <c r="F22" i="4"/>
  <c r="D22" i="4"/>
  <c r="G21" i="4"/>
  <c r="F21" i="4"/>
  <c r="D21" i="4"/>
  <c r="G20" i="4"/>
  <c r="D20" i="4"/>
  <c r="F20" i="4" s="1"/>
  <c r="G19" i="4"/>
  <c r="F19" i="4"/>
  <c r="D19" i="4"/>
  <c r="G18" i="4"/>
  <c r="F18" i="4"/>
  <c r="D18" i="4"/>
  <c r="G17" i="4"/>
  <c r="F17" i="4"/>
  <c r="D17" i="4"/>
  <c r="G16" i="4"/>
  <c r="D16" i="4"/>
  <c r="F16" i="4" s="1"/>
  <c r="G15" i="4"/>
  <c r="D15" i="4"/>
  <c r="F15" i="4" s="1"/>
  <c r="G14" i="4"/>
  <c r="F14" i="4"/>
  <c r="D14" i="4"/>
  <c r="G13" i="4"/>
  <c r="F13" i="4"/>
  <c r="D13" i="4"/>
  <c r="G12" i="4"/>
  <c r="D12" i="4"/>
  <c r="F12" i="4" s="1"/>
  <c r="G11" i="4"/>
  <c r="D11" i="4"/>
  <c r="F11" i="4" s="1"/>
  <c r="G10" i="4"/>
  <c r="F10" i="4"/>
  <c r="D10" i="4"/>
  <c r="G9" i="4"/>
  <c r="F9" i="4"/>
  <c r="D9" i="4"/>
  <c r="G8" i="4"/>
  <c r="D8" i="4"/>
  <c r="F8" i="4" s="1"/>
  <c r="G7" i="4"/>
  <c r="D7" i="4"/>
  <c r="F7" i="4" s="1"/>
  <c r="G6" i="4"/>
  <c r="F6" i="4"/>
  <c r="D6" i="4"/>
  <c r="G5" i="4"/>
  <c r="F5" i="4"/>
  <c r="D5" i="4"/>
  <c r="G4" i="4"/>
  <c r="D4" i="4"/>
  <c r="F4" i="4" s="1"/>
  <c r="G3" i="4"/>
  <c r="D3" i="4"/>
  <c r="F3" i="4" s="1"/>
  <c r="G2" i="4"/>
  <c r="F2" i="4"/>
  <c r="D2" i="4"/>
  <c r="G260" i="3"/>
  <c r="F260" i="3"/>
  <c r="D260" i="3"/>
  <c r="G259" i="3"/>
  <c r="D259" i="3"/>
  <c r="F259" i="3" s="1"/>
  <c r="G258" i="3"/>
  <c r="D258" i="3"/>
  <c r="F258" i="3" s="1"/>
  <c r="G257" i="3"/>
  <c r="F257" i="3"/>
  <c r="D257" i="3"/>
  <c r="G256" i="3"/>
  <c r="F256" i="3"/>
  <c r="D256" i="3"/>
  <c r="G255" i="3"/>
  <c r="D255" i="3"/>
  <c r="F255" i="3" s="1"/>
  <c r="G254" i="3"/>
  <c r="D254" i="3"/>
  <c r="F254" i="3" s="1"/>
  <c r="G253" i="3"/>
  <c r="F253" i="3"/>
  <c r="D253" i="3"/>
  <c r="G252" i="3"/>
  <c r="F252" i="3"/>
  <c r="D252" i="3"/>
  <c r="G251" i="3"/>
  <c r="D251" i="3"/>
  <c r="F251" i="3" s="1"/>
  <c r="G250" i="3"/>
  <c r="D250" i="3"/>
  <c r="F250" i="3" s="1"/>
  <c r="G249" i="3"/>
  <c r="F249" i="3"/>
  <c r="D249" i="3"/>
  <c r="G248" i="3"/>
  <c r="F248" i="3"/>
  <c r="D248" i="3"/>
  <c r="G247" i="3"/>
  <c r="D247" i="3"/>
  <c r="F247" i="3" s="1"/>
  <c r="G246" i="3"/>
  <c r="D246" i="3"/>
  <c r="F246" i="3" s="1"/>
  <c r="G245" i="3"/>
  <c r="F245" i="3"/>
  <c r="D245" i="3"/>
  <c r="G244" i="3"/>
  <c r="F244" i="3"/>
  <c r="D244" i="3"/>
  <c r="G243" i="3"/>
  <c r="D243" i="3"/>
  <c r="F243" i="3" s="1"/>
  <c r="G242" i="3"/>
  <c r="F242" i="3"/>
  <c r="D242" i="3"/>
  <c r="G241" i="3"/>
  <c r="F241" i="3"/>
  <c r="D241" i="3"/>
  <c r="G240" i="3"/>
  <c r="F240" i="3"/>
  <c r="D240" i="3"/>
  <c r="G239" i="3"/>
  <c r="D239" i="3"/>
  <c r="F239" i="3" s="1"/>
  <c r="G238" i="3"/>
  <c r="D238" i="3"/>
  <c r="F238" i="3" s="1"/>
  <c r="G237" i="3"/>
  <c r="F237" i="3"/>
  <c r="D237" i="3"/>
  <c r="G236" i="3"/>
  <c r="F236" i="3"/>
  <c r="D236" i="3"/>
  <c r="G235" i="3"/>
  <c r="D235" i="3"/>
  <c r="F235" i="3" s="1"/>
  <c r="G234" i="3"/>
  <c r="C234" i="3"/>
  <c r="D234" i="3" s="1"/>
  <c r="F234" i="3" s="1"/>
  <c r="G233" i="3"/>
  <c r="D233" i="3"/>
  <c r="F233" i="3" s="1"/>
  <c r="G232" i="3"/>
  <c r="F232" i="3"/>
  <c r="D232" i="3"/>
  <c r="G231" i="3"/>
  <c r="F231" i="3"/>
  <c r="D231" i="3"/>
  <c r="G230" i="3"/>
  <c r="D230" i="3"/>
  <c r="F230" i="3" s="1"/>
  <c r="G229" i="3"/>
  <c r="C229" i="3"/>
  <c r="D229" i="3" s="1"/>
  <c r="F229" i="3" s="1"/>
  <c r="B229" i="3"/>
  <c r="G228" i="3"/>
  <c r="D228" i="3"/>
  <c r="F228" i="3" s="1"/>
  <c r="G227" i="3"/>
  <c r="F227" i="3"/>
  <c r="D227" i="3"/>
  <c r="G226" i="3"/>
  <c r="F226" i="3"/>
  <c r="D226" i="3"/>
  <c r="G225" i="3"/>
  <c r="F225" i="3"/>
  <c r="D225" i="3"/>
  <c r="G224" i="3"/>
  <c r="D224" i="3"/>
  <c r="F224" i="3" s="1"/>
  <c r="G223" i="3"/>
  <c r="C223" i="3"/>
  <c r="D223" i="3" s="1"/>
  <c r="F223" i="3" s="1"/>
  <c r="G222" i="3"/>
  <c r="D222" i="3"/>
  <c r="F222" i="3" s="1"/>
  <c r="G221" i="3"/>
  <c r="F221" i="3"/>
  <c r="D221" i="3"/>
  <c r="G220" i="3"/>
  <c r="F220" i="3"/>
  <c r="D220" i="3"/>
  <c r="G219" i="3"/>
  <c r="D219" i="3"/>
  <c r="F219" i="3" s="1"/>
  <c r="G218" i="3"/>
  <c r="D218" i="3"/>
  <c r="F218" i="3" s="1"/>
  <c r="G217" i="3"/>
  <c r="F217" i="3"/>
  <c r="D217" i="3"/>
  <c r="G216" i="3"/>
  <c r="F216" i="3"/>
  <c r="D216" i="3"/>
  <c r="C216" i="3"/>
  <c r="G215" i="3"/>
  <c r="F215" i="3"/>
  <c r="D215" i="3"/>
  <c r="G214" i="3"/>
  <c r="D214" i="3"/>
  <c r="F214" i="3" s="1"/>
  <c r="G213" i="3"/>
  <c r="D213" i="3"/>
  <c r="F213" i="3" s="1"/>
  <c r="G212" i="3"/>
  <c r="F212" i="3"/>
  <c r="D212" i="3"/>
  <c r="G211" i="3"/>
  <c r="F211" i="3"/>
  <c r="D211" i="3"/>
  <c r="G210" i="3"/>
  <c r="D210" i="3"/>
  <c r="F210" i="3" s="1"/>
  <c r="G209" i="3"/>
  <c r="D209" i="3"/>
  <c r="F209" i="3" s="1"/>
  <c r="G208" i="3"/>
  <c r="B208" i="3"/>
  <c r="D208" i="3" s="1"/>
  <c r="F208" i="3" s="1"/>
  <c r="G207" i="3"/>
  <c r="F207" i="3"/>
  <c r="D207" i="3"/>
  <c r="G206" i="3"/>
  <c r="F206" i="3"/>
  <c r="D206" i="3"/>
  <c r="G205" i="3"/>
  <c r="D205" i="3"/>
  <c r="F205" i="3" s="1"/>
  <c r="G204" i="3"/>
  <c r="D204" i="3"/>
  <c r="F204" i="3" s="1"/>
  <c r="G203" i="3"/>
  <c r="F203" i="3"/>
  <c r="D203" i="3"/>
  <c r="G202" i="3"/>
  <c r="D202" i="3"/>
  <c r="F202" i="3" s="1"/>
  <c r="G201" i="3"/>
  <c r="D201" i="3"/>
  <c r="F201" i="3" s="1"/>
  <c r="G200" i="3"/>
  <c r="D200" i="3"/>
  <c r="F200" i="3" s="1"/>
  <c r="G199" i="3"/>
  <c r="F199" i="3"/>
  <c r="D199" i="3"/>
  <c r="G198" i="3"/>
  <c r="F198" i="3"/>
  <c r="D198" i="3"/>
  <c r="B198" i="3"/>
  <c r="G197" i="3"/>
  <c r="F197" i="3"/>
  <c r="D197" i="3"/>
  <c r="G196" i="3"/>
  <c r="D196" i="3"/>
  <c r="F196" i="3" s="1"/>
  <c r="G195" i="3"/>
  <c r="D195" i="3"/>
  <c r="F195" i="3" s="1"/>
  <c r="G194" i="3"/>
  <c r="B194" i="3"/>
  <c r="D194" i="3" s="1"/>
  <c r="F194" i="3" s="1"/>
  <c r="G193" i="3"/>
  <c r="F193" i="3"/>
  <c r="D193" i="3"/>
  <c r="G192" i="3"/>
  <c r="D192" i="3"/>
  <c r="F192" i="3" s="1"/>
  <c r="G191" i="3"/>
  <c r="D191" i="3"/>
  <c r="F191" i="3" s="1"/>
  <c r="G190" i="3"/>
  <c r="D190" i="3"/>
  <c r="F190" i="3" s="1"/>
  <c r="G189" i="3"/>
  <c r="F189" i="3"/>
  <c r="D189" i="3"/>
  <c r="G188" i="3"/>
  <c r="D188" i="3"/>
  <c r="F188" i="3" s="1"/>
  <c r="G187" i="3"/>
  <c r="D187" i="3"/>
  <c r="F187" i="3" s="1"/>
  <c r="G186" i="3"/>
  <c r="D186" i="3"/>
  <c r="F186" i="3" s="1"/>
  <c r="G185" i="3"/>
  <c r="B185" i="3"/>
  <c r="D185" i="3" s="1"/>
  <c r="F185" i="3" s="1"/>
  <c r="G184" i="3"/>
  <c r="F184" i="3"/>
  <c r="D184" i="3"/>
  <c r="G183" i="3"/>
  <c r="F183" i="3"/>
  <c r="D183" i="3"/>
  <c r="G182" i="3"/>
  <c r="D182" i="3"/>
  <c r="F182" i="3" s="1"/>
  <c r="G181" i="3"/>
  <c r="D181" i="3"/>
  <c r="F181" i="3" s="1"/>
  <c r="G180" i="3"/>
  <c r="F180" i="3"/>
  <c r="D180" i="3"/>
  <c r="G179" i="3"/>
  <c r="D179" i="3"/>
  <c r="F179" i="3" s="1"/>
  <c r="B179" i="3"/>
  <c r="G178" i="3"/>
  <c r="D178" i="3"/>
  <c r="F178" i="3" s="1"/>
  <c r="G177" i="3"/>
  <c r="D177" i="3"/>
  <c r="F177" i="3" s="1"/>
  <c r="G176" i="3"/>
  <c r="D176" i="3"/>
  <c r="F176" i="3" s="1"/>
  <c r="G175" i="3"/>
  <c r="F175" i="3"/>
  <c r="D175" i="3"/>
  <c r="G174" i="3"/>
  <c r="F174" i="3"/>
  <c r="D174" i="3"/>
  <c r="G173" i="3"/>
  <c r="D173" i="3"/>
  <c r="F173" i="3" s="1"/>
  <c r="G172" i="3"/>
  <c r="D172" i="3"/>
  <c r="F172" i="3" s="1"/>
  <c r="G171" i="3"/>
  <c r="F171" i="3"/>
  <c r="D171" i="3"/>
  <c r="G170" i="3"/>
  <c r="D170" i="3"/>
  <c r="F170" i="3" s="1"/>
  <c r="G169" i="3"/>
  <c r="D169" i="3"/>
  <c r="F169" i="3" s="1"/>
  <c r="G168" i="3"/>
  <c r="D168" i="3"/>
  <c r="F168" i="3" s="1"/>
  <c r="G167" i="3"/>
  <c r="F167" i="3"/>
  <c r="D167" i="3"/>
  <c r="G166" i="3"/>
  <c r="F166" i="3"/>
  <c r="D166" i="3"/>
  <c r="G165" i="3"/>
  <c r="D165" i="3"/>
  <c r="F165" i="3" s="1"/>
  <c r="G164" i="3"/>
  <c r="D164" i="3"/>
  <c r="F164" i="3" s="1"/>
  <c r="G163" i="3"/>
  <c r="F163" i="3"/>
  <c r="D163" i="3"/>
  <c r="G162" i="3"/>
  <c r="D162" i="3"/>
  <c r="F162" i="3" s="1"/>
  <c r="G161" i="3"/>
  <c r="D161" i="3"/>
  <c r="F161" i="3" s="1"/>
  <c r="G160" i="3"/>
  <c r="D160" i="3"/>
  <c r="F160" i="3" s="1"/>
  <c r="G159" i="3"/>
  <c r="F159" i="3"/>
  <c r="D159" i="3"/>
  <c r="G158" i="3"/>
  <c r="F158" i="3"/>
  <c r="D158" i="3"/>
  <c r="G157" i="3"/>
  <c r="D157" i="3"/>
  <c r="F157" i="3" s="1"/>
  <c r="G156" i="3"/>
  <c r="D156" i="3"/>
  <c r="F156" i="3" s="1"/>
  <c r="G155" i="3"/>
  <c r="F155" i="3"/>
  <c r="D155" i="3"/>
  <c r="G154" i="3"/>
  <c r="D154" i="3"/>
  <c r="F154" i="3" s="1"/>
  <c r="G153" i="3"/>
  <c r="D153" i="3"/>
  <c r="F153" i="3" s="1"/>
  <c r="G152" i="3"/>
  <c r="D152" i="3"/>
  <c r="F152" i="3" s="1"/>
  <c r="G151" i="3"/>
  <c r="F151" i="3"/>
  <c r="D151" i="3"/>
  <c r="G150" i="3"/>
  <c r="F150" i="3"/>
  <c r="D150" i="3"/>
  <c r="G149" i="3"/>
  <c r="D149" i="3"/>
  <c r="F149" i="3" s="1"/>
  <c r="G148" i="3"/>
  <c r="D148" i="3"/>
  <c r="F148" i="3" s="1"/>
  <c r="G147" i="3"/>
  <c r="F147" i="3"/>
  <c r="D147" i="3"/>
  <c r="G146" i="3"/>
  <c r="D146" i="3"/>
  <c r="F146" i="3" s="1"/>
  <c r="G145" i="3"/>
  <c r="D145" i="3"/>
  <c r="F145" i="3" s="1"/>
  <c r="G144" i="3"/>
  <c r="D144" i="3"/>
  <c r="F144" i="3" s="1"/>
  <c r="G143" i="3"/>
  <c r="F143" i="3"/>
  <c r="D143" i="3"/>
  <c r="G142" i="3"/>
  <c r="F142" i="3"/>
  <c r="D142" i="3"/>
  <c r="G141" i="3"/>
  <c r="D141" i="3"/>
  <c r="F141" i="3" s="1"/>
  <c r="G140" i="3"/>
  <c r="D140" i="3"/>
  <c r="F140" i="3" s="1"/>
  <c r="G139" i="3"/>
  <c r="F139" i="3"/>
  <c r="D139" i="3"/>
  <c r="G138" i="3"/>
  <c r="D138" i="3"/>
  <c r="F138" i="3" s="1"/>
  <c r="G137" i="3"/>
  <c r="D137" i="3"/>
  <c r="F137" i="3" s="1"/>
  <c r="G136" i="3"/>
  <c r="D136" i="3"/>
  <c r="F136" i="3" s="1"/>
  <c r="G135" i="3"/>
  <c r="F135" i="3"/>
  <c r="B135" i="3"/>
  <c r="D135" i="3" s="1"/>
  <c r="G134" i="3"/>
  <c r="F134" i="3"/>
  <c r="D134" i="3"/>
  <c r="G133" i="3"/>
  <c r="D133" i="3"/>
  <c r="F133" i="3" s="1"/>
  <c r="G132" i="3"/>
  <c r="D132" i="3"/>
  <c r="F132" i="3" s="1"/>
  <c r="G131" i="3"/>
  <c r="D131" i="3"/>
  <c r="F131" i="3" s="1"/>
  <c r="G130" i="3"/>
  <c r="F130" i="3"/>
  <c r="D130" i="3"/>
  <c r="G129" i="3"/>
  <c r="F129" i="3"/>
  <c r="D129" i="3"/>
  <c r="G128" i="3"/>
  <c r="D128" i="3"/>
  <c r="F128" i="3" s="1"/>
  <c r="C128" i="3"/>
  <c r="G127" i="3"/>
  <c r="D127" i="3"/>
  <c r="F127" i="3" s="1"/>
  <c r="G126" i="3"/>
  <c r="D126" i="3"/>
  <c r="F126" i="3" s="1"/>
  <c r="G125" i="3"/>
  <c r="F125" i="3"/>
  <c r="D125" i="3"/>
  <c r="G124" i="3"/>
  <c r="D124" i="3"/>
  <c r="F124" i="3" s="1"/>
  <c r="G123" i="3"/>
  <c r="D123" i="3"/>
  <c r="F123" i="3" s="1"/>
  <c r="G122" i="3"/>
  <c r="D122" i="3"/>
  <c r="F122" i="3" s="1"/>
  <c r="G121" i="3"/>
  <c r="F121" i="3"/>
  <c r="D121" i="3"/>
  <c r="G120" i="3"/>
  <c r="F120" i="3"/>
  <c r="D120" i="3"/>
  <c r="G119" i="3"/>
  <c r="B119" i="3"/>
  <c r="D119" i="3" s="1"/>
  <c r="F119" i="3" s="1"/>
  <c r="G118" i="3"/>
  <c r="C118" i="3"/>
  <c r="D118" i="3" s="1"/>
  <c r="F118" i="3" s="1"/>
  <c r="G117" i="3"/>
  <c r="D117" i="3"/>
  <c r="F117" i="3" s="1"/>
  <c r="G116" i="3"/>
  <c r="F116" i="3"/>
  <c r="D116" i="3"/>
  <c r="G115" i="3"/>
  <c r="F115" i="3"/>
  <c r="D115" i="3"/>
  <c r="C115" i="3"/>
  <c r="G114" i="3"/>
  <c r="F114" i="3"/>
  <c r="D114" i="3"/>
  <c r="G113" i="3"/>
  <c r="F113" i="3"/>
  <c r="D113" i="3"/>
  <c r="G112" i="3"/>
  <c r="D112" i="3"/>
  <c r="F112" i="3" s="1"/>
  <c r="G111" i="3"/>
  <c r="F111" i="3"/>
  <c r="D111" i="3"/>
  <c r="G110" i="3"/>
  <c r="F110" i="3"/>
  <c r="D110" i="3"/>
  <c r="G109" i="3"/>
  <c r="F109" i="3"/>
  <c r="D109" i="3"/>
  <c r="G108" i="3"/>
  <c r="D108" i="3"/>
  <c r="F108" i="3" s="1"/>
  <c r="G107" i="3"/>
  <c r="F107" i="3"/>
  <c r="D107" i="3"/>
  <c r="G106" i="3"/>
  <c r="F106" i="3"/>
  <c r="D106" i="3"/>
  <c r="G105" i="3"/>
  <c r="D105" i="3"/>
  <c r="F105" i="3" s="1"/>
  <c r="G104" i="3"/>
  <c r="D104" i="3"/>
  <c r="F104" i="3" s="1"/>
  <c r="G103" i="3"/>
  <c r="F103" i="3"/>
  <c r="D103" i="3"/>
  <c r="G102" i="3"/>
  <c r="F102" i="3"/>
  <c r="D102" i="3"/>
  <c r="G101" i="3"/>
  <c r="D101" i="3"/>
  <c r="F101" i="3" s="1"/>
  <c r="G100" i="3"/>
  <c r="D100" i="3"/>
  <c r="F100" i="3" s="1"/>
  <c r="C100" i="3"/>
  <c r="G99" i="3"/>
  <c r="D99" i="3"/>
  <c r="F99" i="3" s="1"/>
  <c r="G98" i="3"/>
  <c r="F98" i="3"/>
  <c r="D98" i="3"/>
  <c r="G97" i="3"/>
  <c r="F97" i="3"/>
  <c r="D97" i="3"/>
  <c r="G96" i="3"/>
  <c r="F96" i="3"/>
  <c r="D96" i="3"/>
  <c r="C96" i="3"/>
  <c r="G95" i="3"/>
  <c r="F95" i="3"/>
  <c r="D95" i="3"/>
  <c r="G94" i="3"/>
  <c r="D94" i="3"/>
  <c r="F94" i="3" s="1"/>
  <c r="G93" i="3"/>
  <c r="D93" i="3"/>
  <c r="F93" i="3" s="1"/>
  <c r="G92" i="3"/>
  <c r="F92" i="3"/>
  <c r="D92" i="3"/>
  <c r="G91" i="3"/>
  <c r="D91" i="3"/>
  <c r="F91" i="3" s="1"/>
  <c r="G90" i="3"/>
  <c r="D90" i="3"/>
  <c r="F90" i="3" s="1"/>
  <c r="C90" i="3"/>
  <c r="G89" i="3"/>
  <c r="D89" i="3"/>
  <c r="F89" i="3" s="1"/>
  <c r="G88" i="3"/>
  <c r="F88" i="3"/>
  <c r="D88" i="3"/>
  <c r="G87" i="3"/>
  <c r="F87" i="3"/>
  <c r="D87" i="3"/>
  <c r="G86" i="3"/>
  <c r="F86" i="3"/>
  <c r="D86" i="3"/>
  <c r="G85" i="3"/>
  <c r="D85" i="3"/>
  <c r="F85" i="3" s="1"/>
  <c r="G84" i="3"/>
  <c r="F84" i="3"/>
  <c r="D84" i="3"/>
  <c r="G83" i="3"/>
  <c r="F83" i="3"/>
  <c r="D83" i="3"/>
  <c r="G82" i="3"/>
  <c r="D82" i="3"/>
  <c r="F82" i="3" s="1"/>
  <c r="G81" i="3"/>
  <c r="D81" i="3"/>
  <c r="F81" i="3" s="1"/>
  <c r="G80" i="3"/>
  <c r="D80" i="3"/>
  <c r="F80" i="3" s="1"/>
  <c r="G79" i="3"/>
  <c r="C79" i="3"/>
  <c r="D79" i="3" s="1"/>
  <c r="F79" i="3" s="1"/>
  <c r="G78" i="3"/>
  <c r="F78" i="3"/>
  <c r="D78" i="3"/>
  <c r="G77" i="3"/>
  <c r="F77" i="3"/>
  <c r="D77" i="3"/>
  <c r="G76" i="3"/>
  <c r="D76" i="3"/>
  <c r="F76" i="3" s="1"/>
  <c r="G75" i="3"/>
  <c r="C75" i="3"/>
  <c r="D75" i="3" s="1"/>
  <c r="F75" i="3" s="1"/>
  <c r="G74" i="3"/>
  <c r="D74" i="3"/>
  <c r="F74" i="3" s="1"/>
  <c r="G73" i="3"/>
  <c r="F73" i="3"/>
  <c r="D73" i="3"/>
  <c r="G72" i="3"/>
  <c r="F72" i="3"/>
  <c r="D72" i="3"/>
  <c r="G71" i="3"/>
  <c r="D71" i="3"/>
  <c r="F71" i="3" s="1"/>
  <c r="G70" i="3"/>
  <c r="D70" i="3"/>
  <c r="F70" i="3" s="1"/>
  <c r="G69" i="3"/>
  <c r="F69" i="3"/>
  <c r="D69" i="3"/>
  <c r="G68" i="3"/>
  <c r="D68" i="3"/>
  <c r="F68" i="3" s="1"/>
  <c r="G67" i="3"/>
  <c r="D67" i="3"/>
  <c r="F67" i="3" s="1"/>
  <c r="C67" i="3"/>
  <c r="B67" i="3"/>
  <c r="G66" i="3"/>
  <c r="F66" i="3"/>
  <c r="D66" i="3"/>
  <c r="C66" i="3"/>
  <c r="G65" i="3"/>
  <c r="F65" i="3"/>
  <c r="D65" i="3"/>
  <c r="G64" i="3"/>
  <c r="D64" i="3"/>
  <c r="F64" i="3" s="1"/>
  <c r="G63" i="3"/>
  <c r="C63" i="3"/>
  <c r="B63" i="3"/>
  <c r="G62" i="3"/>
  <c r="D62" i="3"/>
  <c r="F62" i="3" s="1"/>
  <c r="B62" i="3"/>
  <c r="G61" i="3"/>
  <c r="D61" i="3"/>
  <c r="F61" i="3" s="1"/>
  <c r="G60" i="3"/>
  <c r="F60" i="3"/>
  <c r="D60" i="3"/>
  <c r="G59" i="3"/>
  <c r="F59" i="3"/>
  <c r="D59" i="3"/>
  <c r="G58" i="3"/>
  <c r="F58" i="3"/>
  <c r="D58" i="3"/>
  <c r="G57" i="3"/>
  <c r="D57" i="3"/>
  <c r="F57" i="3" s="1"/>
  <c r="G56" i="3"/>
  <c r="F56" i="3"/>
  <c r="D56" i="3"/>
  <c r="G55" i="3"/>
  <c r="F55" i="3"/>
  <c r="D55" i="3"/>
  <c r="G54" i="3"/>
  <c r="D54" i="3"/>
  <c r="F54" i="3" s="1"/>
  <c r="B54" i="3"/>
  <c r="G53" i="3"/>
  <c r="D53" i="3"/>
  <c r="F53" i="3" s="1"/>
  <c r="G52" i="3"/>
  <c r="D52" i="3"/>
  <c r="F52" i="3" s="1"/>
  <c r="G51" i="3"/>
  <c r="D51" i="3"/>
  <c r="F51" i="3" s="1"/>
  <c r="G50" i="3"/>
  <c r="F50" i="3"/>
  <c r="D50" i="3"/>
  <c r="G49" i="3"/>
  <c r="F49" i="3"/>
  <c r="D49" i="3"/>
  <c r="G48" i="3"/>
  <c r="D48" i="3"/>
  <c r="F48" i="3" s="1"/>
  <c r="G47" i="3"/>
  <c r="D47" i="3"/>
  <c r="F47" i="3" s="1"/>
  <c r="G46" i="3"/>
  <c r="F46" i="3"/>
  <c r="D46" i="3"/>
  <c r="G45" i="3"/>
  <c r="D45" i="3"/>
  <c r="F45" i="3" s="1"/>
  <c r="C45" i="3"/>
  <c r="G44" i="3"/>
  <c r="D44" i="3"/>
  <c r="F44" i="3" s="1"/>
  <c r="G43" i="3"/>
  <c r="D43" i="3"/>
  <c r="F43" i="3" s="1"/>
  <c r="G42" i="3"/>
  <c r="D42" i="3"/>
  <c r="F42" i="3" s="1"/>
  <c r="G41" i="3"/>
  <c r="F41" i="3"/>
  <c r="D41" i="3"/>
  <c r="G40" i="3"/>
  <c r="F40" i="3"/>
  <c r="D40" i="3"/>
  <c r="G39" i="3"/>
  <c r="D39" i="3"/>
  <c r="F39" i="3" s="1"/>
  <c r="G38" i="3"/>
  <c r="C38" i="3"/>
  <c r="B38" i="3"/>
  <c r="G37" i="3"/>
  <c r="D37" i="3"/>
  <c r="F37" i="3" s="1"/>
  <c r="G36" i="3"/>
  <c r="D36" i="3"/>
  <c r="F36" i="3" s="1"/>
  <c r="G35" i="3"/>
  <c r="F35" i="3"/>
  <c r="D35" i="3"/>
  <c r="G34" i="3"/>
  <c r="F34" i="3"/>
  <c r="D34" i="3"/>
  <c r="B34" i="3"/>
  <c r="G33" i="3"/>
  <c r="F33" i="3"/>
  <c r="D33" i="3"/>
  <c r="G32" i="3"/>
  <c r="B32" i="3"/>
  <c r="D32" i="3" s="1"/>
  <c r="F32" i="3" s="1"/>
  <c r="G31" i="3"/>
  <c r="D31" i="3"/>
  <c r="F31" i="3" s="1"/>
  <c r="G30" i="3"/>
  <c r="D30" i="3"/>
  <c r="F30" i="3" s="1"/>
  <c r="G29" i="3"/>
  <c r="F29" i="3"/>
  <c r="D29" i="3"/>
  <c r="G28" i="3"/>
  <c r="F28" i="3"/>
  <c r="D28" i="3"/>
  <c r="C28" i="3"/>
  <c r="G27" i="3"/>
  <c r="F27" i="3"/>
  <c r="D27" i="3"/>
  <c r="C27" i="3"/>
  <c r="G26" i="3"/>
  <c r="F26" i="3"/>
  <c r="D26" i="3"/>
  <c r="G25" i="3"/>
  <c r="D25" i="3"/>
  <c r="F25" i="3" s="1"/>
  <c r="G24" i="3"/>
  <c r="D24" i="3"/>
  <c r="F24" i="3" s="1"/>
  <c r="G23" i="3"/>
  <c r="F23" i="3"/>
  <c r="D23" i="3"/>
  <c r="G22" i="3"/>
  <c r="D22" i="3"/>
  <c r="F22" i="3" s="1"/>
  <c r="G21" i="3"/>
  <c r="D21" i="3"/>
  <c r="F21" i="3" s="1"/>
  <c r="G20" i="3"/>
  <c r="D20" i="3"/>
  <c r="F20" i="3" s="1"/>
  <c r="G19" i="3"/>
  <c r="F19" i="3"/>
  <c r="D19" i="3"/>
  <c r="G18" i="3"/>
  <c r="F18" i="3"/>
  <c r="D18" i="3"/>
  <c r="G17" i="3"/>
  <c r="D17" i="3"/>
  <c r="F17" i="3" s="1"/>
  <c r="G16" i="3"/>
  <c r="D16" i="3"/>
  <c r="F16" i="3" s="1"/>
  <c r="G15" i="3"/>
  <c r="F15" i="3"/>
  <c r="D15" i="3"/>
  <c r="G14" i="3"/>
  <c r="D14" i="3"/>
  <c r="F14" i="3" s="1"/>
  <c r="G13" i="3"/>
  <c r="D13" i="3"/>
  <c r="F13" i="3" s="1"/>
  <c r="G12" i="3"/>
  <c r="D12" i="3"/>
  <c r="F12" i="3" s="1"/>
  <c r="G11" i="3"/>
  <c r="F11" i="3"/>
  <c r="D11" i="3"/>
  <c r="G10" i="3"/>
  <c r="F10" i="3"/>
  <c r="D10" i="3"/>
  <c r="G9" i="3"/>
  <c r="D9" i="3"/>
  <c r="F9" i="3" s="1"/>
  <c r="G8" i="3"/>
  <c r="D8" i="3"/>
  <c r="F8" i="3" s="1"/>
  <c r="G7" i="3"/>
  <c r="F7" i="3"/>
  <c r="D7" i="3"/>
  <c r="G6" i="3"/>
  <c r="D6" i="3"/>
  <c r="F6" i="3" s="1"/>
  <c r="G5" i="3"/>
  <c r="D5" i="3"/>
  <c r="F5" i="3" s="1"/>
  <c r="G4" i="3"/>
  <c r="D4" i="3"/>
  <c r="F4" i="3" s="1"/>
  <c r="G3" i="3"/>
  <c r="F3" i="3"/>
  <c r="D3" i="3"/>
  <c r="G2" i="3"/>
  <c r="F2" i="3"/>
  <c r="D2" i="3"/>
  <c r="T346" i="2"/>
  <c r="V346" i="2" s="1"/>
  <c r="O346" i="2"/>
  <c r="M346" i="2"/>
  <c r="T345" i="2"/>
  <c r="V345" i="2" s="1"/>
  <c r="M345" i="2"/>
  <c r="O345" i="2" s="1"/>
  <c r="V344" i="2"/>
  <c r="T344" i="2"/>
  <c r="M344" i="2"/>
  <c r="O344" i="2" s="1"/>
  <c r="H344" i="2"/>
  <c r="E344" i="2"/>
  <c r="G344" i="2" s="1"/>
  <c r="V343" i="2"/>
  <c r="T343" i="2"/>
  <c r="M343" i="2"/>
  <c r="O343" i="2" s="1"/>
  <c r="H343" i="2"/>
  <c r="G343" i="2"/>
  <c r="E343" i="2"/>
  <c r="T342" i="2"/>
  <c r="V342" i="2" s="1"/>
  <c r="O342" i="2"/>
  <c r="M342" i="2"/>
  <c r="H342" i="2"/>
  <c r="G342" i="2"/>
  <c r="E342" i="2"/>
  <c r="T341" i="2"/>
  <c r="V341" i="2" s="1"/>
  <c r="O341" i="2"/>
  <c r="M341" i="2"/>
  <c r="H341" i="2"/>
  <c r="E341" i="2"/>
  <c r="G341" i="2" s="1"/>
  <c r="V340" i="2"/>
  <c r="T340" i="2"/>
  <c r="M340" i="2"/>
  <c r="O340" i="2" s="1"/>
  <c r="H340" i="2"/>
  <c r="E340" i="2"/>
  <c r="G340" i="2" s="1"/>
  <c r="V339" i="2"/>
  <c r="T339" i="2"/>
  <c r="M339" i="2"/>
  <c r="O339" i="2" s="1"/>
  <c r="H339" i="2"/>
  <c r="G339" i="2"/>
  <c r="E339" i="2"/>
  <c r="T338" i="2"/>
  <c r="V338" i="2" s="1"/>
  <c r="O338" i="2"/>
  <c r="M338" i="2"/>
  <c r="H338" i="2"/>
  <c r="G338" i="2"/>
  <c r="E338" i="2"/>
  <c r="T337" i="2"/>
  <c r="V337" i="2" s="1"/>
  <c r="O337" i="2"/>
  <c r="M337" i="2"/>
  <c r="H337" i="2"/>
  <c r="E337" i="2"/>
  <c r="G337" i="2" s="1"/>
  <c r="V336" i="2"/>
  <c r="T336" i="2"/>
  <c r="M336" i="2"/>
  <c r="O336" i="2" s="1"/>
  <c r="H336" i="2"/>
  <c r="E336" i="2"/>
  <c r="G336" i="2" s="1"/>
  <c r="V335" i="2"/>
  <c r="T335" i="2"/>
  <c r="M335" i="2"/>
  <c r="O335" i="2" s="1"/>
  <c r="H335" i="2"/>
  <c r="G335" i="2"/>
  <c r="E335" i="2"/>
  <c r="T334" i="2"/>
  <c r="V334" i="2" s="1"/>
  <c r="O334" i="2"/>
  <c r="M334" i="2"/>
  <c r="H334" i="2"/>
  <c r="G334" i="2"/>
  <c r="E334" i="2"/>
  <c r="T333" i="2"/>
  <c r="V333" i="2" s="1"/>
  <c r="O333" i="2"/>
  <c r="M333" i="2"/>
  <c r="H333" i="2"/>
  <c r="E333" i="2"/>
  <c r="G333" i="2" s="1"/>
  <c r="V332" i="2"/>
  <c r="T332" i="2"/>
  <c r="M332" i="2"/>
  <c r="O332" i="2" s="1"/>
  <c r="H332" i="2"/>
  <c r="E332" i="2"/>
  <c r="G332" i="2" s="1"/>
  <c r="V331" i="2"/>
  <c r="T331" i="2"/>
  <c r="M331" i="2"/>
  <c r="O331" i="2" s="1"/>
  <c r="H331" i="2"/>
  <c r="G331" i="2"/>
  <c r="E331" i="2"/>
  <c r="T330" i="2"/>
  <c r="V330" i="2" s="1"/>
  <c r="O330" i="2"/>
  <c r="M330" i="2"/>
  <c r="H330" i="2"/>
  <c r="G330" i="2"/>
  <c r="E330" i="2"/>
  <c r="T329" i="2"/>
  <c r="V329" i="2" s="1"/>
  <c r="O329" i="2"/>
  <c r="M329" i="2"/>
  <c r="H329" i="2"/>
  <c r="E329" i="2"/>
  <c r="G329" i="2" s="1"/>
  <c r="V328" i="2"/>
  <c r="T328" i="2"/>
  <c r="M328" i="2"/>
  <c r="O328" i="2" s="1"/>
  <c r="H328" i="2"/>
  <c r="E328" i="2"/>
  <c r="G328" i="2" s="1"/>
  <c r="V327" i="2"/>
  <c r="T327" i="2"/>
  <c r="M327" i="2"/>
  <c r="O327" i="2" s="1"/>
  <c r="H327" i="2"/>
  <c r="G327" i="2"/>
  <c r="E327" i="2"/>
  <c r="T326" i="2"/>
  <c r="V326" i="2" s="1"/>
  <c r="O326" i="2"/>
  <c r="M326" i="2"/>
  <c r="H326" i="2"/>
  <c r="G326" i="2"/>
  <c r="E326" i="2"/>
  <c r="T325" i="2"/>
  <c r="V325" i="2" s="1"/>
  <c r="O325" i="2"/>
  <c r="M325" i="2"/>
  <c r="H325" i="2"/>
  <c r="E325" i="2"/>
  <c r="G325" i="2" s="1"/>
  <c r="V324" i="2"/>
  <c r="T324" i="2"/>
  <c r="M324" i="2"/>
  <c r="O324" i="2" s="1"/>
  <c r="H324" i="2"/>
  <c r="E324" i="2"/>
  <c r="G324" i="2" s="1"/>
  <c r="V323" i="2"/>
  <c r="T323" i="2"/>
  <c r="M323" i="2"/>
  <c r="O323" i="2" s="1"/>
  <c r="H323" i="2"/>
  <c r="G323" i="2"/>
  <c r="E323" i="2"/>
  <c r="T322" i="2"/>
  <c r="V322" i="2" s="1"/>
  <c r="O322" i="2"/>
  <c r="M322" i="2"/>
  <c r="H322" i="2"/>
  <c r="G322" i="2"/>
  <c r="E322" i="2"/>
  <c r="T321" i="2"/>
  <c r="V321" i="2" s="1"/>
  <c r="O321" i="2"/>
  <c r="M321" i="2"/>
  <c r="H321" i="2"/>
  <c r="E321" i="2"/>
  <c r="G321" i="2" s="1"/>
  <c r="V320" i="2"/>
  <c r="T320" i="2"/>
  <c r="M320" i="2"/>
  <c r="O320" i="2" s="1"/>
  <c r="H320" i="2"/>
  <c r="E320" i="2"/>
  <c r="G320" i="2" s="1"/>
  <c r="V319" i="2"/>
  <c r="T319" i="2"/>
  <c r="M319" i="2"/>
  <c r="O319" i="2" s="1"/>
  <c r="H319" i="2"/>
  <c r="G319" i="2"/>
  <c r="E319" i="2"/>
  <c r="T318" i="2"/>
  <c r="V318" i="2" s="1"/>
  <c r="O318" i="2"/>
  <c r="M318" i="2"/>
  <c r="H318" i="2"/>
  <c r="G318" i="2"/>
  <c r="E318" i="2"/>
  <c r="T317" i="2"/>
  <c r="V317" i="2" s="1"/>
  <c r="O317" i="2"/>
  <c r="M317" i="2"/>
  <c r="H317" i="2"/>
  <c r="E317" i="2"/>
  <c r="G317" i="2" s="1"/>
  <c r="V316" i="2"/>
  <c r="T316" i="2"/>
  <c r="M316" i="2"/>
  <c r="O316" i="2" s="1"/>
  <c r="H316" i="2"/>
  <c r="E316" i="2"/>
  <c r="G316" i="2" s="1"/>
  <c r="V315" i="2"/>
  <c r="T315" i="2"/>
  <c r="M315" i="2"/>
  <c r="O315" i="2" s="1"/>
  <c r="H315" i="2"/>
  <c r="G315" i="2"/>
  <c r="E315" i="2"/>
  <c r="T314" i="2"/>
  <c r="V314" i="2" s="1"/>
  <c r="O314" i="2"/>
  <c r="M314" i="2"/>
  <c r="H314" i="2"/>
  <c r="G314" i="2"/>
  <c r="E314" i="2"/>
  <c r="T313" i="2"/>
  <c r="V313" i="2" s="1"/>
  <c r="O313" i="2"/>
  <c r="M313" i="2"/>
  <c r="H313" i="2"/>
  <c r="E313" i="2"/>
  <c r="G313" i="2" s="1"/>
  <c r="V312" i="2"/>
  <c r="T312" i="2"/>
  <c r="M312" i="2"/>
  <c r="O312" i="2" s="1"/>
  <c r="H312" i="2"/>
  <c r="E312" i="2"/>
  <c r="G312" i="2" s="1"/>
  <c r="V311" i="2"/>
  <c r="T311" i="2"/>
  <c r="M311" i="2"/>
  <c r="O311" i="2" s="1"/>
  <c r="H311" i="2"/>
  <c r="G311" i="2"/>
  <c r="E311" i="2"/>
  <c r="T310" i="2"/>
  <c r="V310" i="2" s="1"/>
  <c r="O310" i="2"/>
  <c r="M310" i="2"/>
  <c r="H310" i="2"/>
  <c r="G310" i="2"/>
  <c r="E310" i="2"/>
  <c r="T309" i="2"/>
  <c r="V309" i="2" s="1"/>
  <c r="O309" i="2"/>
  <c r="M309" i="2"/>
  <c r="H309" i="2"/>
  <c r="E309" i="2"/>
  <c r="G309" i="2" s="1"/>
  <c r="V308" i="2"/>
  <c r="T308" i="2"/>
  <c r="M308" i="2"/>
  <c r="O308" i="2" s="1"/>
  <c r="H308" i="2"/>
  <c r="E308" i="2"/>
  <c r="G308" i="2" s="1"/>
  <c r="V307" i="2"/>
  <c r="T307" i="2"/>
  <c r="M307" i="2"/>
  <c r="O307" i="2" s="1"/>
  <c r="H307" i="2"/>
  <c r="G307" i="2"/>
  <c r="E307" i="2"/>
  <c r="T306" i="2"/>
  <c r="V306" i="2" s="1"/>
  <c r="O306" i="2"/>
  <c r="M306" i="2"/>
  <c r="H306" i="2"/>
  <c r="G306" i="2"/>
  <c r="E306" i="2"/>
  <c r="T305" i="2"/>
  <c r="V305" i="2" s="1"/>
  <c r="O305" i="2"/>
  <c r="M305" i="2"/>
  <c r="H305" i="2"/>
  <c r="E305" i="2"/>
  <c r="G305" i="2" s="1"/>
  <c r="V304" i="2"/>
  <c r="T304" i="2"/>
  <c r="M304" i="2"/>
  <c r="O304" i="2" s="1"/>
  <c r="H304" i="2"/>
  <c r="E304" i="2"/>
  <c r="G304" i="2" s="1"/>
  <c r="V303" i="2"/>
  <c r="T303" i="2"/>
  <c r="M303" i="2"/>
  <c r="O303" i="2" s="1"/>
  <c r="H303" i="2"/>
  <c r="G303" i="2"/>
  <c r="E303" i="2"/>
  <c r="T302" i="2"/>
  <c r="V302" i="2" s="1"/>
  <c r="O302" i="2"/>
  <c r="M302" i="2"/>
  <c r="H302" i="2"/>
  <c r="G302" i="2"/>
  <c r="E302" i="2"/>
  <c r="T301" i="2"/>
  <c r="V301" i="2" s="1"/>
  <c r="O301" i="2"/>
  <c r="M301" i="2"/>
  <c r="H301" i="2"/>
  <c r="E301" i="2"/>
  <c r="G301" i="2" s="1"/>
  <c r="V300" i="2"/>
  <c r="T300" i="2"/>
  <c r="M300" i="2"/>
  <c r="O300" i="2" s="1"/>
  <c r="H300" i="2"/>
  <c r="E300" i="2"/>
  <c r="G300" i="2" s="1"/>
  <c r="V299" i="2"/>
  <c r="T299" i="2"/>
  <c r="M299" i="2"/>
  <c r="O299" i="2" s="1"/>
  <c r="H299" i="2"/>
  <c r="G299" i="2"/>
  <c r="E299" i="2"/>
  <c r="T298" i="2"/>
  <c r="V298" i="2" s="1"/>
  <c r="O298" i="2"/>
  <c r="M298" i="2"/>
  <c r="H298" i="2"/>
  <c r="G298" i="2"/>
  <c r="E298" i="2"/>
  <c r="T297" i="2"/>
  <c r="V297" i="2" s="1"/>
  <c r="O297" i="2"/>
  <c r="M297" i="2"/>
  <c r="H297" i="2"/>
  <c r="E297" i="2"/>
  <c r="G297" i="2" s="1"/>
  <c r="V296" i="2"/>
  <c r="T296" i="2"/>
  <c r="M296" i="2"/>
  <c r="O296" i="2" s="1"/>
  <c r="H296" i="2"/>
  <c r="E296" i="2"/>
  <c r="G296" i="2" s="1"/>
  <c r="V295" i="2"/>
  <c r="T295" i="2"/>
  <c r="M295" i="2"/>
  <c r="O295" i="2" s="1"/>
  <c r="H295" i="2"/>
  <c r="G295" i="2"/>
  <c r="E295" i="2"/>
  <c r="T294" i="2"/>
  <c r="V294" i="2" s="1"/>
  <c r="O294" i="2"/>
  <c r="M294" i="2"/>
  <c r="H294" i="2"/>
  <c r="G294" i="2"/>
  <c r="E294" i="2"/>
  <c r="T293" i="2"/>
  <c r="V293" i="2" s="1"/>
  <c r="O293" i="2"/>
  <c r="M293" i="2"/>
  <c r="H293" i="2"/>
  <c r="E293" i="2"/>
  <c r="G293" i="2" s="1"/>
  <c r="V292" i="2"/>
  <c r="T292" i="2"/>
  <c r="M292" i="2"/>
  <c r="O292" i="2" s="1"/>
  <c r="H292" i="2"/>
  <c r="E292" i="2"/>
  <c r="G292" i="2" s="1"/>
  <c r="V291" i="2"/>
  <c r="T291" i="2"/>
  <c r="M291" i="2"/>
  <c r="O291" i="2" s="1"/>
  <c r="H291" i="2"/>
  <c r="G291" i="2"/>
  <c r="E291" i="2"/>
  <c r="T290" i="2"/>
  <c r="V290" i="2" s="1"/>
  <c r="O290" i="2"/>
  <c r="M290" i="2"/>
  <c r="H290" i="2"/>
  <c r="G290" i="2"/>
  <c r="E290" i="2"/>
  <c r="T289" i="2"/>
  <c r="V289" i="2" s="1"/>
  <c r="O289" i="2"/>
  <c r="M289" i="2"/>
  <c r="H289" i="2"/>
  <c r="E289" i="2"/>
  <c r="G289" i="2" s="1"/>
  <c r="V288" i="2"/>
  <c r="T288" i="2"/>
  <c r="M288" i="2"/>
  <c r="O288" i="2" s="1"/>
  <c r="H288" i="2"/>
  <c r="E288" i="2"/>
  <c r="G288" i="2" s="1"/>
  <c r="V287" i="2"/>
  <c r="T287" i="2"/>
  <c r="M287" i="2"/>
  <c r="O287" i="2" s="1"/>
  <c r="H287" i="2"/>
  <c r="G287" i="2"/>
  <c r="E287" i="2"/>
  <c r="T286" i="2"/>
  <c r="V286" i="2" s="1"/>
  <c r="O286" i="2"/>
  <c r="M286" i="2"/>
  <c r="H286" i="2"/>
  <c r="G286" i="2"/>
  <c r="E286" i="2"/>
  <c r="T285" i="2"/>
  <c r="V285" i="2" s="1"/>
  <c r="O285" i="2"/>
  <c r="M285" i="2"/>
  <c r="H285" i="2"/>
  <c r="E285" i="2"/>
  <c r="G285" i="2" s="1"/>
  <c r="V284" i="2"/>
  <c r="T284" i="2"/>
  <c r="M284" i="2"/>
  <c r="O284" i="2" s="1"/>
  <c r="H284" i="2"/>
  <c r="E284" i="2"/>
  <c r="G284" i="2" s="1"/>
  <c r="V283" i="2"/>
  <c r="T283" i="2"/>
  <c r="M283" i="2"/>
  <c r="O283" i="2" s="1"/>
  <c r="H283" i="2"/>
  <c r="G283" i="2"/>
  <c r="E283" i="2"/>
  <c r="T282" i="2"/>
  <c r="V282" i="2" s="1"/>
  <c r="O282" i="2"/>
  <c r="M282" i="2"/>
  <c r="H282" i="2"/>
  <c r="G282" i="2"/>
  <c r="E282" i="2"/>
  <c r="T281" i="2"/>
  <c r="V281" i="2" s="1"/>
  <c r="O281" i="2"/>
  <c r="M281" i="2"/>
  <c r="H281" i="2"/>
  <c r="E281" i="2"/>
  <c r="G281" i="2" s="1"/>
  <c r="V280" i="2"/>
  <c r="T280" i="2"/>
  <c r="M280" i="2"/>
  <c r="O280" i="2" s="1"/>
  <c r="H280" i="2"/>
  <c r="G280" i="2"/>
  <c r="E280" i="2"/>
  <c r="V279" i="2"/>
  <c r="T279" i="2"/>
  <c r="O279" i="2"/>
  <c r="M279" i="2"/>
  <c r="H279" i="2"/>
  <c r="G279" i="2"/>
  <c r="E279" i="2"/>
  <c r="T278" i="2"/>
  <c r="V278" i="2" s="1"/>
  <c r="O278" i="2"/>
  <c r="M278" i="2"/>
  <c r="H278" i="2"/>
  <c r="G278" i="2"/>
  <c r="E278" i="2"/>
  <c r="T277" i="2"/>
  <c r="V277" i="2" s="1"/>
  <c r="O277" i="2"/>
  <c r="M277" i="2"/>
  <c r="H277" i="2"/>
  <c r="E277" i="2"/>
  <c r="G277" i="2" s="1"/>
  <c r="V276" i="2"/>
  <c r="T276" i="2"/>
  <c r="M276" i="2"/>
  <c r="O276" i="2" s="1"/>
  <c r="H276" i="2"/>
  <c r="G276" i="2"/>
  <c r="E276" i="2"/>
  <c r="V275" i="2"/>
  <c r="T275" i="2"/>
  <c r="O275" i="2"/>
  <c r="M275" i="2"/>
  <c r="H275" i="2"/>
  <c r="G275" i="2"/>
  <c r="E275" i="2"/>
  <c r="T274" i="2"/>
  <c r="V274" i="2" s="1"/>
  <c r="O274" i="2"/>
  <c r="M274" i="2"/>
  <c r="H274" i="2"/>
  <c r="G274" i="2"/>
  <c r="E274" i="2"/>
  <c r="T273" i="2"/>
  <c r="V273" i="2" s="1"/>
  <c r="O273" i="2"/>
  <c r="M273" i="2"/>
  <c r="H273" i="2"/>
  <c r="E273" i="2"/>
  <c r="G273" i="2" s="1"/>
  <c r="V272" i="2"/>
  <c r="T272" i="2"/>
  <c r="M272" i="2"/>
  <c r="O272" i="2" s="1"/>
  <c r="H272" i="2"/>
  <c r="E272" i="2"/>
  <c r="G272" i="2" s="1"/>
  <c r="T271" i="2"/>
  <c r="V271" i="2" s="1"/>
  <c r="M271" i="2"/>
  <c r="O271" i="2" s="1"/>
  <c r="H271" i="2"/>
  <c r="G271" i="2"/>
  <c r="E271" i="2"/>
  <c r="T270" i="2"/>
  <c r="V270" i="2" s="1"/>
  <c r="O270" i="2"/>
  <c r="M270" i="2"/>
  <c r="H270" i="2"/>
  <c r="G270" i="2"/>
  <c r="E270" i="2"/>
  <c r="T269" i="2"/>
  <c r="V269" i="2" s="1"/>
  <c r="M269" i="2"/>
  <c r="O269" i="2" s="1"/>
  <c r="H269" i="2"/>
  <c r="E269" i="2"/>
  <c r="G269" i="2" s="1"/>
  <c r="V268" i="2"/>
  <c r="T268" i="2"/>
  <c r="M268" i="2"/>
  <c r="O268" i="2" s="1"/>
  <c r="H268" i="2"/>
  <c r="E268" i="2"/>
  <c r="G268" i="2" s="1"/>
  <c r="V267" i="2"/>
  <c r="T267" i="2"/>
  <c r="M267" i="2"/>
  <c r="O267" i="2" s="1"/>
  <c r="H267" i="2"/>
  <c r="G267" i="2"/>
  <c r="E267" i="2"/>
  <c r="T266" i="2"/>
  <c r="V266" i="2" s="1"/>
  <c r="O266" i="2"/>
  <c r="M266" i="2"/>
  <c r="H266" i="2"/>
  <c r="E266" i="2"/>
  <c r="G266" i="2" s="1"/>
  <c r="T265" i="2"/>
  <c r="V265" i="2" s="1"/>
  <c r="M265" i="2"/>
  <c r="O265" i="2" s="1"/>
  <c r="H265" i="2"/>
  <c r="E265" i="2"/>
  <c r="G265" i="2" s="1"/>
  <c r="V264" i="2"/>
  <c r="T264" i="2"/>
  <c r="M264" i="2"/>
  <c r="O264" i="2" s="1"/>
  <c r="H264" i="2"/>
  <c r="E264" i="2"/>
  <c r="G264" i="2" s="1"/>
  <c r="T263" i="2"/>
  <c r="V263" i="2" s="1"/>
  <c r="M263" i="2"/>
  <c r="O263" i="2" s="1"/>
  <c r="H263" i="2"/>
  <c r="G263" i="2"/>
  <c r="E263" i="2"/>
  <c r="T262" i="2"/>
  <c r="V262" i="2" s="1"/>
  <c r="O262" i="2"/>
  <c r="M262" i="2"/>
  <c r="H262" i="2"/>
  <c r="G262" i="2"/>
  <c r="E262" i="2"/>
  <c r="T261" i="2"/>
  <c r="V261" i="2" s="1"/>
  <c r="M261" i="2"/>
  <c r="O261" i="2" s="1"/>
  <c r="H261" i="2"/>
  <c r="E261" i="2"/>
  <c r="G261" i="2" s="1"/>
  <c r="V260" i="2"/>
  <c r="T260" i="2"/>
  <c r="M260" i="2"/>
  <c r="O260" i="2" s="1"/>
  <c r="H260" i="2"/>
  <c r="E260" i="2"/>
  <c r="G260" i="2" s="1"/>
  <c r="V259" i="2"/>
  <c r="T259" i="2"/>
  <c r="M259" i="2"/>
  <c r="O259" i="2" s="1"/>
  <c r="H259" i="2"/>
  <c r="G259" i="2"/>
  <c r="E259" i="2"/>
  <c r="T258" i="2"/>
  <c r="V258" i="2" s="1"/>
  <c r="O258" i="2"/>
  <c r="M258" i="2"/>
  <c r="H258" i="2"/>
  <c r="E258" i="2"/>
  <c r="G258" i="2" s="1"/>
  <c r="T257" i="2"/>
  <c r="V257" i="2" s="1"/>
  <c r="M257" i="2"/>
  <c r="O257" i="2" s="1"/>
  <c r="H257" i="2"/>
  <c r="E257" i="2"/>
  <c r="G257" i="2" s="1"/>
  <c r="V256" i="2"/>
  <c r="T256" i="2"/>
  <c r="M256" i="2"/>
  <c r="O256" i="2" s="1"/>
  <c r="H256" i="2"/>
  <c r="E256" i="2"/>
  <c r="G256" i="2" s="1"/>
  <c r="T255" i="2"/>
  <c r="V255" i="2" s="1"/>
  <c r="M255" i="2"/>
  <c r="O255" i="2" s="1"/>
  <c r="H255" i="2"/>
  <c r="G255" i="2"/>
  <c r="E255" i="2"/>
  <c r="T254" i="2"/>
  <c r="V254" i="2" s="1"/>
  <c r="O254" i="2"/>
  <c r="M254" i="2"/>
  <c r="H254" i="2"/>
  <c r="G254" i="2"/>
  <c r="E254" i="2"/>
  <c r="T253" i="2"/>
  <c r="V253" i="2" s="1"/>
  <c r="M253" i="2"/>
  <c r="O253" i="2" s="1"/>
  <c r="H253" i="2"/>
  <c r="E253" i="2"/>
  <c r="G253" i="2" s="1"/>
  <c r="V252" i="2"/>
  <c r="T252" i="2"/>
  <c r="M252" i="2"/>
  <c r="O252" i="2" s="1"/>
  <c r="H252" i="2"/>
  <c r="E252" i="2"/>
  <c r="G252" i="2" s="1"/>
  <c r="V251" i="2"/>
  <c r="T251" i="2"/>
  <c r="M251" i="2"/>
  <c r="O251" i="2" s="1"/>
  <c r="H251" i="2"/>
  <c r="G251" i="2"/>
  <c r="E251" i="2"/>
  <c r="T250" i="2"/>
  <c r="V250" i="2" s="1"/>
  <c r="O250" i="2"/>
  <c r="M250" i="2"/>
  <c r="H250" i="2"/>
  <c r="E250" i="2"/>
  <c r="G250" i="2" s="1"/>
  <c r="T249" i="2"/>
  <c r="V249" i="2" s="1"/>
  <c r="M249" i="2"/>
  <c r="O249" i="2" s="1"/>
  <c r="H249" i="2"/>
  <c r="E249" i="2"/>
  <c r="G249" i="2" s="1"/>
  <c r="V248" i="2"/>
  <c r="T248" i="2"/>
  <c r="M248" i="2"/>
  <c r="O248" i="2" s="1"/>
  <c r="H248" i="2"/>
  <c r="E248" i="2"/>
  <c r="G248" i="2" s="1"/>
  <c r="T247" i="2"/>
  <c r="V247" i="2" s="1"/>
  <c r="M247" i="2"/>
  <c r="O247" i="2" s="1"/>
  <c r="H247" i="2"/>
  <c r="G247" i="2"/>
  <c r="E247" i="2"/>
  <c r="T246" i="2"/>
  <c r="V246" i="2" s="1"/>
  <c r="O246" i="2"/>
  <c r="M246" i="2"/>
  <c r="H246" i="2"/>
  <c r="E246" i="2"/>
  <c r="G246" i="2" s="1"/>
  <c r="T245" i="2"/>
  <c r="V245" i="2" s="1"/>
  <c r="M245" i="2"/>
  <c r="O245" i="2" s="1"/>
  <c r="H245" i="2"/>
  <c r="E245" i="2"/>
  <c r="G245" i="2" s="1"/>
  <c r="V244" i="2"/>
  <c r="T244" i="2"/>
  <c r="M244" i="2"/>
  <c r="O244" i="2" s="1"/>
  <c r="H244" i="2"/>
  <c r="E244" i="2"/>
  <c r="G244" i="2" s="1"/>
  <c r="T243" i="2"/>
  <c r="V243" i="2" s="1"/>
  <c r="M243" i="2"/>
  <c r="O243" i="2" s="1"/>
  <c r="H243" i="2"/>
  <c r="G243" i="2"/>
  <c r="E243" i="2"/>
  <c r="AA242" i="2"/>
  <c r="AC242" i="2" s="1"/>
  <c r="V242" i="2"/>
  <c r="T242" i="2"/>
  <c r="M242" i="2"/>
  <c r="O242" i="2" s="1"/>
  <c r="H242" i="2"/>
  <c r="E242" i="2"/>
  <c r="G242" i="2" s="1"/>
  <c r="AA241" i="2"/>
  <c r="AC241" i="2" s="1"/>
  <c r="T241" i="2"/>
  <c r="V241" i="2" s="1"/>
  <c r="M241" i="2"/>
  <c r="O241" i="2" s="1"/>
  <c r="H241" i="2"/>
  <c r="E241" i="2"/>
  <c r="G241" i="2" s="1"/>
  <c r="AC240" i="2"/>
  <c r="AA240" i="2"/>
  <c r="T240" i="2"/>
  <c r="V240" i="2" s="1"/>
  <c r="O240" i="2"/>
  <c r="M240" i="2"/>
  <c r="H240" i="2"/>
  <c r="E240" i="2"/>
  <c r="G240" i="2" s="1"/>
  <c r="AA239" i="2"/>
  <c r="AC239" i="2" s="1"/>
  <c r="T239" i="2"/>
  <c r="V239" i="2" s="1"/>
  <c r="M239" i="2"/>
  <c r="O239" i="2" s="1"/>
  <c r="H239" i="2"/>
  <c r="G239" i="2"/>
  <c r="E239" i="2"/>
  <c r="AA238" i="2"/>
  <c r="AC238" i="2" s="1"/>
  <c r="V238" i="2"/>
  <c r="T238" i="2"/>
  <c r="M238" i="2"/>
  <c r="O238" i="2" s="1"/>
  <c r="H238" i="2"/>
  <c r="E238" i="2"/>
  <c r="G238" i="2" s="1"/>
  <c r="AA237" i="2"/>
  <c r="AC237" i="2" s="1"/>
  <c r="T237" i="2"/>
  <c r="V237" i="2" s="1"/>
  <c r="M237" i="2"/>
  <c r="O237" i="2" s="1"/>
  <c r="H237" i="2"/>
  <c r="E237" i="2"/>
  <c r="G237" i="2" s="1"/>
  <c r="AD236" i="2"/>
  <c r="AA236" i="2"/>
  <c r="AC236" i="2" s="1"/>
  <c r="T236" i="2"/>
  <c r="V236" i="2" s="1"/>
  <c r="M236" i="2"/>
  <c r="O236" i="2" s="1"/>
  <c r="H236" i="2"/>
  <c r="G236" i="2"/>
  <c r="E236" i="2"/>
  <c r="AD235" i="2"/>
  <c r="AA235" i="2"/>
  <c r="AC235" i="2" s="1"/>
  <c r="T235" i="2"/>
  <c r="V235" i="2" s="1"/>
  <c r="M235" i="2"/>
  <c r="O235" i="2" s="1"/>
  <c r="H235" i="2"/>
  <c r="E235" i="2"/>
  <c r="G235" i="2" s="1"/>
  <c r="AD234" i="2"/>
  <c r="AA234" i="2"/>
  <c r="AC234" i="2" s="1"/>
  <c r="T234" i="2"/>
  <c r="V234" i="2" s="1"/>
  <c r="M234" i="2"/>
  <c r="O234" i="2" s="1"/>
  <c r="H234" i="2"/>
  <c r="G234" i="2"/>
  <c r="E234" i="2"/>
  <c r="AD233" i="2"/>
  <c r="AA233" i="2"/>
  <c r="AC233" i="2" s="1"/>
  <c r="T233" i="2"/>
  <c r="V233" i="2" s="1"/>
  <c r="M233" i="2"/>
  <c r="O233" i="2" s="1"/>
  <c r="H233" i="2"/>
  <c r="E233" i="2"/>
  <c r="G233" i="2" s="1"/>
  <c r="AD232" i="2"/>
  <c r="AA232" i="2"/>
  <c r="AC232" i="2" s="1"/>
  <c r="T232" i="2"/>
  <c r="V232" i="2" s="1"/>
  <c r="M232" i="2"/>
  <c r="O232" i="2" s="1"/>
  <c r="H232" i="2"/>
  <c r="G232" i="2"/>
  <c r="E232" i="2"/>
  <c r="AD231" i="2"/>
  <c r="AA231" i="2"/>
  <c r="AC231" i="2" s="1"/>
  <c r="T231" i="2"/>
  <c r="V231" i="2" s="1"/>
  <c r="M231" i="2"/>
  <c r="O231" i="2" s="1"/>
  <c r="H231" i="2"/>
  <c r="E231" i="2"/>
  <c r="G231" i="2" s="1"/>
  <c r="AD230" i="2"/>
  <c r="AA230" i="2"/>
  <c r="AC230" i="2" s="1"/>
  <c r="T230" i="2"/>
  <c r="V230" i="2" s="1"/>
  <c r="M230" i="2"/>
  <c r="O230" i="2" s="1"/>
  <c r="H230" i="2"/>
  <c r="G230" i="2"/>
  <c r="E230" i="2"/>
  <c r="AD229" i="2"/>
  <c r="AA229" i="2"/>
  <c r="AC229" i="2" s="1"/>
  <c r="T229" i="2"/>
  <c r="V229" i="2" s="1"/>
  <c r="M229" i="2"/>
  <c r="O229" i="2" s="1"/>
  <c r="H229" i="2"/>
  <c r="E229" i="2"/>
  <c r="G229" i="2" s="1"/>
  <c r="AD228" i="2"/>
  <c r="AA228" i="2"/>
  <c r="AC228" i="2" s="1"/>
  <c r="T228" i="2"/>
  <c r="V228" i="2" s="1"/>
  <c r="M228" i="2"/>
  <c r="O228" i="2" s="1"/>
  <c r="H228" i="2"/>
  <c r="G228" i="2"/>
  <c r="E228" i="2"/>
  <c r="AD227" i="2"/>
  <c r="AA227" i="2"/>
  <c r="AC227" i="2" s="1"/>
  <c r="T227" i="2"/>
  <c r="V227" i="2" s="1"/>
  <c r="M227" i="2"/>
  <c r="O227" i="2" s="1"/>
  <c r="H227" i="2"/>
  <c r="E227" i="2"/>
  <c r="G227" i="2" s="1"/>
  <c r="AD226" i="2"/>
  <c r="AA226" i="2"/>
  <c r="AC226" i="2" s="1"/>
  <c r="T226" i="2"/>
  <c r="V226" i="2" s="1"/>
  <c r="M226" i="2"/>
  <c r="O226" i="2" s="1"/>
  <c r="H226" i="2"/>
  <c r="G226" i="2"/>
  <c r="E226" i="2"/>
  <c r="AD225" i="2"/>
  <c r="AA225" i="2"/>
  <c r="AC225" i="2" s="1"/>
  <c r="T225" i="2"/>
  <c r="V225" i="2" s="1"/>
  <c r="M225" i="2"/>
  <c r="O225" i="2" s="1"/>
  <c r="H225" i="2"/>
  <c r="E225" i="2"/>
  <c r="G225" i="2" s="1"/>
  <c r="AD224" i="2"/>
  <c r="AA224" i="2"/>
  <c r="AC224" i="2" s="1"/>
  <c r="T224" i="2"/>
  <c r="V224" i="2" s="1"/>
  <c r="M224" i="2"/>
  <c r="O224" i="2" s="1"/>
  <c r="H224" i="2"/>
  <c r="G224" i="2"/>
  <c r="E224" i="2"/>
  <c r="AD223" i="2"/>
  <c r="AA223" i="2"/>
  <c r="AC223" i="2" s="1"/>
  <c r="T223" i="2"/>
  <c r="V223" i="2" s="1"/>
  <c r="M223" i="2"/>
  <c r="O223" i="2" s="1"/>
  <c r="H223" i="2"/>
  <c r="E223" i="2"/>
  <c r="G223" i="2" s="1"/>
  <c r="AD222" i="2"/>
  <c r="AA222" i="2"/>
  <c r="AC222" i="2" s="1"/>
  <c r="T222" i="2"/>
  <c r="V222" i="2" s="1"/>
  <c r="M222" i="2"/>
  <c r="O222" i="2" s="1"/>
  <c r="H222" i="2"/>
  <c r="G222" i="2"/>
  <c r="E222" i="2"/>
  <c r="AD221" i="2"/>
  <c r="AA221" i="2"/>
  <c r="AC221" i="2" s="1"/>
  <c r="Z221" i="2"/>
  <c r="Y221" i="2"/>
  <c r="T221" i="2"/>
  <c r="V221" i="2" s="1"/>
  <c r="M221" i="2"/>
  <c r="O221" i="2" s="1"/>
  <c r="H221" i="2"/>
  <c r="G221" i="2"/>
  <c r="E221" i="2"/>
  <c r="AD220" i="2"/>
  <c r="AA220" i="2"/>
  <c r="AC220" i="2" s="1"/>
  <c r="Z220" i="2"/>
  <c r="Y220" i="2"/>
  <c r="T220" i="2"/>
  <c r="V220" i="2" s="1"/>
  <c r="M220" i="2"/>
  <c r="O220" i="2" s="1"/>
  <c r="H220" i="2"/>
  <c r="G220" i="2"/>
  <c r="E220" i="2"/>
  <c r="AD219" i="2"/>
  <c r="AA219" i="2"/>
  <c r="AC219" i="2" s="1"/>
  <c r="Z219" i="2"/>
  <c r="Y219" i="2"/>
  <c r="T219" i="2"/>
  <c r="V219" i="2" s="1"/>
  <c r="M219" i="2"/>
  <c r="O219" i="2" s="1"/>
  <c r="H219" i="2"/>
  <c r="G219" i="2"/>
  <c r="E219" i="2"/>
  <c r="AD218" i="2"/>
  <c r="AA218" i="2"/>
  <c r="AC218" i="2" s="1"/>
  <c r="Z218" i="2"/>
  <c r="Y218" i="2"/>
  <c r="T218" i="2"/>
  <c r="V218" i="2" s="1"/>
  <c r="M218" i="2"/>
  <c r="O218" i="2" s="1"/>
  <c r="H218" i="2"/>
  <c r="G218" i="2"/>
  <c r="E218" i="2"/>
  <c r="AD217" i="2"/>
  <c r="AA217" i="2"/>
  <c r="AC217" i="2" s="1"/>
  <c r="Z217" i="2"/>
  <c r="Y217" i="2"/>
  <c r="T217" i="2"/>
  <c r="V217" i="2" s="1"/>
  <c r="M217" i="2"/>
  <c r="O217" i="2" s="1"/>
  <c r="H217" i="2"/>
  <c r="G217" i="2"/>
  <c r="E217" i="2"/>
  <c r="AD216" i="2"/>
  <c r="AA216" i="2"/>
  <c r="AC216" i="2" s="1"/>
  <c r="Z216" i="2"/>
  <c r="Y216" i="2"/>
  <c r="T216" i="2"/>
  <c r="V216" i="2" s="1"/>
  <c r="M216" i="2"/>
  <c r="O216" i="2" s="1"/>
  <c r="H216" i="2"/>
  <c r="G216" i="2"/>
  <c r="E216" i="2"/>
  <c r="AD215" i="2"/>
  <c r="AA215" i="2"/>
  <c r="AC215" i="2" s="1"/>
  <c r="Z215" i="2"/>
  <c r="Y215" i="2"/>
  <c r="T215" i="2"/>
  <c r="V215" i="2" s="1"/>
  <c r="M215" i="2"/>
  <c r="O215" i="2" s="1"/>
  <c r="H215" i="2"/>
  <c r="G215" i="2"/>
  <c r="E215" i="2"/>
  <c r="AD214" i="2"/>
  <c r="AA214" i="2"/>
  <c r="AC214" i="2" s="1"/>
  <c r="Z214" i="2"/>
  <c r="Y214" i="2"/>
  <c r="T214" i="2"/>
  <c r="V214" i="2" s="1"/>
  <c r="M214" i="2"/>
  <c r="O214" i="2" s="1"/>
  <c r="H214" i="2"/>
  <c r="G214" i="2"/>
  <c r="E214" i="2"/>
  <c r="AD213" i="2"/>
  <c r="AA213" i="2"/>
  <c r="AC213" i="2" s="1"/>
  <c r="Z213" i="2"/>
  <c r="Y213" i="2"/>
  <c r="T213" i="2"/>
  <c r="V213" i="2" s="1"/>
  <c r="M213" i="2"/>
  <c r="O213" i="2" s="1"/>
  <c r="H213" i="2"/>
  <c r="G213" i="2"/>
  <c r="E213" i="2"/>
  <c r="AD212" i="2"/>
  <c r="AA212" i="2"/>
  <c r="AC212" i="2" s="1"/>
  <c r="Z212" i="2"/>
  <c r="Y212" i="2"/>
  <c r="T212" i="2"/>
  <c r="V212" i="2" s="1"/>
  <c r="M212" i="2"/>
  <c r="O212" i="2" s="1"/>
  <c r="H212" i="2"/>
  <c r="G212" i="2"/>
  <c r="E212" i="2"/>
  <c r="AD211" i="2"/>
  <c r="AA211" i="2"/>
  <c r="AC211" i="2" s="1"/>
  <c r="Z211" i="2"/>
  <c r="Y211" i="2"/>
  <c r="T211" i="2"/>
  <c r="V211" i="2" s="1"/>
  <c r="M211" i="2"/>
  <c r="O211" i="2" s="1"/>
  <c r="H211" i="2"/>
  <c r="G211" i="2"/>
  <c r="E211" i="2"/>
  <c r="AD210" i="2"/>
  <c r="AA210" i="2"/>
  <c r="AC210" i="2" s="1"/>
  <c r="Z210" i="2"/>
  <c r="Y210" i="2"/>
  <c r="T210" i="2"/>
  <c r="V210" i="2" s="1"/>
  <c r="M210" i="2"/>
  <c r="O210" i="2" s="1"/>
  <c r="H210" i="2"/>
  <c r="G210" i="2"/>
  <c r="E210" i="2"/>
  <c r="AD209" i="2"/>
  <c r="AA209" i="2"/>
  <c r="AC209" i="2" s="1"/>
  <c r="Z209" i="2"/>
  <c r="Y209" i="2"/>
  <c r="T209" i="2"/>
  <c r="V209" i="2" s="1"/>
  <c r="M209" i="2"/>
  <c r="O209" i="2" s="1"/>
  <c r="H209" i="2"/>
  <c r="G209" i="2"/>
  <c r="E209" i="2"/>
  <c r="AD208" i="2"/>
  <c r="AA208" i="2"/>
  <c r="AC208" i="2" s="1"/>
  <c r="Z208" i="2"/>
  <c r="Y208" i="2"/>
  <c r="T208" i="2"/>
  <c r="V208" i="2" s="1"/>
  <c r="M208" i="2"/>
  <c r="O208" i="2" s="1"/>
  <c r="H208" i="2"/>
  <c r="G208" i="2"/>
  <c r="E208" i="2"/>
  <c r="AD207" i="2"/>
  <c r="AA207" i="2"/>
  <c r="AC207" i="2" s="1"/>
  <c r="Z207" i="2"/>
  <c r="Y207" i="2"/>
  <c r="T207" i="2"/>
  <c r="V207" i="2" s="1"/>
  <c r="M207" i="2"/>
  <c r="O207" i="2" s="1"/>
  <c r="H207" i="2"/>
  <c r="G207" i="2"/>
  <c r="E207" i="2"/>
  <c r="AD206" i="2"/>
  <c r="AA206" i="2"/>
  <c r="AC206" i="2" s="1"/>
  <c r="Z206" i="2"/>
  <c r="Y206" i="2"/>
  <c r="T206" i="2"/>
  <c r="V206" i="2" s="1"/>
  <c r="M206" i="2"/>
  <c r="O206" i="2" s="1"/>
  <c r="H206" i="2"/>
  <c r="G206" i="2"/>
  <c r="E206" i="2"/>
  <c r="AD205" i="2"/>
  <c r="AA205" i="2"/>
  <c r="AC205" i="2" s="1"/>
  <c r="Z205" i="2"/>
  <c r="Y205" i="2"/>
  <c r="T205" i="2"/>
  <c r="V205" i="2" s="1"/>
  <c r="M205" i="2"/>
  <c r="O205" i="2" s="1"/>
  <c r="H205" i="2"/>
  <c r="G205" i="2"/>
  <c r="E205" i="2"/>
  <c r="AD204" i="2"/>
  <c r="AA204" i="2"/>
  <c r="AC204" i="2" s="1"/>
  <c r="Z204" i="2"/>
  <c r="Y204" i="2"/>
  <c r="T204" i="2"/>
  <c r="V204" i="2" s="1"/>
  <c r="M204" i="2"/>
  <c r="O204" i="2" s="1"/>
  <c r="H204" i="2"/>
  <c r="G204" i="2"/>
  <c r="E204" i="2"/>
  <c r="AD203" i="2"/>
  <c r="AA203" i="2"/>
  <c r="AC203" i="2" s="1"/>
  <c r="Z203" i="2"/>
  <c r="Y203" i="2"/>
  <c r="T203" i="2"/>
  <c r="V203" i="2" s="1"/>
  <c r="M203" i="2"/>
  <c r="O203" i="2" s="1"/>
  <c r="H203" i="2"/>
  <c r="G203" i="2"/>
  <c r="E203" i="2"/>
  <c r="AD202" i="2"/>
  <c r="AA202" i="2"/>
  <c r="AC202" i="2" s="1"/>
  <c r="Z202" i="2"/>
  <c r="Y202" i="2"/>
  <c r="T202" i="2"/>
  <c r="V202" i="2" s="1"/>
  <c r="M202" i="2"/>
  <c r="O202" i="2" s="1"/>
  <c r="H202" i="2"/>
  <c r="G202" i="2"/>
  <c r="E202" i="2"/>
  <c r="AD201" i="2"/>
  <c r="AA201" i="2"/>
  <c r="AC201" i="2" s="1"/>
  <c r="Z201" i="2"/>
  <c r="Y201" i="2"/>
  <c r="T201" i="2"/>
  <c r="V201" i="2" s="1"/>
  <c r="M201" i="2"/>
  <c r="O201" i="2" s="1"/>
  <c r="H201" i="2"/>
  <c r="G201" i="2"/>
  <c r="E201" i="2"/>
  <c r="AD200" i="2"/>
  <c r="AA200" i="2"/>
  <c r="AC200" i="2" s="1"/>
  <c r="Z200" i="2"/>
  <c r="Y200" i="2"/>
  <c r="T200" i="2"/>
  <c r="V200" i="2" s="1"/>
  <c r="M200" i="2"/>
  <c r="O200" i="2" s="1"/>
  <c r="H200" i="2"/>
  <c r="G200" i="2"/>
  <c r="E200" i="2"/>
  <c r="AD199" i="2"/>
  <c r="AA199" i="2"/>
  <c r="AC199" i="2" s="1"/>
  <c r="Z199" i="2"/>
  <c r="Y199" i="2"/>
  <c r="T199" i="2"/>
  <c r="V199" i="2" s="1"/>
  <c r="M199" i="2"/>
  <c r="O199" i="2" s="1"/>
  <c r="H199" i="2"/>
  <c r="G199" i="2"/>
  <c r="E199" i="2"/>
  <c r="AD198" i="2"/>
  <c r="AA198" i="2"/>
  <c r="AC198" i="2" s="1"/>
  <c r="Z198" i="2"/>
  <c r="Y198" i="2"/>
  <c r="T198" i="2"/>
  <c r="V198" i="2" s="1"/>
  <c r="M198" i="2"/>
  <c r="O198" i="2" s="1"/>
  <c r="H198" i="2"/>
  <c r="G198" i="2"/>
  <c r="E198" i="2"/>
  <c r="AD197" i="2"/>
  <c r="AA197" i="2"/>
  <c r="AC197" i="2" s="1"/>
  <c r="Z197" i="2"/>
  <c r="Y197" i="2"/>
  <c r="T197" i="2"/>
  <c r="V197" i="2" s="1"/>
  <c r="M197" i="2"/>
  <c r="O197" i="2" s="1"/>
  <c r="H197" i="2"/>
  <c r="G197" i="2"/>
  <c r="E197" i="2"/>
  <c r="AD196" i="2"/>
  <c r="AA196" i="2"/>
  <c r="AC196" i="2" s="1"/>
  <c r="Z196" i="2"/>
  <c r="Y196" i="2"/>
  <c r="T196" i="2"/>
  <c r="V196" i="2" s="1"/>
  <c r="M196" i="2"/>
  <c r="O196" i="2" s="1"/>
  <c r="H196" i="2"/>
  <c r="G196" i="2"/>
  <c r="E196" i="2"/>
  <c r="AD195" i="2"/>
  <c r="AA195" i="2"/>
  <c r="AC195" i="2" s="1"/>
  <c r="Z195" i="2"/>
  <c r="Y195" i="2"/>
  <c r="T195" i="2"/>
  <c r="V195" i="2" s="1"/>
  <c r="M195" i="2"/>
  <c r="O195" i="2" s="1"/>
  <c r="H195" i="2"/>
  <c r="G195" i="2"/>
  <c r="E195" i="2"/>
  <c r="AD194" i="2"/>
  <c r="AA194" i="2"/>
  <c r="AC194" i="2" s="1"/>
  <c r="Z194" i="2"/>
  <c r="Y194" i="2"/>
  <c r="T194" i="2"/>
  <c r="V194" i="2" s="1"/>
  <c r="M194" i="2"/>
  <c r="O194" i="2" s="1"/>
  <c r="H194" i="2"/>
  <c r="G194" i="2"/>
  <c r="E194" i="2"/>
  <c r="AD193" i="2"/>
  <c r="AA193" i="2"/>
  <c r="AC193" i="2" s="1"/>
  <c r="Z193" i="2"/>
  <c r="Y193" i="2"/>
  <c r="T193" i="2"/>
  <c r="V193" i="2" s="1"/>
  <c r="M193" i="2"/>
  <c r="O193" i="2" s="1"/>
  <c r="H193" i="2"/>
  <c r="G193" i="2"/>
  <c r="E193" i="2"/>
  <c r="AD192" i="2"/>
  <c r="AA192" i="2"/>
  <c r="AC192" i="2" s="1"/>
  <c r="Z192" i="2"/>
  <c r="Y192" i="2"/>
  <c r="V192" i="2"/>
  <c r="T192" i="2"/>
  <c r="M192" i="2"/>
  <c r="O192" i="2" s="1"/>
  <c r="H192" i="2"/>
  <c r="G192" i="2"/>
  <c r="E192" i="2"/>
  <c r="AD191" i="2"/>
  <c r="AC191" i="2"/>
  <c r="Z191" i="2"/>
  <c r="Y191" i="2"/>
  <c r="AA191" i="2" s="1"/>
  <c r="V191" i="2"/>
  <c r="T191" i="2"/>
  <c r="M191" i="2"/>
  <c r="O191" i="2" s="1"/>
  <c r="H191" i="2"/>
  <c r="G191" i="2"/>
  <c r="E191" i="2"/>
  <c r="AD190" i="2"/>
  <c r="AC190" i="2"/>
  <c r="AA190" i="2"/>
  <c r="Z190" i="2"/>
  <c r="Y190" i="2"/>
  <c r="V190" i="2"/>
  <c r="T190" i="2"/>
  <c r="M190" i="2"/>
  <c r="O190" i="2" s="1"/>
  <c r="H190" i="2"/>
  <c r="G190" i="2"/>
  <c r="E190" i="2"/>
  <c r="AD189" i="2"/>
  <c r="AA189" i="2"/>
  <c r="AC189" i="2" s="1"/>
  <c r="Z189" i="2"/>
  <c r="Y189" i="2"/>
  <c r="T189" i="2"/>
  <c r="V189" i="2" s="1"/>
  <c r="M189" i="2"/>
  <c r="O189" i="2" s="1"/>
  <c r="H189" i="2"/>
  <c r="G189" i="2"/>
  <c r="E189" i="2"/>
  <c r="AD188" i="2"/>
  <c r="Z188" i="2"/>
  <c r="Y188" i="2"/>
  <c r="AA188" i="2" s="1"/>
  <c r="AC188" i="2" s="1"/>
  <c r="V188" i="2"/>
  <c r="T188" i="2"/>
  <c r="M188" i="2"/>
  <c r="O188" i="2" s="1"/>
  <c r="H188" i="2"/>
  <c r="G188" i="2"/>
  <c r="E188" i="2"/>
  <c r="AD187" i="2"/>
  <c r="Z187" i="2"/>
  <c r="Y187" i="2"/>
  <c r="AA187" i="2" s="1"/>
  <c r="AC187" i="2" s="1"/>
  <c r="V187" i="2"/>
  <c r="T187" i="2"/>
  <c r="M187" i="2"/>
  <c r="O187" i="2" s="1"/>
  <c r="H187" i="2"/>
  <c r="G187" i="2"/>
  <c r="E187" i="2"/>
  <c r="AD186" i="2"/>
  <c r="AC186" i="2"/>
  <c r="AA186" i="2"/>
  <c r="Z186" i="2"/>
  <c r="Y186" i="2"/>
  <c r="V186" i="2"/>
  <c r="T186" i="2"/>
  <c r="M186" i="2"/>
  <c r="O186" i="2" s="1"/>
  <c r="H186" i="2"/>
  <c r="G186" i="2"/>
  <c r="E186" i="2"/>
  <c r="AD185" i="2"/>
  <c r="AA185" i="2"/>
  <c r="AC185" i="2" s="1"/>
  <c r="Z185" i="2"/>
  <c r="Y185" i="2"/>
  <c r="T185" i="2"/>
  <c r="V185" i="2" s="1"/>
  <c r="M185" i="2"/>
  <c r="O185" i="2" s="1"/>
  <c r="H185" i="2"/>
  <c r="G185" i="2"/>
  <c r="E185" i="2"/>
  <c r="AD184" i="2"/>
  <c r="Z184" i="2"/>
  <c r="Y184" i="2"/>
  <c r="AA184" i="2" s="1"/>
  <c r="AC184" i="2" s="1"/>
  <c r="V184" i="2"/>
  <c r="T184" i="2"/>
  <c r="M184" i="2"/>
  <c r="O184" i="2" s="1"/>
  <c r="H184" i="2"/>
  <c r="G184" i="2"/>
  <c r="E184" i="2"/>
  <c r="AD183" i="2"/>
  <c r="Z183" i="2"/>
  <c r="Y183" i="2"/>
  <c r="AA183" i="2" s="1"/>
  <c r="AC183" i="2" s="1"/>
  <c r="V183" i="2"/>
  <c r="T183" i="2"/>
  <c r="M183" i="2"/>
  <c r="O183" i="2" s="1"/>
  <c r="H183" i="2"/>
  <c r="G183" i="2"/>
  <c r="E183" i="2"/>
  <c r="AD182" i="2"/>
  <c r="AA182" i="2"/>
  <c r="AC182" i="2" s="1"/>
  <c r="Z182" i="2"/>
  <c r="Y182" i="2"/>
  <c r="T182" i="2"/>
  <c r="V182" i="2" s="1"/>
  <c r="M182" i="2"/>
  <c r="O182" i="2" s="1"/>
  <c r="H182" i="2"/>
  <c r="G182" i="2"/>
  <c r="E182" i="2"/>
  <c r="AD181" i="2"/>
  <c r="AA181" i="2"/>
  <c r="AC181" i="2" s="1"/>
  <c r="Z181" i="2"/>
  <c r="Y181" i="2"/>
  <c r="T181" i="2"/>
  <c r="V181" i="2" s="1"/>
  <c r="M181" i="2"/>
  <c r="O181" i="2" s="1"/>
  <c r="H181" i="2"/>
  <c r="G181" i="2"/>
  <c r="E181" i="2"/>
  <c r="AD180" i="2"/>
  <c r="Z180" i="2"/>
  <c r="Y180" i="2"/>
  <c r="AA180" i="2" s="1"/>
  <c r="AC180" i="2" s="1"/>
  <c r="V180" i="2"/>
  <c r="T180" i="2"/>
  <c r="M180" i="2"/>
  <c r="O180" i="2" s="1"/>
  <c r="H180" i="2"/>
  <c r="G180" i="2"/>
  <c r="E180" i="2"/>
  <c r="AD179" i="2"/>
  <c r="AC179" i="2"/>
  <c r="Z179" i="2"/>
  <c r="Y179" i="2"/>
  <c r="AA179" i="2" s="1"/>
  <c r="V179" i="2"/>
  <c r="T179" i="2"/>
  <c r="M179" i="2"/>
  <c r="O179" i="2" s="1"/>
  <c r="H179" i="2"/>
  <c r="G179" i="2"/>
  <c r="E179" i="2"/>
  <c r="AD178" i="2"/>
  <c r="AA178" i="2"/>
  <c r="AC178" i="2" s="1"/>
  <c r="Z178" i="2"/>
  <c r="Y178" i="2"/>
  <c r="T178" i="2"/>
  <c r="V178" i="2" s="1"/>
  <c r="M178" i="2"/>
  <c r="O178" i="2" s="1"/>
  <c r="H178" i="2"/>
  <c r="G178" i="2"/>
  <c r="E178" i="2"/>
  <c r="AD177" i="2"/>
  <c r="AA177" i="2"/>
  <c r="AC177" i="2" s="1"/>
  <c r="Z177" i="2"/>
  <c r="Y177" i="2"/>
  <c r="T177" i="2"/>
  <c r="V177" i="2" s="1"/>
  <c r="M177" i="2"/>
  <c r="O177" i="2" s="1"/>
  <c r="H177" i="2"/>
  <c r="G177" i="2"/>
  <c r="E177" i="2"/>
  <c r="AD176" i="2"/>
  <c r="Z176" i="2"/>
  <c r="Y176" i="2"/>
  <c r="AA176" i="2" s="1"/>
  <c r="AC176" i="2" s="1"/>
  <c r="V176" i="2"/>
  <c r="T176" i="2"/>
  <c r="M176" i="2"/>
  <c r="O176" i="2" s="1"/>
  <c r="H176" i="2"/>
  <c r="G176" i="2"/>
  <c r="E176" i="2"/>
  <c r="AD175" i="2"/>
  <c r="AC175" i="2"/>
  <c r="Z175" i="2"/>
  <c r="Y175" i="2"/>
  <c r="AA175" i="2" s="1"/>
  <c r="V175" i="2"/>
  <c r="T175" i="2"/>
  <c r="M175" i="2"/>
  <c r="O175" i="2" s="1"/>
  <c r="H175" i="2"/>
  <c r="G175" i="2"/>
  <c r="E175" i="2"/>
  <c r="AD174" i="2"/>
  <c r="AC174" i="2"/>
  <c r="AA174" i="2"/>
  <c r="Z174" i="2"/>
  <c r="Y174" i="2"/>
  <c r="V174" i="2"/>
  <c r="T174" i="2"/>
  <c r="M174" i="2"/>
  <c r="O174" i="2" s="1"/>
  <c r="H174" i="2"/>
  <c r="G174" i="2"/>
  <c r="E174" i="2"/>
  <c r="AD173" i="2"/>
  <c r="AA173" i="2"/>
  <c r="AC173" i="2" s="1"/>
  <c r="Z173" i="2"/>
  <c r="Y173" i="2"/>
  <c r="T173" i="2"/>
  <c r="V173" i="2" s="1"/>
  <c r="O173" i="2"/>
  <c r="M173" i="2"/>
  <c r="H173" i="2"/>
  <c r="E173" i="2"/>
  <c r="G173" i="2" s="1"/>
  <c r="AD172" i="2"/>
  <c r="Z172" i="2"/>
  <c r="AA172" i="2" s="1"/>
  <c r="AC172" i="2" s="1"/>
  <c r="Y172" i="2"/>
  <c r="T172" i="2"/>
  <c r="V172" i="2" s="1"/>
  <c r="O172" i="2"/>
  <c r="M172" i="2"/>
  <c r="H172" i="2"/>
  <c r="G172" i="2"/>
  <c r="E172" i="2"/>
  <c r="AD171" i="2"/>
  <c r="AA171" i="2"/>
  <c r="AC171" i="2" s="1"/>
  <c r="Z171" i="2"/>
  <c r="Y171" i="2"/>
  <c r="T171" i="2"/>
  <c r="V171" i="2" s="1"/>
  <c r="O171" i="2"/>
  <c r="M171" i="2"/>
  <c r="H171" i="2"/>
  <c r="E171" i="2"/>
  <c r="G171" i="2" s="1"/>
  <c r="AD170" i="2"/>
  <c r="Z170" i="2"/>
  <c r="AA170" i="2" s="1"/>
  <c r="AC170" i="2" s="1"/>
  <c r="Y170" i="2"/>
  <c r="T170" i="2"/>
  <c r="V170" i="2" s="1"/>
  <c r="O170" i="2"/>
  <c r="M170" i="2"/>
  <c r="H170" i="2"/>
  <c r="G170" i="2"/>
  <c r="E170" i="2"/>
  <c r="AD169" i="2"/>
  <c r="AA169" i="2"/>
  <c r="AC169" i="2" s="1"/>
  <c r="Z169" i="2"/>
  <c r="Y169" i="2"/>
  <c r="T169" i="2"/>
  <c r="V169" i="2" s="1"/>
  <c r="O169" i="2"/>
  <c r="M169" i="2"/>
  <c r="H169" i="2"/>
  <c r="E169" i="2"/>
  <c r="G169" i="2" s="1"/>
  <c r="AD168" i="2"/>
  <c r="Z168" i="2"/>
  <c r="AA168" i="2" s="1"/>
  <c r="AC168" i="2" s="1"/>
  <c r="Y168" i="2"/>
  <c r="T168" i="2"/>
  <c r="V168" i="2" s="1"/>
  <c r="O168" i="2"/>
  <c r="M168" i="2"/>
  <c r="H168" i="2"/>
  <c r="G168" i="2"/>
  <c r="E168" i="2"/>
  <c r="AD167" i="2"/>
  <c r="AA167" i="2"/>
  <c r="AC167" i="2" s="1"/>
  <c r="Z167" i="2"/>
  <c r="Y167" i="2"/>
  <c r="T167" i="2"/>
  <c r="V167" i="2" s="1"/>
  <c r="O167" i="2"/>
  <c r="M167" i="2"/>
  <c r="H167" i="2"/>
  <c r="E167" i="2"/>
  <c r="G167" i="2" s="1"/>
  <c r="AD166" i="2"/>
  <c r="Z166" i="2"/>
  <c r="AA166" i="2" s="1"/>
  <c r="AC166" i="2" s="1"/>
  <c r="Y166" i="2"/>
  <c r="T166" i="2"/>
  <c r="V166" i="2" s="1"/>
  <c r="O166" i="2"/>
  <c r="M166" i="2"/>
  <c r="H166" i="2"/>
  <c r="G166" i="2"/>
  <c r="E166" i="2"/>
  <c r="AD165" i="2"/>
  <c r="AA165" i="2"/>
  <c r="AC165" i="2" s="1"/>
  <c r="Z165" i="2"/>
  <c r="Y165" i="2"/>
  <c r="T165" i="2"/>
  <c r="V165" i="2" s="1"/>
  <c r="O165" i="2"/>
  <c r="M165" i="2"/>
  <c r="H165" i="2"/>
  <c r="E165" i="2"/>
  <c r="G165" i="2" s="1"/>
  <c r="AD164" i="2"/>
  <c r="Z164" i="2"/>
  <c r="AA164" i="2" s="1"/>
  <c r="AC164" i="2" s="1"/>
  <c r="Y164" i="2"/>
  <c r="T164" i="2"/>
  <c r="V164" i="2" s="1"/>
  <c r="O164" i="2"/>
  <c r="M164" i="2"/>
  <c r="H164" i="2"/>
  <c r="G164" i="2"/>
  <c r="E164" i="2"/>
  <c r="AD163" i="2"/>
  <c r="AA163" i="2"/>
  <c r="AC163" i="2" s="1"/>
  <c r="Z163" i="2"/>
  <c r="Y163" i="2"/>
  <c r="T163" i="2"/>
  <c r="V163" i="2" s="1"/>
  <c r="O163" i="2"/>
  <c r="M163" i="2"/>
  <c r="H163" i="2"/>
  <c r="E163" i="2"/>
  <c r="G163" i="2" s="1"/>
  <c r="AD162" i="2"/>
  <c r="Z162" i="2"/>
  <c r="AA162" i="2" s="1"/>
  <c r="AC162" i="2" s="1"/>
  <c r="Y162" i="2"/>
  <c r="T162" i="2"/>
  <c r="V162" i="2" s="1"/>
  <c r="O162" i="2"/>
  <c r="M162" i="2"/>
  <c r="H162" i="2"/>
  <c r="G162" i="2"/>
  <c r="E162" i="2"/>
  <c r="AD161" i="2"/>
  <c r="AA161" i="2"/>
  <c r="AC161" i="2" s="1"/>
  <c r="Z161" i="2"/>
  <c r="Y161" i="2"/>
  <c r="T161" i="2"/>
  <c r="V161" i="2" s="1"/>
  <c r="O161" i="2"/>
  <c r="M161" i="2"/>
  <c r="H161" i="2"/>
  <c r="E161" i="2"/>
  <c r="G161" i="2" s="1"/>
  <c r="AD160" i="2"/>
  <c r="Z160" i="2"/>
  <c r="AA160" i="2" s="1"/>
  <c r="AC160" i="2" s="1"/>
  <c r="Y160" i="2"/>
  <c r="T160" i="2"/>
  <c r="V160" i="2" s="1"/>
  <c r="O160" i="2"/>
  <c r="M160" i="2"/>
  <c r="H160" i="2"/>
  <c r="G160" i="2"/>
  <c r="E160" i="2"/>
  <c r="AD159" i="2"/>
  <c r="AA159" i="2"/>
  <c r="AC159" i="2" s="1"/>
  <c r="Z159" i="2"/>
  <c r="Y159" i="2"/>
  <c r="T159" i="2"/>
  <c r="V159" i="2" s="1"/>
  <c r="O159" i="2"/>
  <c r="M159" i="2"/>
  <c r="H159" i="2"/>
  <c r="E159" i="2"/>
  <c r="G159" i="2" s="1"/>
  <c r="AD158" i="2"/>
  <c r="Z158" i="2"/>
  <c r="AA158" i="2" s="1"/>
  <c r="AC158" i="2" s="1"/>
  <c r="Y158" i="2"/>
  <c r="T158" i="2"/>
  <c r="V158" i="2" s="1"/>
  <c r="O158" i="2"/>
  <c r="M158" i="2"/>
  <c r="H158" i="2"/>
  <c r="G158" i="2"/>
  <c r="E158" i="2"/>
  <c r="AD157" i="2"/>
  <c r="AA157" i="2"/>
  <c r="AC157" i="2" s="1"/>
  <c r="Z157" i="2"/>
  <c r="Y157" i="2"/>
  <c r="T157" i="2"/>
  <c r="V157" i="2" s="1"/>
  <c r="O157" i="2"/>
  <c r="M157" i="2"/>
  <c r="H157" i="2"/>
  <c r="E157" i="2"/>
  <c r="G157" i="2" s="1"/>
  <c r="AD156" i="2"/>
  <c r="Z156" i="2"/>
  <c r="AA156" i="2" s="1"/>
  <c r="AC156" i="2" s="1"/>
  <c r="Y156" i="2"/>
  <c r="T156" i="2"/>
  <c r="V156" i="2" s="1"/>
  <c r="O156" i="2"/>
  <c r="M156" i="2"/>
  <c r="H156" i="2"/>
  <c r="G156" i="2"/>
  <c r="E156" i="2"/>
  <c r="AD155" i="2"/>
  <c r="AA155" i="2"/>
  <c r="AC155" i="2" s="1"/>
  <c r="Z155" i="2"/>
  <c r="Y155" i="2"/>
  <c r="T155" i="2"/>
  <c r="V155" i="2" s="1"/>
  <c r="O155" i="2"/>
  <c r="M155" i="2"/>
  <c r="H155" i="2"/>
  <c r="E155" i="2"/>
  <c r="G155" i="2" s="1"/>
  <c r="AD154" i="2"/>
  <c r="Z154" i="2"/>
  <c r="AA154" i="2" s="1"/>
  <c r="AC154" i="2" s="1"/>
  <c r="Y154" i="2"/>
  <c r="T154" i="2"/>
  <c r="V154" i="2" s="1"/>
  <c r="O154" i="2"/>
  <c r="M154" i="2"/>
  <c r="H154" i="2"/>
  <c r="G154" i="2"/>
  <c r="E154" i="2"/>
  <c r="AD153" i="2"/>
  <c r="AA153" i="2"/>
  <c r="AC153" i="2" s="1"/>
  <c r="Z153" i="2"/>
  <c r="Y153" i="2"/>
  <c r="T153" i="2"/>
  <c r="V153" i="2" s="1"/>
  <c r="O153" i="2"/>
  <c r="M153" i="2"/>
  <c r="H153" i="2"/>
  <c r="E153" i="2"/>
  <c r="G153" i="2" s="1"/>
  <c r="AD152" i="2"/>
  <c r="Z152" i="2"/>
  <c r="AA152" i="2" s="1"/>
  <c r="AC152" i="2" s="1"/>
  <c r="Y152" i="2"/>
  <c r="T152" i="2"/>
  <c r="V152" i="2" s="1"/>
  <c r="O152" i="2"/>
  <c r="M152" i="2"/>
  <c r="H152" i="2"/>
  <c r="G152" i="2"/>
  <c r="E152" i="2"/>
  <c r="AD151" i="2"/>
  <c r="AA151" i="2"/>
  <c r="AC151" i="2" s="1"/>
  <c r="Z151" i="2"/>
  <c r="Y151" i="2"/>
  <c r="T151" i="2"/>
  <c r="V151" i="2" s="1"/>
  <c r="O151" i="2"/>
  <c r="M151" i="2"/>
  <c r="H151" i="2"/>
  <c r="E151" i="2"/>
  <c r="G151" i="2" s="1"/>
  <c r="AD150" i="2"/>
  <c r="Z150" i="2"/>
  <c r="AA150" i="2" s="1"/>
  <c r="AC150" i="2" s="1"/>
  <c r="Y150" i="2"/>
  <c r="T150" i="2"/>
  <c r="V150" i="2" s="1"/>
  <c r="O150" i="2"/>
  <c r="M150" i="2"/>
  <c r="H150" i="2"/>
  <c r="G150" i="2"/>
  <c r="E150" i="2"/>
  <c r="AD149" i="2"/>
  <c r="AA149" i="2"/>
  <c r="AC149" i="2" s="1"/>
  <c r="Z149" i="2"/>
  <c r="Y149" i="2"/>
  <c r="T149" i="2"/>
  <c r="V149" i="2" s="1"/>
  <c r="O149" i="2"/>
  <c r="M149" i="2"/>
  <c r="H149" i="2"/>
  <c r="E149" i="2"/>
  <c r="G149" i="2" s="1"/>
  <c r="AD148" i="2"/>
  <c r="Z148" i="2"/>
  <c r="AA148" i="2" s="1"/>
  <c r="AC148" i="2" s="1"/>
  <c r="Y148" i="2"/>
  <c r="T148" i="2"/>
  <c r="V148" i="2" s="1"/>
  <c r="O148" i="2"/>
  <c r="M148" i="2"/>
  <c r="H148" i="2"/>
  <c r="G148" i="2"/>
  <c r="E148" i="2"/>
  <c r="AD147" i="2"/>
  <c r="AA147" i="2"/>
  <c r="AC147" i="2" s="1"/>
  <c r="Z147" i="2"/>
  <c r="Y147" i="2"/>
  <c r="T147" i="2"/>
  <c r="V147" i="2" s="1"/>
  <c r="O147" i="2"/>
  <c r="M147" i="2"/>
  <c r="H147" i="2"/>
  <c r="E147" i="2"/>
  <c r="G147" i="2" s="1"/>
  <c r="AD146" i="2"/>
  <c r="Z146" i="2"/>
  <c r="AA146" i="2" s="1"/>
  <c r="AC146" i="2" s="1"/>
  <c r="Y146" i="2"/>
  <c r="T146" i="2"/>
  <c r="V146" i="2" s="1"/>
  <c r="O146" i="2"/>
  <c r="M146" i="2"/>
  <c r="H146" i="2"/>
  <c r="G146" i="2"/>
  <c r="E146" i="2"/>
  <c r="AD145" i="2"/>
  <c r="AA145" i="2"/>
  <c r="AC145" i="2" s="1"/>
  <c r="Z145" i="2"/>
  <c r="Y145" i="2"/>
  <c r="T145" i="2"/>
  <c r="V145" i="2" s="1"/>
  <c r="O145" i="2"/>
  <c r="M145" i="2"/>
  <c r="H145" i="2"/>
  <c r="E145" i="2"/>
  <c r="G145" i="2" s="1"/>
  <c r="AD144" i="2"/>
  <c r="Z144" i="2"/>
  <c r="AA144" i="2" s="1"/>
  <c r="AC144" i="2" s="1"/>
  <c r="Y144" i="2"/>
  <c r="T144" i="2"/>
  <c r="V144" i="2" s="1"/>
  <c r="O144" i="2"/>
  <c r="M144" i="2"/>
  <c r="H144" i="2"/>
  <c r="G144" i="2"/>
  <c r="E144" i="2"/>
  <c r="AD143" i="2"/>
  <c r="AA143" i="2"/>
  <c r="AC143" i="2" s="1"/>
  <c r="Z143" i="2"/>
  <c r="Y143" i="2"/>
  <c r="T143" i="2"/>
  <c r="V143" i="2" s="1"/>
  <c r="O143" i="2"/>
  <c r="M143" i="2"/>
  <c r="H143" i="2"/>
  <c r="E143" i="2"/>
  <c r="G143" i="2" s="1"/>
  <c r="AD142" i="2"/>
  <c r="Z142" i="2"/>
  <c r="AA142" i="2" s="1"/>
  <c r="AC142" i="2" s="1"/>
  <c r="Y142" i="2"/>
  <c r="T142" i="2"/>
  <c r="V142" i="2" s="1"/>
  <c r="O142" i="2"/>
  <c r="M142" i="2"/>
  <c r="H142" i="2"/>
  <c r="G142" i="2"/>
  <c r="E142" i="2"/>
  <c r="AD141" i="2"/>
  <c r="AA141" i="2"/>
  <c r="AC141" i="2" s="1"/>
  <c r="Z141" i="2"/>
  <c r="Y141" i="2"/>
  <c r="T141" i="2"/>
  <c r="V141" i="2" s="1"/>
  <c r="O141" i="2"/>
  <c r="M141" i="2"/>
  <c r="H141" i="2"/>
  <c r="E141" i="2"/>
  <c r="G141" i="2" s="1"/>
  <c r="AD140" i="2"/>
  <c r="Z140" i="2"/>
  <c r="AA140" i="2" s="1"/>
  <c r="AC140" i="2" s="1"/>
  <c r="Y140" i="2"/>
  <c r="T140" i="2"/>
  <c r="V140" i="2" s="1"/>
  <c r="O140" i="2"/>
  <c r="M140" i="2"/>
  <c r="H140" i="2"/>
  <c r="G140" i="2"/>
  <c r="E140" i="2"/>
  <c r="AD139" i="2"/>
  <c r="AA139" i="2"/>
  <c r="AC139" i="2" s="1"/>
  <c r="Z139" i="2"/>
  <c r="Y139" i="2"/>
  <c r="T139" i="2"/>
  <c r="V139" i="2" s="1"/>
  <c r="O139" i="2"/>
  <c r="M139" i="2"/>
  <c r="H139" i="2"/>
  <c r="E139" i="2"/>
  <c r="G139" i="2" s="1"/>
  <c r="AD138" i="2"/>
  <c r="Z138" i="2"/>
  <c r="AA138" i="2" s="1"/>
  <c r="AC138" i="2" s="1"/>
  <c r="Y138" i="2"/>
  <c r="T138" i="2"/>
  <c r="V138" i="2" s="1"/>
  <c r="O138" i="2"/>
  <c r="M138" i="2"/>
  <c r="H138" i="2"/>
  <c r="G138" i="2"/>
  <c r="E138" i="2"/>
  <c r="AD137" i="2"/>
  <c r="AA137" i="2"/>
  <c r="AC137" i="2" s="1"/>
  <c r="Z137" i="2"/>
  <c r="Y137" i="2"/>
  <c r="T137" i="2"/>
  <c r="V137" i="2" s="1"/>
  <c r="O137" i="2"/>
  <c r="M137" i="2"/>
  <c r="H137" i="2"/>
  <c r="E137" i="2"/>
  <c r="G137" i="2" s="1"/>
  <c r="AD136" i="2"/>
  <c r="Z136" i="2"/>
  <c r="AA136" i="2" s="1"/>
  <c r="AC136" i="2" s="1"/>
  <c r="Y136" i="2"/>
  <c r="T136" i="2"/>
  <c r="V136" i="2" s="1"/>
  <c r="O136" i="2"/>
  <c r="M136" i="2"/>
  <c r="H136" i="2"/>
  <c r="G136" i="2"/>
  <c r="E136" i="2"/>
  <c r="AD135" i="2"/>
  <c r="AA135" i="2"/>
  <c r="AC135" i="2" s="1"/>
  <c r="Z135" i="2"/>
  <c r="Y135" i="2"/>
  <c r="T135" i="2"/>
  <c r="V135" i="2" s="1"/>
  <c r="O135" i="2"/>
  <c r="M135" i="2"/>
  <c r="H135" i="2"/>
  <c r="E135" i="2"/>
  <c r="G135" i="2" s="1"/>
  <c r="AD134" i="2"/>
  <c r="Z134" i="2"/>
  <c r="AA134" i="2" s="1"/>
  <c r="AC134" i="2" s="1"/>
  <c r="Y134" i="2"/>
  <c r="T134" i="2"/>
  <c r="V134" i="2" s="1"/>
  <c r="O134" i="2"/>
  <c r="M134" i="2"/>
  <c r="H134" i="2"/>
  <c r="G134" i="2"/>
  <c r="E134" i="2"/>
  <c r="AD133" i="2"/>
  <c r="AA133" i="2"/>
  <c r="AC133" i="2" s="1"/>
  <c r="Z133" i="2"/>
  <c r="Y133" i="2"/>
  <c r="T133" i="2"/>
  <c r="V133" i="2" s="1"/>
  <c r="O133" i="2"/>
  <c r="M133" i="2"/>
  <c r="H133" i="2"/>
  <c r="E133" i="2"/>
  <c r="G133" i="2" s="1"/>
  <c r="AD132" i="2"/>
  <c r="Z132" i="2"/>
  <c r="AA132" i="2" s="1"/>
  <c r="AC132" i="2" s="1"/>
  <c r="Y132" i="2"/>
  <c r="T132" i="2"/>
  <c r="V132" i="2" s="1"/>
  <c r="O132" i="2"/>
  <c r="M132" i="2"/>
  <c r="H132" i="2"/>
  <c r="G132" i="2"/>
  <c r="E132" i="2"/>
  <c r="AD131" i="2"/>
  <c r="AA131" i="2"/>
  <c r="AC131" i="2" s="1"/>
  <c r="Z131" i="2"/>
  <c r="Y131" i="2"/>
  <c r="T131" i="2"/>
  <c r="V131" i="2" s="1"/>
  <c r="O131" i="2"/>
  <c r="M131" i="2"/>
  <c r="H131" i="2"/>
  <c r="E131" i="2"/>
  <c r="G131" i="2" s="1"/>
  <c r="AD130" i="2"/>
  <c r="Z130" i="2"/>
  <c r="AA130" i="2" s="1"/>
  <c r="AC130" i="2" s="1"/>
  <c r="Y130" i="2"/>
  <c r="T130" i="2"/>
  <c r="V130" i="2" s="1"/>
  <c r="O130" i="2"/>
  <c r="M130" i="2"/>
  <c r="H130" i="2"/>
  <c r="G130" i="2"/>
  <c r="E130" i="2"/>
  <c r="AD129" i="2"/>
  <c r="AA129" i="2"/>
  <c r="AC129" i="2" s="1"/>
  <c r="Z129" i="2"/>
  <c r="Y129" i="2"/>
  <c r="T129" i="2"/>
  <c r="V129" i="2" s="1"/>
  <c r="O129" i="2"/>
  <c r="M129" i="2"/>
  <c r="H129" i="2"/>
  <c r="E129" i="2"/>
  <c r="G129" i="2" s="1"/>
  <c r="AD128" i="2"/>
  <c r="Z128" i="2"/>
  <c r="AA128" i="2" s="1"/>
  <c r="AC128" i="2" s="1"/>
  <c r="Y128" i="2"/>
  <c r="T128" i="2"/>
  <c r="V128" i="2" s="1"/>
  <c r="O128" i="2"/>
  <c r="M128" i="2"/>
  <c r="H128" i="2"/>
  <c r="G128" i="2"/>
  <c r="E128" i="2"/>
  <c r="AD127" i="2"/>
  <c r="AA127" i="2"/>
  <c r="AC127" i="2" s="1"/>
  <c r="Z127" i="2"/>
  <c r="Y127" i="2"/>
  <c r="T127" i="2"/>
  <c r="V127" i="2" s="1"/>
  <c r="O127" i="2"/>
  <c r="M127" i="2"/>
  <c r="H127" i="2"/>
  <c r="E127" i="2"/>
  <c r="G127" i="2" s="1"/>
  <c r="AD126" i="2"/>
  <c r="Z126" i="2"/>
  <c r="AA126" i="2" s="1"/>
  <c r="AC126" i="2" s="1"/>
  <c r="Y126" i="2"/>
  <c r="T126" i="2"/>
  <c r="V126" i="2" s="1"/>
  <c r="O126" i="2"/>
  <c r="M126" i="2"/>
  <c r="H126" i="2"/>
  <c r="G126" i="2"/>
  <c r="E126" i="2"/>
  <c r="AD125" i="2"/>
  <c r="AA125" i="2"/>
  <c r="AC125" i="2" s="1"/>
  <c r="Z125" i="2"/>
  <c r="Y125" i="2"/>
  <c r="T125" i="2"/>
  <c r="V125" i="2" s="1"/>
  <c r="O125" i="2"/>
  <c r="M125" i="2"/>
  <c r="H125" i="2"/>
  <c r="E125" i="2"/>
  <c r="G125" i="2" s="1"/>
  <c r="AD124" i="2"/>
  <c r="Z124" i="2"/>
  <c r="AA124" i="2" s="1"/>
  <c r="AC124" i="2" s="1"/>
  <c r="Y124" i="2"/>
  <c r="T124" i="2"/>
  <c r="V124" i="2" s="1"/>
  <c r="O124" i="2"/>
  <c r="M124" i="2"/>
  <c r="H124" i="2"/>
  <c r="G124" i="2"/>
  <c r="E124" i="2"/>
  <c r="AD123" i="2"/>
  <c r="AA123" i="2"/>
  <c r="AC123" i="2" s="1"/>
  <c r="Z123" i="2"/>
  <c r="Y123" i="2"/>
  <c r="T123" i="2"/>
  <c r="V123" i="2" s="1"/>
  <c r="O123" i="2"/>
  <c r="M123" i="2"/>
  <c r="H123" i="2"/>
  <c r="E123" i="2"/>
  <c r="G123" i="2" s="1"/>
  <c r="AD122" i="2"/>
  <c r="Z122" i="2"/>
  <c r="AA122" i="2" s="1"/>
  <c r="AC122" i="2" s="1"/>
  <c r="Y122" i="2"/>
  <c r="T122" i="2"/>
  <c r="V122" i="2" s="1"/>
  <c r="O122" i="2"/>
  <c r="M122" i="2"/>
  <c r="H122" i="2"/>
  <c r="G122" i="2"/>
  <c r="E122" i="2"/>
  <c r="AD121" i="2"/>
  <c r="AA121" i="2"/>
  <c r="AC121" i="2" s="1"/>
  <c r="Z121" i="2"/>
  <c r="Y121" i="2"/>
  <c r="T121" i="2"/>
  <c r="V121" i="2" s="1"/>
  <c r="O121" i="2"/>
  <c r="M121" i="2"/>
  <c r="H121" i="2"/>
  <c r="E121" i="2"/>
  <c r="G121" i="2" s="1"/>
  <c r="AD120" i="2"/>
  <c r="Z120" i="2"/>
  <c r="AA120" i="2" s="1"/>
  <c r="AC120" i="2" s="1"/>
  <c r="Y120" i="2"/>
  <c r="T120" i="2"/>
  <c r="V120" i="2" s="1"/>
  <c r="O120" i="2"/>
  <c r="M120" i="2"/>
  <c r="H120" i="2"/>
  <c r="G120" i="2"/>
  <c r="E120" i="2"/>
  <c r="AD119" i="2"/>
  <c r="AA119" i="2"/>
  <c r="AC119" i="2" s="1"/>
  <c r="Z119" i="2"/>
  <c r="Y119" i="2"/>
  <c r="T119" i="2"/>
  <c r="V119" i="2" s="1"/>
  <c r="O119" i="2"/>
  <c r="M119" i="2"/>
  <c r="H119" i="2"/>
  <c r="E119" i="2"/>
  <c r="G119" i="2" s="1"/>
  <c r="AD118" i="2"/>
  <c r="Z118" i="2"/>
  <c r="AA118" i="2" s="1"/>
  <c r="AC118" i="2" s="1"/>
  <c r="Y118" i="2"/>
  <c r="T118" i="2"/>
  <c r="V118" i="2" s="1"/>
  <c r="O118" i="2"/>
  <c r="M118" i="2"/>
  <c r="H118" i="2"/>
  <c r="G118" i="2"/>
  <c r="E118" i="2"/>
  <c r="AD117" i="2"/>
  <c r="AA117" i="2"/>
  <c r="AC117" i="2" s="1"/>
  <c r="Z117" i="2"/>
  <c r="Y117" i="2"/>
  <c r="T117" i="2"/>
  <c r="V117" i="2" s="1"/>
  <c r="O117" i="2"/>
  <c r="M117" i="2"/>
  <c r="H117" i="2"/>
  <c r="E117" i="2"/>
  <c r="G117" i="2" s="1"/>
  <c r="AD116" i="2"/>
  <c r="Z116" i="2"/>
  <c r="AA116" i="2" s="1"/>
  <c r="AC116" i="2" s="1"/>
  <c r="Y116" i="2"/>
  <c r="T116" i="2"/>
  <c r="V116" i="2" s="1"/>
  <c r="O116" i="2"/>
  <c r="M116" i="2"/>
  <c r="H116" i="2"/>
  <c r="G116" i="2"/>
  <c r="E116" i="2"/>
  <c r="AD115" i="2"/>
  <c r="AA115" i="2"/>
  <c r="AC115" i="2" s="1"/>
  <c r="Z115" i="2"/>
  <c r="Y115" i="2"/>
  <c r="T115" i="2"/>
  <c r="V115" i="2" s="1"/>
  <c r="O115" i="2"/>
  <c r="M115" i="2"/>
  <c r="H115" i="2"/>
  <c r="E115" i="2"/>
  <c r="G115" i="2" s="1"/>
  <c r="AD114" i="2"/>
  <c r="Z114" i="2"/>
  <c r="AA114" i="2" s="1"/>
  <c r="AC114" i="2" s="1"/>
  <c r="Y114" i="2"/>
  <c r="T114" i="2"/>
  <c r="V114" i="2" s="1"/>
  <c r="O114" i="2"/>
  <c r="M114" i="2"/>
  <c r="H114" i="2"/>
  <c r="G114" i="2"/>
  <c r="E114" i="2"/>
  <c r="AD113" i="2"/>
  <c r="AA113" i="2"/>
  <c r="AC113" i="2" s="1"/>
  <c r="Z113" i="2"/>
  <c r="Y113" i="2"/>
  <c r="T113" i="2"/>
  <c r="V113" i="2" s="1"/>
  <c r="O113" i="2"/>
  <c r="M113" i="2"/>
  <c r="H113" i="2"/>
  <c r="E113" i="2"/>
  <c r="G113" i="2" s="1"/>
  <c r="AD112" i="2"/>
  <c r="Z112" i="2"/>
  <c r="AA112" i="2" s="1"/>
  <c r="AC112" i="2" s="1"/>
  <c r="Y112" i="2"/>
  <c r="T112" i="2"/>
  <c r="V112" i="2" s="1"/>
  <c r="O112" i="2"/>
  <c r="M112" i="2"/>
  <c r="H112" i="2"/>
  <c r="G112" i="2"/>
  <c r="E112" i="2"/>
  <c r="AD111" i="2"/>
  <c r="AA111" i="2"/>
  <c r="AC111" i="2" s="1"/>
  <c r="Z111" i="2"/>
  <c r="Y111" i="2"/>
  <c r="W111" i="2"/>
  <c r="V111" i="2"/>
  <c r="T111" i="2"/>
  <c r="P111" i="2"/>
  <c r="M111" i="2"/>
  <c r="O111" i="2" s="1"/>
  <c r="H111" i="2"/>
  <c r="E111" i="2"/>
  <c r="G111" i="2" s="1"/>
  <c r="AD110" i="2"/>
  <c r="Z110" i="2"/>
  <c r="AA110" i="2" s="1"/>
  <c r="AC110" i="2" s="1"/>
  <c r="Y110" i="2"/>
  <c r="W110" i="2"/>
  <c r="T110" i="2"/>
  <c r="V110" i="2" s="1"/>
  <c r="P110" i="2"/>
  <c r="O110" i="2"/>
  <c r="M110" i="2"/>
  <c r="H110" i="2"/>
  <c r="G110" i="2"/>
  <c r="E110" i="2"/>
  <c r="AD109" i="2"/>
  <c r="Z109" i="2"/>
  <c r="AA109" i="2" s="1"/>
  <c r="AC109" i="2" s="1"/>
  <c r="Y109" i="2"/>
  <c r="W109" i="2"/>
  <c r="T109" i="2"/>
  <c r="V109" i="2" s="1"/>
  <c r="P109" i="2"/>
  <c r="M109" i="2"/>
  <c r="O109" i="2" s="1"/>
  <c r="H109" i="2"/>
  <c r="E109" i="2"/>
  <c r="G109" i="2" s="1"/>
  <c r="AD108" i="2"/>
  <c r="Z108" i="2"/>
  <c r="Y108" i="2"/>
  <c r="W108" i="2"/>
  <c r="T108" i="2"/>
  <c r="V108" i="2" s="1"/>
  <c r="P108" i="2"/>
  <c r="O108" i="2"/>
  <c r="M108" i="2"/>
  <c r="H108" i="2"/>
  <c r="E108" i="2"/>
  <c r="G108" i="2" s="1"/>
  <c r="AD107" i="2"/>
  <c r="Z107" i="2"/>
  <c r="AA107" i="2" s="1"/>
  <c r="AC107" i="2" s="1"/>
  <c r="Y107" i="2"/>
  <c r="W107" i="2"/>
  <c r="T107" i="2"/>
  <c r="V107" i="2" s="1"/>
  <c r="P107" i="2"/>
  <c r="M107" i="2"/>
  <c r="O107" i="2" s="1"/>
  <c r="H107" i="2"/>
  <c r="E107" i="2"/>
  <c r="G107" i="2" s="1"/>
  <c r="AD106" i="2"/>
  <c r="Z106" i="2"/>
  <c r="Y106" i="2"/>
  <c r="W106" i="2"/>
  <c r="T106" i="2"/>
  <c r="V106" i="2" s="1"/>
  <c r="P106" i="2"/>
  <c r="O106" i="2"/>
  <c r="M106" i="2"/>
  <c r="H106" i="2"/>
  <c r="E106" i="2"/>
  <c r="G106" i="2" s="1"/>
  <c r="AD105" i="2"/>
  <c r="AA105" i="2"/>
  <c r="AC105" i="2" s="1"/>
  <c r="Z105" i="2"/>
  <c r="Y105" i="2"/>
  <c r="W105" i="2"/>
  <c r="V105" i="2"/>
  <c r="T105" i="2"/>
  <c r="P105" i="2"/>
  <c r="M105" i="2"/>
  <c r="O105" i="2" s="1"/>
  <c r="H105" i="2"/>
  <c r="E105" i="2"/>
  <c r="G105" i="2" s="1"/>
  <c r="AD104" i="2"/>
  <c r="AC104" i="2"/>
  <c r="Z104" i="2"/>
  <c r="AA104" i="2" s="1"/>
  <c r="Y104" i="2"/>
  <c r="W104" i="2"/>
  <c r="T104" i="2"/>
  <c r="V104" i="2" s="1"/>
  <c r="P104" i="2"/>
  <c r="O104" i="2"/>
  <c r="M104" i="2"/>
  <c r="H104" i="2"/>
  <c r="G104" i="2"/>
  <c r="E104" i="2"/>
  <c r="AD103" i="2"/>
  <c r="AA103" i="2"/>
  <c r="AC103" i="2" s="1"/>
  <c r="Z103" i="2"/>
  <c r="Y103" i="2"/>
  <c r="W103" i="2"/>
  <c r="V103" i="2"/>
  <c r="T103" i="2"/>
  <c r="P103" i="2"/>
  <c r="M103" i="2"/>
  <c r="O103" i="2" s="1"/>
  <c r="H103" i="2"/>
  <c r="E103" i="2"/>
  <c r="G103" i="2" s="1"/>
  <c r="AD102" i="2"/>
  <c r="Z102" i="2"/>
  <c r="AA102" i="2" s="1"/>
  <c r="AC102" i="2" s="1"/>
  <c r="Y102" i="2"/>
  <c r="W102" i="2"/>
  <c r="T102" i="2"/>
  <c r="V102" i="2" s="1"/>
  <c r="P102" i="2"/>
  <c r="O102" i="2"/>
  <c r="M102" i="2"/>
  <c r="H102" i="2"/>
  <c r="G102" i="2"/>
  <c r="E102" i="2"/>
  <c r="AD101" i="2"/>
  <c r="Z101" i="2"/>
  <c r="AA101" i="2" s="1"/>
  <c r="AC101" i="2" s="1"/>
  <c r="Y101" i="2"/>
  <c r="W101" i="2"/>
  <c r="T101" i="2"/>
  <c r="V101" i="2" s="1"/>
  <c r="P101" i="2"/>
  <c r="M101" i="2"/>
  <c r="O101" i="2" s="1"/>
  <c r="H101" i="2"/>
  <c r="E101" i="2"/>
  <c r="G101" i="2" s="1"/>
  <c r="AD100" i="2"/>
  <c r="Z100" i="2"/>
  <c r="Y100" i="2"/>
  <c r="W100" i="2"/>
  <c r="T100" i="2"/>
  <c r="V100" i="2" s="1"/>
  <c r="P100" i="2"/>
  <c r="O100" i="2"/>
  <c r="M100" i="2"/>
  <c r="H100" i="2"/>
  <c r="E100" i="2"/>
  <c r="G100" i="2" s="1"/>
  <c r="AD99" i="2"/>
  <c r="Z99" i="2"/>
  <c r="AA99" i="2" s="1"/>
  <c r="AC99" i="2" s="1"/>
  <c r="Y99" i="2"/>
  <c r="W99" i="2"/>
  <c r="T99" i="2"/>
  <c r="V99" i="2" s="1"/>
  <c r="P99" i="2"/>
  <c r="M99" i="2"/>
  <c r="O99" i="2" s="1"/>
  <c r="H99" i="2"/>
  <c r="E99" i="2"/>
  <c r="G99" i="2" s="1"/>
  <c r="AD98" i="2"/>
  <c r="Z98" i="2"/>
  <c r="Y98" i="2"/>
  <c r="W98" i="2"/>
  <c r="T98" i="2"/>
  <c r="V98" i="2" s="1"/>
  <c r="P98" i="2"/>
  <c r="O98" i="2"/>
  <c r="M98" i="2"/>
  <c r="H98" i="2"/>
  <c r="E98" i="2"/>
  <c r="G98" i="2" s="1"/>
  <c r="AD97" i="2"/>
  <c r="AA97" i="2"/>
  <c r="AC97" i="2" s="1"/>
  <c r="Z97" i="2"/>
  <c r="Y97" i="2"/>
  <c r="W97" i="2"/>
  <c r="V97" i="2"/>
  <c r="T97" i="2"/>
  <c r="P97" i="2"/>
  <c r="M97" i="2"/>
  <c r="O97" i="2" s="1"/>
  <c r="H97" i="2"/>
  <c r="E97" i="2"/>
  <c r="G97" i="2" s="1"/>
  <c r="AD96" i="2"/>
  <c r="AC96" i="2"/>
  <c r="Z96" i="2"/>
  <c r="AA96" i="2" s="1"/>
  <c r="Y96" i="2"/>
  <c r="W96" i="2"/>
  <c r="T96" i="2"/>
  <c r="V96" i="2" s="1"/>
  <c r="P96" i="2"/>
  <c r="O96" i="2"/>
  <c r="M96" i="2"/>
  <c r="H96" i="2"/>
  <c r="G96" i="2"/>
  <c r="E96" i="2"/>
  <c r="AD95" i="2"/>
  <c r="AA95" i="2"/>
  <c r="AC95" i="2" s="1"/>
  <c r="Z95" i="2"/>
  <c r="Y95" i="2"/>
  <c r="W95" i="2"/>
  <c r="V95" i="2"/>
  <c r="T95" i="2"/>
  <c r="P95" i="2"/>
  <c r="M95" i="2"/>
  <c r="O95" i="2" s="1"/>
  <c r="H95" i="2"/>
  <c r="E95" i="2"/>
  <c r="G95" i="2" s="1"/>
  <c r="AD94" i="2"/>
  <c r="Z94" i="2"/>
  <c r="AA94" i="2" s="1"/>
  <c r="AC94" i="2" s="1"/>
  <c r="Y94" i="2"/>
  <c r="W94" i="2"/>
  <c r="T94" i="2"/>
  <c r="V94" i="2" s="1"/>
  <c r="P94" i="2"/>
  <c r="O94" i="2"/>
  <c r="M94" i="2"/>
  <c r="H94" i="2"/>
  <c r="G94" i="2"/>
  <c r="E94" i="2"/>
  <c r="AD93" i="2"/>
  <c r="Z93" i="2"/>
  <c r="AA93" i="2" s="1"/>
  <c r="AC93" i="2" s="1"/>
  <c r="Y93" i="2"/>
  <c r="W93" i="2"/>
  <c r="T93" i="2"/>
  <c r="V93" i="2" s="1"/>
  <c r="P93" i="2"/>
  <c r="M93" i="2"/>
  <c r="O93" i="2" s="1"/>
  <c r="H93" i="2"/>
  <c r="E93" i="2"/>
  <c r="G93" i="2" s="1"/>
  <c r="AD92" i="2"/>
  <c r="Z92" i="2"/>
  <c r="Y92" i="2"/>
  <c r="W92" i="2"/>
  <c r="T92" i="2"/>
  <c r="V92" i="2" s="1"/>
  <c r="P92" i="2"/>
  <c r="O92" i="2"/>
  <c r="M92" i="2"/>
  <c r="H92" i="2"/>
  <c r="E92" i="2"/>
  <c r="G92" i="2" s="1"/>
  <c r="AD91" i="2"/>
  <c r="Z91" i="2"/>
  <c r="AA91" i="2" s="1"/>
  <c r="AC91" i="2" s="1"/>
  <c r="Y91" i="2"/>
  <c r="W91" i="2"/>
  <c r="T91" i="2"/>
  <c r="V91" i="2" s="1"/>
  <c r="P91" i="2"/>
  <c r="M91" i="2"/>
  <c r="O91" i="2" s="1"/>
  <c r="H91" i="2"/>
  <c r="E91" i="2"/>
  <c r="G91" i="2" s="1"/>
  <c r="AD90" i="2"/>
  <c r="Z90" i="2"/>
  <c r="Y90" i="2"/>
  <c r="W90" i="2"/>
  <c r="T90" i="2"/>
  <c r="V90" i="2" s="1"/>
  <c r="P90" i="2"/>
  <c r="O90" i="2"/>
  <c r="M90" i="2"/>
  <c r="H90" i="2"/>
  <c r="E90" i="2"/>
  <c r="G90" i="2" s="1"/>
  <c r="AD89" i="2"/>
  <c r="AA89" i="2"/>
  <c r="AC89" i="2" s="1"/>
  <c r="Z89" i="2"/>
  <c r="Y89" i="2"/>
  <c r="W89" i="2"/>
  <c r="V89" i="2"/>
  <c r="T89" i="2"/>
  <c r="P89" i="2"/>
  <c r="M89" i="2"/>
  <c r="O89" i="2" s="1"/>
  <c r="H89" i="2"/>
  <c r="E89" i="2"/>
  <c r="G89" i="2" s="1"/>
  <c r="AD88" i="2"/>
  <c r="AC88" i="2"/>
  <c r="Z88" i="2"/>
  <c r="AA88" i="2" s="1"/>
  <c r="Y88" i="2"/>
  <c r="W88" i="2"/>
  <c r="T88" i="2"/>
  <c r="V88" i="2" s="1"/>
  <c r="P88" i="2"/>
  <c r="O88" i="2"/>
  <c r="M88" i="2"/>
  <c r="H88" i="2"/>
  <c r="G88" i="2"/>
  <c r="E88" i="2"/>
  <c r="AD87" i="2"/>
  <c r="AA87" i="2"/>
  <c r="AC87" i="2" s="1"/>
  <c r="Z87" i="2"/>
  <c r="Y87" i="2"/>
  <c r="W87" i="2"/>
  <c r="V87" i="2"/>
  <c r="T87" i="2"/>
  <c r="P87" i="2"/>
  <c r="M87" i="2"/>
  <c r="O87" i="2" s="1"/>
  <c r="H87" i="2"/>
  <c r="E87" i="2"/>
  <c r="G87" i="2" s="1"/>
  <c r="AD86" i="2"/>
  <c r="Z86" i="2"/>
  <c r="AA86" i="2" s="1"/>
  <c r="AC86" i="2" s="1"/>
  <c r="Y86" i="2"/>
  <c r="W86" i="2"/>
  <c r="T86" i="2"/>
  <c r="V86" i="2" s="1"/>
  <c r="P86" i="2"/>
  <c r="O86" i="2"/>
  <c r="M86" i="2"/>
  <c r="H86" i="2"/>
  <c r="G86" i="2"/>
  <c r="E86" i="2"/>
  <c r="AD85" i="2"/>
  <c r="Z85" i="2"/>
  <c r="AA85" i="2" s="1"/>
  <c r="AC85" i="2" s="1"/>
  <c r="Y85" i="2"/>
  <c r="W85" i="2"/>
  <c r="T85" i="2"/>
  <c r="V85" i="2" s="1"/>
  <c r="P85" i="2"/>
  <c r="M85" i="2"/>
  <c r="O85" i="2" s="1"/>
  <c r="H85" i="2"/>
  <c r="E85" i="2"/>
  <c r="G85" i="2" s="1"/>
  <c r="AD84" i="2"/>
  <c r="Z84" i="2"/>
  <c r="Y84" i="2"/>
  <c r="W84" i="2"/>
  <c r="T84" i="2"/>
  <c r="V84" i="2" s="1"/>
  <c r="P84" i="2"/>
  <c r="O84" i="2"/>
  <c r="M84" i="2"/>
  <c r="H84" i="2"/>
  <c r="E84" i="2"/>
  <c r="G84" i="2" s="1"/>
  <c r="AD83" i="2"/>
  <c r="Z83" i="2"/>
  <c r="AA83" i="2" s="1"/>
  <c r="AC83" i="2" s="1"/>
  <c r="Y83" i="2"/>
  <c r="W83" i="2"/>
  <c r="T83" i="2"/>
  <c r="V83" i="2" s="1"/>
  <c r="P83" i="2"/>
  <c r="M83" i="2"/>
  <c r="O83" i="2" s="1"/>
  <c r="H83" i="2"/>
  <c r="E83" i="2"/>
  <c r="G83" i="2" s="1"/>
  <c r="AD82" i="2"/>
  <c r="Z82" i="2"/>
  <c r="Y82" i="2"/>
  <c r="W82" i="2"/>
  <c r="T82" i="2"/>
  <c r="V82" i="2" s="1"/>
  <c r="P82" i="2"/>
  <c r="O82" i="2"/>
  <c r="M82" i="2"/>
  <c r="H82" i="2"/>
  <c r="E82" i="2"/>
  <c r="G82" i="2" s="1"/>
  <c r="AD81" i="2"/>
  <c r="AA81" i="2"/>
  <c r="AC81" i="2" s="1"/>
  <c r="Z81" i="2"/>
  <c r="Y81" i="2"/>
  <c r="W81" i="2"/>
  <c r="V81" i="2"/>
  <c r="T81" i="2"/>
  <c r="P81" i="2"/>
  <c r="M81" i="2"/>
  <c r="O81" i="2" s="1"/>
  <c r="H81" i="2"/>
  <c r="E81" i="2"/>
  <c r="G81" i="2" s="1"/>
  <c r="AD80" i="2"/>
  <c r="AC80" i="2"/>
  <c r="Z80" i="2"/>
  <c r="AA80" i="2" s="1"/>
  <c r="Y80" i="2"/>
  <c r="W80" i="2"/>
  <c r="T80" i="2"/>
  <c r="V80" i="2" s="1"/>
  <c r="P80" i="2"/>
  <c r="O80" i="2"/>
  <c r="M80" i="2"/>
  <c r="H80" i="2"/>
  <c r="G80" i="2"/>
  <c r="E80" i="2"/>
  <c r="AD79" i="2"/>
  <c r="AA79" i="2"/>
  <c r="AC79" i="2" s="1"/>
  <c r="Z79" i="2"/>
  <c r="Y79" i="2"/>
  <c r="W79" i="2"/>
  <c r="V79" i="2"/>
  <c r="T79" i="2"/>
  <c r="P79" i="2"/>
  <c r="M79" i="2"/>
  <c r="O79" i="2" s="1"/>
  <c r="H79" i="2"/>
  <c r="E79" i="2"/>
  <c r="G79" i="2" s="1"/>
  <c r="AD78" i="2"/>
  <c r="AC78" i="2"/>
  <c r="Z78" i="2"/>
  <c r="AA78" i="2" s="1"/>
  <c r="Y78" i="2"/>
  <c r="W78" i="2"/>
  <c r="T78" i="2"/>
  <c r="V78" i="2" s="1"/>
  <c r="P78" i="2"/>
  <c r="O78" i="2"/>
  <c r="M78" i="2"/>
  <c r="H78" i="2"/>
  <c r="G78" i="2"/>
  <c r="E78" i="2"/>
  <c r="AD77" i="2"/>
  <c r="AC77" i="2"/>
  <c r="AA77" i="2"/>
  <c r="Z77" i="2"/>
  <c r="Y77" i="2"/>
  <c r="W77" i="2"/>
  <c r="V77" i="2"/>
  <c r="T77" i="2"/>
  <c r="P77" i="2"/>
  <c r="O77" i="2"/>
  <c r="M77" i="2"/>
  <c r="H77" i="2"/>
  <c r="E77" i="2"/>
  <c r="G77" i="2" s="1"/>
  <c r="AD76" i="2"/>
  <c r="Z76" i="2"/>
  <c r="AA76" i="2" s="1"/>
  <c r="AC76" i="2" s="1"/>
  <c r="Y76" i="2"/>
  <c r="W76" i="2"/>
  <c r="T76" i="2"/>
  <c r="V76" i="2" s="1"/>
  <c r="P76" i="2"/>
  <c r="M76" i="2"/>
  <c r="O76" i="2" s="1"/>
  <c r="H76" i="2"/>
  <c r="G76" i="2"/>
  <c r="E76" i="2"/>
  <c r="AD75" i="2"/>
  <c r="Z75" i="2"/>
  <c r="Y75" i="2"/>
  <c r="AA75" i="2" s="1"/>
  <c r="AC75" i="2" s="1"/>
  <c r="W75" i="2"/>
  <c r="V75" i="2"/>
  <c r="T75" i="2"/>
  <c r="P75" i="2"/>
  <c r="O75" i="2"/>
  <c r="M75" i="2"/>
  <c r="H75" i="2"/>
  <c r="E75" i="2"/>
  <c r="G75" i="2" s="1"/>
  <c r="AD74" i="2"/>
  <c r="Z74" i="2"/>
  <c r="AA74" i="2" s="1"/>
  <c r="AC74" i="2" s="1"/>
  <c r="Y74" i="2"/>
  <c r="W74" i="2"/>
  <c r="T74" i="2"/>
  <c r="V74" i="2" s="1"/>
  <c r="P74" i="2"/>
  <c r="M74" i="2"/>
  <c r="O74" i="2" s="1"/>
  <c r="H74" i="2"/>
  <c r="G74" i="2"/>
  <c r="E74" i="2"/>
  <c r="AD73" i="2"/>
  <c r="AC73" i="2"/>
  <c r="Z73" i="2"/>
  <c r="Y73" i="2"/>
  <c r="AA73" i="2" s="1"/>
  <c r="W73" i="2"/>
  <c r="V73" i="2"/>
  <c r="T73" i="2"/>
  <c r="P73" i="2"/>
  <c r="O73" i="2"/>
  <c r="M73" i="2"/>
  <c r="H73" i="2"/>
  <c r="E73" i="2"/>
  <c r="G73" i="2" s="1"/>
  <c r="AD72" i="2"/>
  <c r="Z72" i="2"/>
  <c r="AA72" i="2" s="1"/>
  <c r="AC72" i="2" s="1"/>
  <c r="Y72" i="2"/>
  <c r="W72" i="2"/>
  <c r="T72" i="2"/>
  <c r="V72" i="2" s="1"/>
  <c r="P72" i="2"/>
  <c r="M72" i="2"/>
  <c r="O72" i="2" s="1"/>
  <c r="H72" i="2"/>
  <c r="G72" i="2"/>
  <c r="E72" i="2"/>
  <c r="AD71" i="2"/>
  <c r="Z71" i="2"/>
  <c r="Y71" i="2"/>
  <c r="AA71" i="2" s="1"/>
  <c r="AC71" i="2" s="1"/>
  <c r="W71" i="2"/>
  <c r="V71" i="2"/>
  <c r="T71" i="2"/>
  <c r="P71" i="2"/>
  <c r="O71" i="2"/>
  <c r="M71" i="2"/>
  <c r="H71" i="2"/>
  <c r="E71" i="2"/>
  <c r="G71" i="2" s="1"/>
  <c r="AD70" i="2"/>
  <c r="Z70" i="2"/>
  <c r="AA70" i="2" s="1"/>
  <c r="AC70" i="2" s="1"/>
  <c r="Y70" i="2"/>
  <c r="W70" i="2"/>
  <c r="T70" i="2"/>
  <c r="V70" i="2" s="1"/>
  <c r="P70" i="2"/>
  <c r="M70" i="2"/>
  <c r="O70" i="2" s="1"/>
  <c r="H70" i="2"/>
  <c r="G70" i="2"/>
  <c r="E70" i="2"/>
  <c r="AD69" i="2"/>
  <c r="AC69" i="2"/>
  <c r="Z69" i="2"/>
  <c r="Y69" i="2"/>
  <c r="AA69" i="2" s="1"/>
  <c r="W69" i="2"/>
  <c r="V69" i="2"/>
  <c r="T69" i="2"/>
  <c r="P69" i="2"/>
  <c r="O69" i="2"/>
  <c r="M69" i="2"/>
  <c r="H69" i="2"/>
  <c r="E69" i="2"/>
  <c r="G69" i="2" s="1"/>
  <c r="AD68" i="2"/>
  <c r="Z68" i="2"/>
  <c r="AA68" i="2" s="1"/>
  <c r="AC68" i="2" s="1"/>
  <c r="Y68" i="2"/>
  <c r="W68" i="2"/>
  <c r="T68" i="2"/>
  <c r="V68" i="2" s="1"/>
  <c r="P68" i="2"/>
  <c r="M68" i="2"/>
  <c r="O68" i="2" s="1"/>
  <c r="H68" i="2"/>
  <c r="G68" i="2"/>
  <c r="E68" i="2"/>
  <c r="AD67" i="2"/>
  <c r="Z67" i="2"/>
  <c r="Y67" i="2"/>
  <c r="AA67" i="2" s="1"/>
  <c r="AC67" i="2" s="1"/>
  <c r="W67" i="2"/>
  <c r="V67" i="2"/>
  <c r="T67" i="2"/>
  <c r="P67" i="2"/>
  <c r="O67" i="2"/>
  <c r="M67" i="2"/>
  <c r="H67" i="2"/>
  <c r="E67" i="2"/>
  <c r="G67" i="2" s="1"/>
  <c r="AD66" i="2"/>
  <c r="Z66" i="2"/>
  <c r="AA66" i="2" s="1"/>
  <c r="AC66" i="2" s="1"/>
  <c r="Y66" i="2"/>
  <c r="W66" i="2"/>
  <c r="T66" i="2"/>
  <c r="V66" i="2" s="1"/>
  <c r="P66" i="2"/>
  <c r="M66" i="2"/>
  <c r="O66" i="2" s="1"/>
  <c r="H66" i="2"/>
  <c r="G66" i="2"/>
  <c r="E66" i="2"/>
  <c r="AD65" i="2"/>
  <c r="AC65" i="2"/>
  <c r="Z65" i="2"/>
  <c r="Y65" i="2"/>
  <c r="AA65" i="2" s="1"/>
  <c r="W65" i="2"/>
  <c r="V65" i="2"/>
  <c r="T65" i="2"/>
  <c r="P65" i="2"/>
  <c r="O65" i="2"/>
  <c r="M65" i="2"/>
  <c r="H65" i="2"/>
  <c r="E65" i="2"/>
  <c r="G65" i="2" s="1"/>
  <c r="AD64" i="2"/>
  <c r="Z64" i="2"/>
  <c r="AA64" i="2" s="1"/>
  <c r="AC64" i="2" s="1"/>
  <c r="Y64" i="2"/>
  <c r="W64" i="2"/>
  <c r="T64" i="2"/>
  <c r="V64" i="2" s="1"/>
  <c r="P64" i="2"/>
  <c r="M64" i="2"/>
  <c r="O64" i="2" s="1"/>
  <c r="H64" i="2"/>
  <c r="G64" i="2"/>
  <c r="E64" i="2"/>
  <c r="AD63" i="2"/>
  <c r="Z63" i="2"/>
  <c r="Y63" i="2"/>
  <c r="AA63" i="2" s="1"/>
  <c r="AC63" i="2" s="1"/>
  <c r="W63" i="2"/>
  <c r="V63" i="2"/>
  <c r="T63" i="2"/>
  <c r="P63" i="2"/>
  <c r="O63" i="2"/>
  <c r="M63" i="2"/>
  <c r="H63" i="2"/>
  <c r="E63" i="2"/>
  <c r="G63" i="2" s="1"/>
  <c r="AD62" i="2"/>
  <c r="Z62" i="2"/>
  <c r="AA62" i="2" s="1"/>
  <c r="AC62" i="2" s="1"/>
  <c r="Y62" i="2"/>
  <c r="W62" i="2"/>
  <c r="T62" i="2"/>
  <c r="V62" i="2" s="1"/>
  <c r="P62" i="2"/>
  <c r="M62" i="2"/>
  <c r="O62" i="2" s="1"/>
  <c r="H62" i="2"/>
  <c r="G62" i="2"/>
  <c r="E62" i="2"/>
  <c r="AD61" i="2"/>
  <c r="AC61" i="2"/>
  <c r="Z61" i="2"/>
  <c r="Y61" i="2"/>
  <c r="AA61" i="2" s="1"/>
  <c r="W61" i="2"/>
  <c r="V61" i="2"/>
  <c r="T61" i="2"/>
  <c r="P61" i="2"/>
  <c r="O61" i="2"/>
  <c r="M61" i="2"/>
  <c r="H61" i="2"/>
  <c r="E61" i="2"/>
  <c r="G61" i="2" s="1"/>
  <c r="AD60" i="2"/>
  <c r="Z60" i="2"/>
  <c r="AA60" i="2" s="1"/>
  <c r="AC60" i="2" s="1"/>
  <c r="Y60" i="2"/>
  <c r="W60" i="2"/>
  <c r="T60" i="2"/>
  <c r="V60" i="2" s="1"/>
  <c r="P60" i="2"/>
  <c r="M60" i="2"/>
  <c r="O60" i="2" s="1"/>
  <c r="H60" i="2"/>
  <c r="G60" i="2"/>
  <c r="E60" i="2"/>
  <c r="AD59" i="2"/>
  <c r="Z59" i="2"/>
  <c r="Y59" i="2"/>
  <c r="AA59" i="2" s="1"/>
  <c r="AC59" i="2" s="1"/>
  <c r="W59" i="2"/>
  <c r="V59" i="2"/>
  <c r="T59" i="2"/>
  <c r="P59" i="2"/>
  <c r="O59" i="2"/>
  <c r="M59" i="2"/>
  <c r="H59" i="2"/>
  <c r="E59" i="2"/>
  <c r="G59" i="2" s="1"/>
  <c r="AD58" i="2"/>
  <c r="Z58" i="2"/>
  <c r="AA58" i="2" s="1"/>
  <c r="AC58" i="2" s="1"/>
  <c r="Y58" i="2"/>
  <c r="W58" i="2"/>
  <c r="T58" i="2"/>
  <c r="V58" i="2" s="1"/>
  <c r="P58" i="2"/>
  <c r="M58" i="2"/>
  <c r="O58" i="2" s="1"/>
  <c r="H58" i="2"/>
  <c r="G58" i="2"/>
  <c r="E58" i="2"/>
  <c r="AD57" i="2"/>
  <c r="AC57" i="2"/>
  <c r="Z57" i="2"/>
  <c r="Y57" i="2"/>
  <c r="AA57" i="2" s="1"/>
  <c r="W57" i="2"/>
  <c r="V57" i="2"/>
  <c r="T57" i="2"/>
  <c r="P57" i="2"/>
  <c r="O57" i="2"/>
  <c r="M57" i="2"/>
  <c r="H57" i="2"/>
  <c r="E57" i="2"/>
  <c r="G57" i="2" s="1"/>
  <c r="AD56" i="2"/>
  <c r="Z56" i="2"/>
  <c r="AA56" i="2" s="1"/>
  <c r="AC56" i="2" s="1"/>
  <c r="Y56" i="2"/>
  <c r="W56" i="2"/>
  <c r="T56" i="2"/>
  <c r="V56" i="2" s="1"/>
  <c r="P56" i="2"/>
  <c r="M56" i="2"/>
  <c r="O56" i="2" s="1"/>
  <c r="H56" i="2"/>
  <c r="G56" i="2"/>
  <c r="E56" i="2"/>
  <c r="AD55" i="2"/>
  <c r="Z55" i="2"/>
  <c r="Y55" i="2"/>
  <c r="AA55" i="2" s="1"/>
  <c r="AC55" i="2" s="1"/>
  <c r="W55" i="2"/>
  <c r="V55" i="2"/>
  <c r="T55" i="2"/>
  <c r="P55" i="2"/>
  <c r="O55" i="2"/>
  <c r="M55" i="2"/>
  <c r="H55" i="2"/>
  <c r="E55" i="2"/>
  <c r="G55" i="2" s="1"/>
  <c r="AD54" i="2"/>
  <c r="Z54" i="2"/>
  <c r="AA54" i="2" s="1"/>
  <c r="AC54" i="2" s="1"/>
  <c r="Y54" i="2"/>
  <c r="W54" i="2"/>
  <c r="T54" i="2"/>
  <c r="V54" i="2" s="1"/>
  <c r="P54" i="2"/>
  <c r="M54" i="2"/>
  <c r="O54" i="2" s="1"/>
  <c r="H54" i="2"/>
  <c r="G54" i="2"/>
  <c r="E54" i="2"/>
  <c r="AD53" i="2"/>
  <c r="AC53" i="2"/>
  <c r="Z53" i="2"/>
  <c r="Y53" i="2"/>
  <c r="AA53" i="2" s="1"/>
  <c r="W53" i="2"/>
  <c r="V53" i="2"/>
  <c r="T53" i="2"/>
  <c r="P53" i="2"/>
  <c r="O53" i="2"/>
  <c r="M53" i="2"/>
  <c r="H53" i="2"/>
  <c r="E53" i="2"/>
  <c r="G53" i="2" s="1"/>
  <c r="AD52" i="2"/>
  <c r="Z52" i="2"/>
  <c r="AA52" i="2" s="1"/>
  <c r="AC52" i="2" s="1"/>
  <c r="Y52" i="2"/>
  <c r="W52" i="2"/>
  <c r="T52" i="2"/>
  <c r="V52" i="2" s="1"/>
  <c r="P52" i="2"/>
  <c r="M52" i="2"/>
  <c r="O52" i="2" s="1"/>
  <c r="H52" i="2"/>
  <c r="G52" i="2"/>
  <c r="E52" i="2"/>
  <c r="AD51" i="2"/>
  <c r="Z51" i="2"/>
  <c r="Y51" i="2"/>
  <c r="AA51" i="2" s="1"/>
  <c r="AC51" i="2" s="1"/>
  <c r="W51" i="2"/>
  <c r="V51" i="2"/>
  <c r="T51" i="2"/>
  <c r="P51" i="2"/>
  <c r="O51" i="2"/>
  <c r="M51" i="2"/>
  <c r="H51" i="2"/>
  <c r="E51" i="2"/>
  <c r="G51" i="2" s="1"/>
  <c r="AD50" i="2"/>
  <c r="Z50" i="2"/>
  <c r="AA50" i="2" s="1"/>
  <c r="AC50" i="2" s="1"/>
  <c r="Y50" i="2"/>
  <c r="W50" i="2"/>
  <c r="T50" i="2"/>
  <c r="V50" i="2" s="1"/>
  <c r="P50" i="2"/>
  <c r="M50" i="2"/>
  <c r="O50" i="2" s="1"/>
  <c r="H50" i="2"/>
  <c r="G50" i="2"/>
  <c r="E50" i="2"/>
  <c r="AD49" i="2"/>
  <c r="AC49" i="2"/>
  <c r="Z49" i="2"/>
  <c r="Y49" i="2"/>
  <c r="AA49" i="2" s="1"/>
  <c r="W49" i="2"/>
  <c r="V49" i="2"/>
  <c r="T49" i="2"/>
  <c r="P49" i="2"/>
  <c r="O49" i="2"/>
  <c r="M49" i="2"/>
  <c r="H49" i="2"/>
  <c r="E49" i="2"/>
  <c r="G49" i="2" s="1"/>
  <c r="AD48" i="2"/>
  <c r="Z48" i="2"/>
  <c r="AA48" i="2" s="1"/>
  <c r="AC48" i="2" s="1"/>
  <c r="Y48" i="2"/>
  <c r="W48" i="2"/>
  <c r="T48" i="2"/>
  <c r="V48" i="2" s="1"/>
  <c r="P48" i="2"/>
  <c r="M48" i="2"/>
  <c r="O48" i="2" s="1"/>
  <c r="H48" i="2"/>
  <c r="G48" i="2"/>
  <c r="E48" i="2"/>
  <c r="AD47" i="2"/>
  <c r="Z47" i="2"/>
  <c r="Y47" i="2"/>
  <c r="AA47" i="2" s="1"/>
  <c r="AC47" i="2" s="1"/>
  <c r="W47" i="2"/>
  <c r="V47" i="2"/>
  <c r="T47" i="2"/>
  <c r="P47" i="2"/>
  <c r="O47" i="2"/>
  <c r="M47" i="2"/>
  <c r="H47" i="2"/>
  <c r="E47" i="2"/>
  <c r="G47" i="2" s="1"/>
  <c r="AD46" i="2"/>
  <c r="Z46" i="2"/>
  <c r="AA46" i="2" s="1"/>
  <c r="AC46" i="2" s="1"/>
  <c r="Y46" i="2"/>
  <c r="W46" i="2"/>
  <c r="T46" i="2"/>
  <c r="V46" i="2" s="1"/>
  <c r="P46" i="2"/>
  <c r="M46" i="2"/>
  <c r="O46" i="2" s="1"/>
  <c r="H46" i="2"/>
  <c r="G46" i="2"/>
  <c r="E46" i="2"/>
  <c r="AD45" i="2"/>
  <c r="AC45" i="2"/>
  <c r="Z45" i="2"/>
  <c r="Y45" i="2"/>
  <c r="AA45" i="2" s="1"/>
  <c r="W45" i="2"/>
  <c r="V45" i="2"/>
  <c r="T45" i="2"/>
  <c r="P45" i="2"/>
  <c r="O45" i="2"/>
  <c r="M45" i="2"/>
  <c r="H45" i="2"/>
  <c r="E45" i="2"/>
  <c r="G45" i="2" s="1"/>
  <c r="AD44" i="2"/>
  <c r="Z44" i="2"/>
  <c r="AA44" i="2" s="1"/>
  <c r="AC44" i="2" s="1"/>
  <c r="Y44" i="2"/>
  <c r="W44" i="2"/>
  <c r="T44" i="2"/>
  <c r="V44" i="2" s="1"/>
  <c r="P44" i="2"/>
  <c r="M44" i="2"/>
  <c r="O44" i="2" s="1"/>
  <c r="H44" i="2"/>
  <c r="G44" i="2"/>
  <c r="E44" i="2"/>
  <c r="AD43" i="2"/>
  <c r="Z43" i="2"/>
  <c r="Y43" i="2"/>
  <c r="AA43" i="2" s="1"/>
  <c r="AC43" i="2" s="1"/>
  <c r="W43" i="2"/>
  <c r="V43" i="2"/>
  <c r="T43" i="2"/>
  <c r="P43" i="2"/>
  <c r="O43" i="2"/>
  <c r="M43" i="2"/>
  <c r="H43" i="2"/>
  <c r="E43" i="2"/>
  <c r="G43" i="2" s="1"/>
  <c r="AD42" i="2"/>
  <c r="Z42" i="2"/>
  <c r="AA42" i="2" s="1"/>
  <c r="AC42" i="2" s="1"/>
  <c r="Y42" i="2"/>
  <c r="W42" i="2"/>
  <c r="T42" i="2"/>
  <c r="V42" i="2" s="1"/>
  <c r="P42" i="2"/>
  <c r="M42" i="2"/>
  <c r="O42" i="2" s="1"/>
  <c r="H42" i="2"/>
  <c r="G42" i="2"/>
  <c r="E42" i="2"/>
  <c r="AD41" i="2"/>
  <c r="AC41" i="2"/>
  <c r="Z41" i="2"/>
  <c r="Y41" i="2"/>
  <c r="AA41" i="2" s="1"/>
  <c r="W41" i="2"/>
  <c r="V41" i="2"/>
  <c r="T41" i="2"/>
  <c r="P41" i="2"/>
  <c r="O41" i="2"/>
  <c r="M41" i="2"/>
  <c r="H41" i="2"/>
  <c r="E41" i="2"/>
  <c r="G41" i="2" s="1"/>
  <c r="AD40" i="2"/>
  <c r="Z40" i="2"/>
  <c r="AA40" i="2" s="1"/>
  <c r="AC40" i="2" s="1"/>
  <c r="Y40" i="2"/>
  <c r="W40" i="2"/>
  <c r="T40" i="2"/>
  <c r="V40" i="2" s="1"/>
  <c r="P40" i="2"/>
  <c r="M40" i="2"/>
  <c r="O40" i="2" s="1"/>
  <c r="H40" i="2"/>
  <c r="G40" i="2"/>
  <c r="E40" i="2"/>
  <c r="AD39" i="2"/>
  <c r="Z39" i="2"/>
  <c r="Y39" i="2"/>
  <c r="AA39" i="2" s="1"/>
  <c r="AC39" i="2" s="1"/>
  <c r="W39" i="2"/>
  <c r="V39" i="2"/>
  <c r="T39" i="2"/>
  <c r="P39" i="2"/>
  <c r="O39" i="2"/>
  <c r="M39" i="2"/>
  <c r="H39" i="2"/>
  <c r="E39" i="2"/>
  <c r="G39" i="2" s="1"/>
  <c r="AD38" i="2"/>
  <c r="Z38" i="2"/>
  <c r="AA38" i="2" s="1"/>
  <c r="AC38" i="2" s="1"/>
  <c r="Y38" i="2"/>
  <c r="W38" i="2"/>
  <c r="T38" i="2"/>
  <c r="V38" i="2" s="1"/>
  <c r="P38" i="2"/>
  <c r="M38" i="2"/>
  <c r="O38" i="2" s="1"/>
  <c r="H38" i="2"/>
  <c r="G38" i="2"/>
  <c r="E38" i="2"/>
  <c r="AD37" i="2"/>
  <c r="AC37" i="2"/>
  <c r="Z37" i="2"/>
  <c r="Y37" i="2"/>
  <c r="AA37" i="2" s="1"/>
  <c r="W37" i="2"/>
  <c r="V37" i="2"/>
  <c r="T37" i="2"/>
  <c r="P37" i="2"/>
  <c r="O37" i="2"/>
  <c r="M37" i="2"/>
  <c r="H37" i="2"/>
  <c r="E37" i="2"/>
  <c r="G37" i="2" s="1"/>
  <c r="AD36" i="2"/>
  <c r="Z36" i="2"/>
  <c r="AA36" i="2" s="1"/>
  <c r="AC36" i="2" s="1"/>
  <c r="Y36" i="2"/>
  <c r="W36" i="2"/>
  <c r="T36" i="2"/>
  <c r="V36" i="2" s="1"/>
  <c r="P36" i="2"/>
  <c r="M36" i="2"/>
  <c r="O36" i="2" s="1"/>
  <c r="H36" i="2"/>
  <c r="G36" i="2"/>
  <c r="E36" i="2"/>
  <c r="AD35" i="2"/>
  <c r="Z35" i="2"/>
  <c r="Y35" i="2"/>
  <c r="AA35" i="2" s="1"/>
  <c r="AC35" i="2" s="1"/>
  <c r="W35" i="2"/>
  <c r="V35" i="2"/>
  <c r="T35" i="2"/>
  <c r="P35" i="2"/>
  <c r="O35" i="2"/>
  <c r="M35" i="2"/>
  <c r="H35" i="2"/>
  <c r="E35" i="2"/>
  <c r="G35" i="2" s="1"/>
  <c r="AD34" i="2"/>
  <c r="Z34" i="2"/>
  <c r="AA34" i="2" s="1"/>
  <c r="AC34" i="2" s="1"/>
  <c r="Y34" i="2"/>
  <c r="W34" i="2"/>
  <c r="T34" i="2"/>
  <c r="V34" i="2" s="1"/>
  <c r="P34" i="2"/>
  <c r="M34" i="2"/>
  <c r="O34" i="2" s="1"/>
  <c r="H34" i="2"/>
  <c r="G34" i="2"/>
  <c r="E34" i="2"/>
  <c r="AD33" i="2"/>
  <c r="AC33" i="2"/>
  <c r="Z33" i="2"/>
  <c r="Y33" i="2"/>
  <c r="AA33" i="2" s="1"/>
  <c r="W33" i="2"/>
  <c r="V33" i="2"/>
  <c r="T33" i="2"/>
  <c r="P33" i="2"/>
  <c r="O33" i="2"/>
  <c r="M33" i="2"/>
  <c r="H33" i="2"/>
  <c r="E33" i="2"/>
  <c r="G33" i="2" s="1"/>
  <c r="AD32" i="2"/>
  <c r="Z32" i="2"/>
  <c r="AA32" i="2" s="1"/>
  <c r="AC32" i="2" s="1"/>
  <c r="Y32" i="2"/>
  <c r="W32" i="2"/>
  <c r="T32" i="2"/>
  <c r="V32" i="2" s="1"/>
  <c r="P32" i="2"/>
  <c r="M32" i="2"/>
  <c r="O32" i="2" s="1"/>
  <c r="H32" i="2"/>
  <c r="G32" i="2"/>
  <c r="E32" i="2"/>
  <c r="AD31" i="2"/>
  <c r="Z31" i="2"/>
  <c r="Y31" i="2"/>
  <c r="AA31" i="2" s="1"/>
  <c r="AC31" i="2" s="1"/>
  <c r="W31" i="2"/>
  <c r="V31" i="2"/>
  <c r="T31" i="2"/>
  <c r="P31" i="2"/>
  <c r="O31" i="2"/>
  <c r="M31" i="2"/>
  <c r="H31" i="2"/>
  <c r="E31" i="2"/>
  <c r="G31" i="2" s="1"/>
  <c r="AD30" i="2"/>
  <c r="Z30" i="2"/>
  <c r="AA30" i="2" s="1"/>
  <c r="AC30" i="2" s="1"/>
  <c r="Y30" i="2"/>
  <c r="W30" i="2"/>
  <c r="T30" i="2"/>
  <c r="V30" i="2" s="1"/>
  <c r="P30" i="2"/>
  <c r="M30" i="2"/>
  <c r="O30" i="2" s="1"/>
  <c r="H30" i="2"/>
  <c r="G30" i="2"/>
  <c r="E30" i="2"/>
  <c r="AD29" i="2"/>
  <c r="AC29" i="2"/>
  <c r="Z29" i="2"/>
  <c r="Y29" i="2"/>
  <c r="AA29" i="2" s="1"/>
  <c r="W29" i="2"/>
  <c r="V29" i="2"/>
  <c r="T29" i="2"/>
  <c r="P29" i="2"/>
  <c r="O29" i="2"/>
  <c r="M29" i="2"/>
  <c r="H29" i="2"/>
  <c r="E29" i="2"/>
  <c r="G29" i="2" s="1"/>
  <c r="AD28" i="2"/>
  <c r="Z28" i="2"/>
  <c r="AA28" i="2" s="1"/>
  <c r="AC28" i="2" s="1"/>
  <c r="Y28" i="2"/>
  <c r="W28" i="2"/>
  <c r="T28" i="2"/>
  <c r="V28" i="2" s="1"/>
  <c r="P28" i="2"/>
  <c r="M28" i="2"/>
  <c r="O28" i="2" s="1"/>
  <c r="H28" i="2"/>
  <c r="G28" i="2"/>
  <c r="E28" i="2"/>
  <c r="AD27" i="2"/>
  <c r="Z27" i="2"/>
  <c r="Y27" i="2"/>
  <c r="AA27" i="2" s="1"/>
  <c r="AC27" i="2" s="1"/>
  <c r="W27" i="2"/>
  <c r="V27" i="2"/>
  <c r="T27" i="2"/>
  <c r="P27" i="2"/>
  <c r="O27" i="2"/>
  <c r="M27" i="2"/>
  <c r="H27" i="2"/>
  <c r="E27" i="2"/>
  <c r="G27" i="2" s="1"/>
  <c r="AD26" i="2"/>
  <c r="Z26" i="2"/>
  <c r="AA26" i="2" s="1"/>
  <c r="AC26" i="2" s="1"/>
  <c r="Y26" i="2"/>
  <c r="W26" i="2"/>
  <c r="T26" i="2"/>
  <c r="V26" i="2" s="1"/>
  <c r="P26" i="2"/>
  <c r="M26" i="2"/>
  <c r="O26" i="2" s="1"/>
  <c r="H26" i="2"/>
  <c r="G26" i="2"/>
  <c r="E26" i="2"/>
  <c r="AD25" i="2"/>
  <c r="AC25" i="2"/>
  <c r="Z25" i="2"/>
  <c r="Y25" i="2"/>
  <c r="AA25" i="2" s="1"/>
  <c r="W25" i="2"/>
  <c r="V25" i="2"/>
  <c r="T25" i="2"/>
  <c r="P25" i="2"/>
  <c r="O25" i="2"/>
  <c r="M25" i="2"/>
  <c r="H25" i="2"/>
  <c r="E25" i="2"/>
  <c r="G25" i="2" s="1"/>
  <c r="AD24" i="2"/>
  <c r="Z24" i="2"/>
  <c r="AA24" i="2" s="1"/>
  <c r="AC24" i="2" s="1"/>
  <c r="Y24" i="2"/>
  <c r="W24" i="2"/>
  <c r="T24" i="2"/>
  <c r="V24" i="2" s="1"/>
  <c r="P24" i="2"/>
  <c r="M24" i="2"/>
  <c r="O24" i="2" s="1"/>
  <c r="H24" i="2"/>
  <c r="G24" i="2"/>
  <c r="E24" i="2"/>
  <c r="AD23" i="2"/>
  <c r="Z23" i="2"/>
  <c r="Y23" i="2"/>
  <c r="AA23" i="2" s="1"/>
  <c r="AC23" i="2" s="1"/>
  <c r="W23" i="2"/>
  <c r="V23" i="2"/>
  <c r="T23" i="2"/>
  <c r="P23" i="2"/>
  <c r="O23" i="2"/>
  <c r="M23" i="2"/>
  <c r="H23" i="2"/>
  <c r="E23" i="2"/>
  <c r="G23" i="2" s="1"/>
  <c r="AD22" i="2"/>
  <c r="Z22" i="2"/>
  <c r="AA22" i="2" s="1"/>
  <c r="AC22" i="2" s="1"/>
  <c r="Y22" i="2"/>
  <c r="W22" i="2"/>
  <c r="T22" i="2"/>
  <c r="V22" i="2" s="1"/>
  <c r="P22" i="2"/>
  <c r="M22" i="2"/>
  <c r="O22" i="2" s="1"/>
  <c r="H22" i="2"/>
  <c r="G22" i="2"/>
  <c r="E22" i="2"/>
  <c r="AD21" i="2"/>
  <c r="AC21" i="2"/>
  <c r="Z21" i="2"/>
  <c r="Y21" i="2"/>
  <c r="AA21" i="2" s="1"/>
  <c r="W21" i="2"/>
  <c r="V21" i="2"/>
  <c r="T21" i="2"/>
  <c r="P21" i="2"/>
  <c r="O21" i="2"/>
  <c r="M21" i="2"/>
  <c r="H21" i="2"/>
  <c r="E21" i="2"/>
  <c r="G21" i="2" s="1"/>
  <c r="AD20" i="2"/>
  <c r="Z20" i="2"/>
  <c r="AA20" i="2" s="1"/>
  <c r="AC20" i="2" s="1"/>
  <c r="Y20" i="2"/>
  <c r="W20" i="2"/>
  <c r="T20" i="2"/>
  <c r="V20" i="2" s="1"/>
  <c r="P20" i="2"/>
  <c r="M20" i="2"/>
  <c r="O20" i="2" s="1"/>
  <c r="H20" i="2"/>
  <c r="G20" i="2"/>
  <c r="E20" i="2"/>
  <c r="AD19" i="2"/>
  <c r="Z19" i="2"/>
  <c r="Y19" i="2"/>
  <c r="AA19" i="2" s="1"/>
  <c r="AC19" i="2" s="1"/>
  <c r="W19" i="2"/>
  <c r="V19" i="2"/>
  <c r="T19" i="2"/>
  <c r="P19" i="2"/>
  <c r="O19" i="2"/>
  <c r="M19" i="2"/>
  <c r="H19" i="2"/>
  <c r="E19" i="2"/>
  <c r="G19" i="2" s="1"/>
  <c r="AD18" i="2"/>
  <c r="Z18" i="2"/>
  <c r="AA18" i="2" s="1"/>
  <c r="AC18" i="2" s="1"/>
  <c r="Y18" i="2"/>
  <c r="W18" i="2"/>
  <c r="T18" i="2"/>
  <c r="V18" i="2" s="1"/>
  <c r="P18" i="2"/>
  <c r="M18" i="2"/>
  <c r="O18" i="2" s="1"/>
  <c r="H18" i="2"/>
  <c r="G18" i="2"/>
  <c r="E18" i="2"/>
  <c r="AD17" i="2"/>
  <c r="AC17" i="2"/>
  <c r="Z17" i="2"/>
  <c r="Y17" i="2"/>
  <c r="AA17" i="2" s="1"/>
  <c r="W17" i="2"/>
  <c r="V17" i="2"/>
  <c r="T17" i="2"/>
  <c r="P17" i="2"/>
  <c r="O17" i="2"/>
  <c r="M17" i="2"/>
  <c r="H17" i="2"/>
  <c r="E17" i="2"/>
  <c r="G17" i="2" s="1"/>
  <c r="AD16" i="2"/>
  <c r="Z16" i="2"/>
  <c r="AA16" i="2" s="1"/>
  <c r="AC16" i="2" s="1"/>
  <c r="Y16" i="2"/>
  <c r="W16" i="2"/>
  <c r="T16" i="2"/>
  <c r="V16" i="2" s="1"/>
  <c r="P16" i="2"/>
  <c r="M16" i="2"/>
  <c r="O16" i="2" s="1"/>
  <c r="H16" i="2"/>
  <c r="G16" i="2"/>
  <c r="E16" i="2"/>
  <c r="AD15" i="2"/>
  <c r="Z15" i="2"/>
  <c r="Y15" i="2"/>
  <c r="AA15" i="2" s="1"/>
  <c r="AC15" i="2" s="1"/>
  <c r="W15" i="2"/>
  <c r="V15" i="2"/>
  <c r="T15" i="2"/>
  <c r="P15" i="2"/>
  <c r="O15" i="2"/>
  <c r="M15" i="2"/>
  <c r="H15" i="2"/>
  <c r="E15" i="2"/>
  <c r="G15" i="2" s="1"/>
  <c r="AD14" i="2"/>
  <c r="Z14" i="2"/>
  <c r="AA14" i="2" s="1"/>
  <c r="AC14" i="2" s="1"/>
  <c r="Y14" i="2"/>
  <c r="W14" i="2"/>
  <c r="T14" i="2"/>
  <c r="V14" i="2" s="1"/>
  <c r="P14" i="2"/>
  <c r="M14" i="2"/>
  <c r="O14" i="2" s="1"/>
  <c r="H14" i="2"/>
  <c r="G14" i="2"/>
  <c r="E14" i="2"/>
  <c r="AD13" i="2"/>
  <c r="AC13" i="2"/>
  <c r="Z13" i="2"/>
  <c r="Y13" i="2"/>
  <c r="AA13" i="2" s="1"/>
  <c r="W13" i="2"/>
  <c r="V13" i="2"/>
  <c r="T13" i="2"/>
  <c r="P13" i="2"/>
  <c r="O13" i="2"/>
  <c r="M13" i="2"/>
  <c r="H13" i="2"/>
  <c r="E13" i="2"/>
  <c r="G13" i="2" s="1"/>
  <c r="AD12" i="2"/>
  <c r="Z12" i="2"/>
  <c r="AA12" i="2" s="1"/>
  <c r="AC12" i="2" s="1"/>
  <c r="Y12" i="2"/>
  <c r="W12" i="2"/>
  <c r="T12" i="2"/>
  <c r="V12" i="2" s="1"/>
  <c r="P12" i="2"/>
  <c r="M12" i="2"/>
  <c r="O12" i="2" s="1"/>
  <c r="H12" i="2"/>
  <c r="G12" i="2"/>
  <c r="E12" i="2"/>
  <c r="AD11" i="2"/>
  <c r="Z11" i="2"/>
  <c r="Y11" i="2"/>
  <c r="AA11" i="2" s="1"/>
  <c r="AC11" i="2" s="1"/>
  <c r="W11" i="2"/>
  <c r="V11" i="2"/>
  <c r="T11" i="2"/>
  <c r="P11" i="2"/>
  <c r="O11" i="2"/>
  <c r="M11" i="2"/>
  <c r="H11" i="2"/>
  <c r="G11" i="2"/>
  <c r="E11" i="2"/>
  <c r="AD10" i="2"/>
  <c r="Z10" i="2"/>
  <c r="AA10" i="2" s="1"/>
  <c r="AC10" i="2" s="1"/>
  <c r="Y10" i="2"/>
  <c r="W10" i="2"/>
  <c r="T10" i="2"/>
  <c r="V10" i="2" s="1"/>
  <c r="P10" i="2"/>
  <c r="M10" i="2"/>
  <c r="O10" i="2" s="1"/>
  <c r="H10" i="2"/>
  <c r="G10" i="2"/>
  <c r="E10" i="2"/>
  <c r="AD9" i="2"/>
  <c r="Z9" i="2"/>
  <c r="Y9" i="2"/>
  <c r="AA9" i="2" s="1"/>
  <c r="AC9" i="2" s="1"/>
  <c r="W9" i="2"/>
  <c r="V9" i="2"/>
  <c r="T9" i="2"/>
  <c r="P9" i="2"/>
  <c r="O9" i="2"/>
  <c r="M9" i="2"/>
  <c r="H9" i="2"/>
  <c r="G9" i="2"/>
  <c r="E9" i="2"/>
  <c r="AD8" i="2"/>
  <c r="AA8" i="2"/>
  <c r="AC8" i="2" s="1"/>
  <c r="Z8" i="2"/>
  <c r="Y8" i="2"/>
  <c r="W8" i="2"/>
  <c r="V8" i="2"/>
  <c r="T8" i="2"/>
  <c r="P8" i="2"/>
  <c r="M8" i="2"/>
  <c r="O8" i="2" s="1"/>
  <c r="H8" i="2"/>
  <c r="G8" i="2"/>
  <c r="E8" i="2"/>
  <c r="AD7" i="2"/>
  <c r="AC7" i="2"/>
  <c r="Z7" i="2"/>
  <c r="Y7" i="2"/>
  <c r="AA7" i="2" s="1"/>
  <c r="W7" i="2"/>
  <c r="V7" i="2"/>
  <c r="T7" i="2"/>
  <c r="P7" i="2"/>
  <c r="O7" i="2"/>
  <c r="M7" i="2"/>
  <c r="H7" i="2"/>
  <c r="E7" i="2"/>
  <c r="G7" i="2" s="1"/>
  <c r="AD6" i="2"/>
  <c r="AA6" i="2"/>
  <c r="AC6" i="2" s="1"/>
  <c r="Z6" i="2"/>
  <c r="Y6" i="2"/>
  <c r="W6" i="2"/>
  <c r="V6" i="2"/>
  <c r="T6" i="2"/>
  <c r="P6" i="2"/>
  <c r="M6" i="2"/>
  <c r="O6" i="2" s="1"/>
  <c r="H6" i="2"/>
  <c r="G6" i="2"/>
  <c r="E6" i="2"/>
  <c r="AD5" i="2"/>
  <c r="AC5" i="2"/>
  <c r="Z5" i="2"/>
  <c r="Y5" i="2"/>
  <c r="AA5" i="2" s="1"/>
  <c r="W5" i="2"/>
  <c r="V5" i="2"/>
  <c r="T5" i="2"/>
  <c r="P5" i="2"/>
  <c r="O5" i="2"/>
  <c r="M5" i="2"/>
  <c r="H5" i="2"/>
  <c r="E5" i="2"/>
  <c r="G5" i="2" s="1"/>
  <c r="AD4" i="2"/>
  <c r="Z4" i="2"/>
  <c r="AA4" i="2" s="1"/>
  <c r="AC4" i="2" s="1"/>
  <c r="Y4" i="2"/>
  <c r="W4" i="2"/>
  <c r="T4" i="2"/>
  <c r="V4" i="2" s="1"/>
  <c r="P4" i="2"/>
  <c r="M4" i="2"/>
  <c r="O4" i="2" s="1"/>
  <c r="H4" i="2"/>
  <c r="G4" i="2"/>
  <c r="E4" i="2"/>
  <c r="AD3" i="2"/>
  <c r="Z3" i="2"/>
  <c r="Y3" i="2"/>
  <c r="AA3" i="2" s="1"/>
  <c r="AC3" i="2" s="1"/>
  <c r="W3" i="2"/>
  <c r="V3" i="2"/>
  <c r="T3" i="2"/>
  <c r="P3" i="2"/>
  <c r="O3" i="2"/>
  <c r="M3" i="2"/>
  <c r="H3" i="2"/>
  <c r="G3" i="2"/>
  <c r="E3" i="2"/>
  <c r="AD2" i="2"/>
  <c r="Z2" i="2"/>
  <c r="AA2" i="2" s="1"/>
  <c r="AC2" i="2" s="1"/>
  <c r="Y2" i="2"/>
  <c r="W2" i="2"/>
  <c r="T2" i="2"/>
  <c r="V2" i="2" s="1"/>
  <c r="P2" i="2"/>
  <c r="M2" i="2"/>
  <c r="O2" i="2" s="1"/>
  <c r="H2" i="2"/>
  <c r="G2" i="2"/>
  <c r="E2" i="2"/>
  <c r="R261" i="1"/>
  <c r="M261" i="1"/>
  <c r="L261" i="1"/>
  <c r="J261" i="1"/>
  <c r="I261" i="1"/>
  <c r="E261" i="1"/>
  <c r="D261" i="1"/>
  <c r="R260" i="1"/>
  <c r="N260" i="1"/>
  <c r="O260" i="1" s="1"/>
  <c r="Q260" i="1" s="1"/>
  <c r="M260" i="1"/>
  <c r="L260" i="1"/>
  <c r="I260" i="1"/>
  <c r="J260" i="1" s="1"/>
  <c r="E260" i="1"/>
  <c r="D260" i="1"/>
  <c r="R259" i="1"/>
  <c r="M259" i="1"/>
  <c r="L259" i="1"/>
  <c r="J259" i="1"/>
  <c r="I259" i="1"/>
  <c r="E259" i="1"/>
  <c r="D259" i="1"/>
  <c r="R258" i="1"/>
  <c r="O258" i="1"/>
  <c r="Q258" i="1" s="1"/>
  <c r="N258" i="1"/>
  <c r="M258" i="1"/>
  <c r="L258" i="1"/>
  <c r="J258" i="1"/>
  <c r="I258" i="1"/>
  <c r="E258" i="1"/>
  <c r="D258" i="1"/>
  <c r="R257" i="1"/>
  <c r="M257" i="1"/>
  <c r="L257" i="1"/>
  <c r="N257" i="1" s="1"/>
  <c r="J257" i="1"/>
  <c r="I257" i="1"/>
  <c r="D257" i="1"/>
  <c r="E257" i="1" s="1"/>
  <c r="R256" i="1"/>
  <c r="O256" i="1"/>
  <c r="Q256" i="1" s="1"/>
  <c r="N256" i="1"/>
  <c r="M256" i="1"/>
  <c r="L256" i="1"/>
  <c r="J256" i="1"/>
  <c r="I256" i="1"/>
  <c r="E256" i="1"/>
  <c r="D256" i="1"/>
  <c r="R255" i="1"/>
  <c r="M255" i="1"/>
  <c r="L255" i="1"/>
  <c r="N255" i="1" s="1"/>
  <c r="J255" i="1"/>
  <c r="I255" i="1"/>
  <c r="D255" i="1"/>
  <c r="E255" i="1" s="1"/>
  <c r="R254" i="1"/>
  <c r="N254" i="1"/>
  <c r="O254" i="1" s="1"/>
  <c r="Q254" i="1" s="1"/>
  <c r="M254" i="1"/>
  <c r="L254" i="1"/>
  <c r="I254" i="1"/>
  <c r="J254" i="1" s="1"/>
  <c r="E254" i="1"/>
  <c r="D254" i="1"/>
  <c r="R253" i="1"/>
  <c r="M253" i="1"/>
  <c r="L253" i="1"/>
  <c r="J253" i="1"/>
  <c r="I253" i="1"/>
  <c r="E253" i="1"/>
  <c r="D253" i="1"/>
  <c r="R252" i="1"/>
  <c r="N252" i="1"/>
  <c r="O252" i="1" s="1"/>
  <c r="Q252" i="1" s="1"/>
  <c r="M252" i="1"/>
  <c r="L252" i="1"/>
  <c r="I252" i="1"/>
  <c r="J252" i="1" s="1"/>
  <c r="E252" i="1"/>
  <c r="D252" i="1"/>
  <c r="R251" i="1"/>
  <c r="Q251" i="1"/>
  <c r="O251" i="1"/>
  <c r="M251" i="1"/>
  <c r="L251" i="1"/>
  <c r="N251" i="1" s="1"/>
  <c r="J251" i="1"/>
  <c r="I251" i="1"/>
  <c r="D251" i="1"/>
  <c r="E251" i="1" s="1"/>
  <c r="R250" i="1"/>
  <c r="M250" i="1"/>
  <c r="N250" i="1" s="1"/>
  <c r="O250" i="1" s="1"/>
  <c r="Q250" i="1" s="1"/>
  <c r="L250" i="1"/>
  <c r="J250" i="1"/>
  <c r="I250" i="1"/>
  <c r="E250" i="1"/>
  <c r="D250" i="1"/>
  <c r="R249" i="1"/>
  <c r="M249" i="1"/>
  <c r="L249" i="1"/>
  <c r="J249" i="1"/>
  <c r="I249" i="1"/>
  <c r="E249" i="1"/>
  <c r="D249" i="1"/>
  <c r="R248" i="1"/>
  <c r="N248" i="1"/>
  <c r="M248" i="1"/>
  <c r="O248" i="1" s="1"/>
  <c r="Q248" i="1" s="1"/>
  <c r="L248" i="1"/>
  <c r="I248" i="1"/>
  <c r="J248" i="1" s="1"/>
  <c r="E248" i="1"/>
  <c r="D248" i="1"/>
  <c r="R247" i="1"/>
  <c r="Q247" i="1"/>
  <c r="O247" i="1"/>
  <c r="M247" i="1"/>
  <c r="L247" i="1"/>
  <c r="N247" i="1" s="1"/>
  <c r="J247" i="1"/>
  <c r="I247" i="1"/>
  <c r="D247" i="1"/>
  <c r="E247" i="1" s="1"/>
  <c r="R246" i="1"/>
  <c r="M246" i="1"/>
  <c r="N246" i="1" s="1"/>
  <c r="O246" i="1" s="1"/>
  <c r="Q246" i="1" s="1"/>
  <c r="L246" i="1"/>
  <c r="J246" i="1"/>
  <c r="I246" i="1"/>
  <c r="E246" i="1"/>
  <c r="D246" i="1"/>
  <c r="R245" i="1"/>
  <c r="M245" i="1"/>
  <c r="L245" i="1"/>
  <c r="J245" i="1"/>
  <c r="I245" i="1"/>
  <c r="E245" i="1"/>
  <c r="D245" i="1"/>
  <c r="R244" i="1"/>
  <c r="N244" i="1"/>
  <c r="M244" i="1"/>
  <c r="O244" i="1" s="1"/>
  <c r="Q244" i="1" s="1"/>
  <c r="L244" i="1"/>
  <c r="I244" i="1"/>
  <c r="J244" i="1" s="1"/>
  <c r="E244" i="1"/>
  <c r="D244" i="1"/>
  <c r="R243" i="1"/>
  <c r="Q243" i="1"/>
  <c r="O243" i="1"/>
  <c r="M243" i="1"/>
  <c r="L243" i="1"/>
  <c r="N243" i="1" s="1"/>
  <c r="J243" i="1"/>
  <c r="I243" i="1"/>
  <c r="D243" i="1"/>
  <c r="E243" i="1" s="1"/>
  <c r="R242" i="1"/>
  <c r="M242" i="1"/>
  <c r="N242" i="1" s="1"/>
  <c r="O242" i="1" s="1"/>
  <c r="Q242" i="1" s="1"/>
  <c r="L242" i="1"/>
  <c r="J242" i="1"/>
  <c r="I242" i="1"/>
  <c r="E242" i="1"/>
  <c r="D242" i="1"/>
  <c r="R241" i="1"/>
  <c r="M241" i="1"/>
  <c r="L241" i="1"/>
  <c r="J241" i="1"/>
  <c r="I241" i="1"/>
  <c r="E241" i="1"/>
  <c r="D241" i="1"/>
  <c r="R240" i="1"/>
  <c r="N240" i="1"/>
  <c r="M240" i="1"/>
  <c r="O240" i="1" s="1"/>
  <c r="Q240" i="1" s="1"/>
  <c r="L240" i="1"/>
  <c r="I240" i="1"/>
  <c r="J240" i="1" s="1"/>
  <c r="E240" i="1"/>
  <c r="D240" i="1"/>
  <c r="R239" i="1"/>
  <c r="Q239" i="1"/>
  <c r="O239" i="1"/>
  <c r="M239" i="1"/>
  <c r="L239" i="1"/>
  <c r="N239" i="1" s="1"/>
  <c r="J239" i="1"/>
  <c r="I239" i="1"/>
  <c r="D239" i="1"/>
  <c r="E239" i="1" s="1"/>
  <c r="R238" i="1"/>
  <c r="M238" i="1"/>
  <c r="N238" i="1" s="1"/>
  <c r="O238" i="1" s="1"/>
  <c r="Q238" i="1" s="1"/>
  <c r="L238" i="1"/>
  <c r="J238" i="1"/>
  <c r="I238" i="1"/>
  <c r="E238" i="1"/>
  <c r="D238" i="1"/>
  <c r="R237" i="1"/>
  <c r="M237" i="1"/>
  <c r="L237" i="1"/>
  <c r="J237" i="1"/>
  <c r="I237" i="1"/>
  <c r="E237" i="1"/>
  <c r="D237" i="1"/>
  <c r="R236" i="1"/>
  <c r="N236" i="1"/>
  <c r="M236" i="1"/>
  <c r="O236" i="1" s="1"/>
  <c r="Q236" i="1" s="1"/>
  <c r="L236" i="1"/>
  <c r="I236" i="1"/>
  <c r="J236" i="1" s="1"/>
  <c r="E236" i="1"/>
  <c r="D236" i="1"/>
  <c r="R235" i="1"/>
  <c r="Q235" i="1"/>
  <c r="O235" i="1"/>
  <c r="M235" i="1"/>
  <c r="L235" i="1"/>
  <c r="N235" i="1" s="1"/>
  <c r="J235" i="1"/>
  <c r="I235" i="1"/>
  <c r="D235" i="1"/>
  <c r="E235" i="1" s="1"/>
  <c r="R234" i="1"/>
  <c r="M234" i="1"/>
  <c r="N234" i="1" s="1"/>
  <c r="O234" i="1" s="1"/>
  <c r="Q234" i="1" s="1"/>
  <c r="L234" i="1"/>
  <c r="J234" i="1"/>
  <c r="I234" i="1"/>
  <c r="E234" i="1"/>
  <c r="D234" i="1"/>
  <c r="R233" i="1"/>
  <c r="M233" i="1"/>
  <c r="L233" i="1"/>
  <c r="J233" i="1"/>
  <c r="I233" i="1"/>
  <c r="E233" i="1"/>
  <c r="D233" i="1"/>
  <c r="R232" i="1"/>
  <c r="N232" i="1"/>
  <c r="M232" i="1"/>
  <c r="O232" i="1" s="1"/>
  <c r="Q232" i="1" s="1"/>
  <c r="L232" i="1"/>
  <c r="I232" i="1"/>
  <c r="J232" i="1" s="1"/>
  <c r="E232" i="1"/>
  <c r="D232" i="1"/>
  <c r="R231" i="1"/>
  <c r="Q231" i="1"/>
  <c r="O231" i="1"/>
  <c r="M231" i="1"/>
  <c r="L231" i="1"/>
  <c r="N231" i="1" s="1"/>
  <c r="J231" i="1"/>
  <c r="I231" i="1"/>
  <c r="D231" i="1"/>
  <c r="E231" i="1" s="1"/>
  <c r="R230" i="1"/>
  <c r="M230" i="1"/>
  <c r="N230" i="1" s="1"/>
  <c r="O230" i="1" s="1"/>
  <c r="Q230" i="1" s="1"/>
  <c r="L230" i="1"/>
  <c r="J230" i="1"/>
  <c r="I230" i="1"/>
  <c r="E230" i="1"/>
  <c r="D230" i="1"/>
  <c r="R229" i="1"/>
  <c r="M229" i="1"/>
  <c r="L229" i="1"/>
  <c r="J229" i="1"/>
  <c r="I229" i="1"/>
  <c r="E229" i="1"/>
  <c r="D229" i="1"/>
  <c r="R228" i="1"/>
  <c r="N228" i="1"/>
  <c r="M228" i="1"/>
  <c r="O228" i="1" s="1"/>
  <c r="Q228" i="1" s="1"/>
  <c r="L228" i="1"/>
  <c r="I228" i="1"/>
  <c r="J228" i="1" s="1"/>
  <c r="E228" i="1"/>
  <c r="D228" i="1"/>
  <c r="R227" i="1"/>
  <c r="Q227" i="1"/>
  <c r="O227" i="1"/>
  <c r="M227" i="1"/>
  <c r="L227" i="1"/>
  <c r="N227" i="1" s="1"/>
  <c r="J227" i="1"/>
  <c r="I227" i="1"/>
  <c r="D227" i="1"/>
  <c r="E227" i="1" s="1"/>
  <c r="R226" i="1"/>
  <c r="M226" i="1"/>
  <c r="N226" i="1" s="1"/>
  <c r="O226" i="1" s="1"/>
  <c r="Q226" i="1" s="1"/>
  <c r="L226" i="1"/>
  <c r="J226" i="1"/>
  <c r="I226" i="1"/>
  <c r="E226" i="1"/>
  <c r="D226" i="1"/>
  <c r="R225" i="1"/>
  <c r="M225" i="1"/>
  <c r="L225" i="1"/>
  <c r="J225" i="1"/>
  <c r="I225" i="1"/>
  <c r="E225" i="1"/>
  <c r="D225" i="1"/>
  <c r="R224" i="1"/>
  <c r="N224" i="1"/>
  <c r="M224" i="1"/>
  <c r="O224" i="1" s="1"/>
  <c r="Q224" i="1" s="1"/>
  <c r="L224" i="1"/>
  <c r="I224" i="1"/>
  <c r="J224" i="1" s="1"/>
  <c r="E224" i="1"/>
  <c r="D224" i="1"/>
  <c r="R223" i="1"/>
  <c r="Q223" i="1"/>
  <c r="O223" i="1"/>
  <c r="M223" i="1"/>
  <c r="L223" i="1"/>
  <c r="N223" i="1" s="1"/>
  <c r="J223" i="1"/>
  <c r="I223" i="1"/>
  <c r="D223" i="1"/>
  <c r="E223" i="1" s="1"/>
  <c r="R222" i="1"/>
  <c r="M222" i="1"/>
  <c r="L222" i="1"/>
  <c r="N222" i="1" s="1"/>
  <c r="O222" i="1" s="1"/>
  <c r="Q222" i="1" s="1"/>
  <c r="J222" i="1"/>
  <c r="I222" i="1"/>
  <c r="D222" i="1"/>
  <c r="E222" i="1" s="1"/>
  <c r="R221" i="1"/>
  <c r="N221" i="1"/>
  <c r="M221" i="1"/>
  <c r="O221" i="1" s="1"/>
  <c r="Q221" i="1" s="1"/>
  <c r="L221" i="1"/>
  <c r="I221" i="1"/>
  <c r="J221" i="1" s="1"/>
  <c r="E221" i="1"/>
  <c r="D221" i="1"/>
  <c r="R220" i="1"/>
  <c r="M220" i="1"/>
  <c r="L220" i="1"/>
  <c r="N220" i="1" s="1"/>
  <c r="O220" i="1" s="1"/>
  <c r="Q220" i="1" s="1"/>
  <c r="J220" i="1"/>
  <c r="I220" i="1"/>
  <c r="D220" i="1"/>
  <c r="E220" i="1" s="1"/>
  <c r="R219" i="1"/>
  <c r="N219" i="1"/>
  <c r="M219" i="1"/>
  <c r="O219" i="1" s="1"/>
  <c r="Q219" i="1" s="1"/>
  <c r="L219" i="1"/>
  <c r="I219" i="1"/>
  <c r="J219" i="1" s="1"/>
  <c r="E219" i="1"/>
  <c r="D219" i="1"/>
  <c r="R218" i="1"/>
  <c r="M218" i="1"/>
  <c r="L218" i="1"/>
  <c r="N218" i="1" s="1"/>
  <c r="O218" i="1" s="1"/>
  <c r="Q218" i="1" s="1"/>
  <c r="J218" i="1"/>
  <c r="I218" i="1"/>
  <c r="D218" i="1"/>
  <c r="E218" i="1" s="1"/>
  <c r="R217" i="1"/>
  <c r="N217" i="1"/>
  <c r="M217" i="1"/>
  <c r="O217" i="1" s="1"/>
  <c r="Q217" i="1" s="1"/>
  <c r="L217" i="1"/>
  <c r="I217" i="1"/>
  <c r="J217" i="1" s="1"/>
  <c r="E217" i="1"/>
  <c r="D217" i="1"/>
  <c r="R216" i="1"/>
  <c r="M216" i="1"/>
  <c r="L216" i="1"/>
  <c r="N216" i="1" s="1"/>
  <c r="O216" i="1" s="1"/>
  <c r="Q216" i="1" s="1"/>
  <c r="J216" i="1"/>
  <c r="I216" i="1"/>
  <c r="D216" i="1"/>
  <c r="E216" i="1" s="1"/>
  <c r="R215" i="1"/>
  <c r="N215" i="1"/>
  <c r="M215" i="1"/>
  <c r="O215" i="1" s="1"/>
  <c r="Q215" i="1" s="1"/>
  <c r="L215" i="1"/>
  <c r="I215" i="1"/>
  <c r="J215" i="1" s="1"/>
  <c r="E215" i="1"/>
  <c r="D215" i="1"/>
  <c r="R214" i="1"/>
  <c r="M214" i="1"/>
  <c r="L214" i="1"/>
  <c r="N214" i="1" s="1"/>
  <c r="O214" i="1" s="1"/>
  <c r="Q214" i="1" s="1"/>
  <c r="J214" i="1"/>
  <c r="I214" i="1"/>
  <c r="D214" i="1"/>
  <c r="E214" i="1" s="1"/>
  <c r="R213" i="1"/>
  <c r="N213" i="1"/>
  <c r="M213" i="1"/>
  <c r="O213" i="1" s="1"/>
  <c r="Q213" i="1" s="1"/>
  <c r="L213" i="1"/>
  <c r="I213" i="1"/>
  <c r="J213" i="1" s="1"/>
  <c r="E213" i="1"/>
  <c r="D213" i="1"/>
  <c r="R212" i="1"/>
  <c r="M212" i="1"/>
  <c r="L212" i="1"/>
  <c r="N212" i="1" s="1"/>
  <c r="O212" i="1" s="1"/>
  <c r="Q212" i="1" s="1"/>
  <c r="J212" i="1"/>
  <c r="I212" i="1"/>
  <c r="D212" i="1"/>
  <c r="E212" i="1" s="1"/>
  <c r="R211" i="1"/>
  <c r="N211" i="1"/>
  <c r="M211" i="1"/>
  <c r="O211" i="1" s="1"/>
  <c r="Q211" i="1" s="1"/>
  <c r="L211" i="1"/>
  <c r="I211" i="1"/>
  <c r="J211" i="1" s="1"/>
  <c r="E211" i="1"/>
  <c r="D211" i="1"/>
  <c r="R210" i="1"/>
  <c r="M210" i="1"/>
  <c r="L210" i="1"/>
  <c r="N210" i="1" s="1"/>
  <c r="O210" i="1" s="1"/>
  <c r="Q210" i="1" s="1"/>
  <c r="J210" i="1"/>
  <c r="I210" i="1"/>
  <c r="D210" i="1"/>
  <c r="E210" i="1" s="1"/>
  <c r="R209" i="1"/>
  <c r="N209" i="1"/>
  <c r="M209" i="1"/>
  <c r="O209" i="1" s="1"/>
  <c r="Q209" i="1" s="1"/>
  <c r="L209" i="1"/>
  <c r="I209" i="1"/>
  <c r="J209" i="1" s="1"/>
  <c r="E209" i="1"/>
  <c r="D209" i="1"/>
  <c r="R208" i="1"/>
  <c r="M208" i="1"/>
  <c r="L208" i="1"/>
  <c r="N208" i="1" s="1"/>
  <c r="O208" i="1" s="1"/>
  <c r="Q208" i="1" s="1"/>
  <c r="J208" i="1"/>
  <c r="I208" i="1"/>
  <c r="D208" i="1"/>
  <c r="E208" i="1" s="1"/>
  <c r="R207" i="1"/>
  <c r="N207" i="1"/>
  <c r="M207" i="1"/>
  <c r="O207" i="1" s="1"/>
  <c r="Q207" i="1" s="1"/>
  <c r="L207" i="1"/>
  <c r="I207" i="1"/>
  <c r="J207" i="1" s="1"/>
  <c r="E207" i="1"/>
  <c r="D207" i="1"/>
  <c r="R206" i="1"/>
  <c r="M206" i="1"/>
  <c r="L206" i="1"/>
  <c r="N206" i="1" s="1"/>
  <c r="O206" i="1" s="1"/>
  <c r="Q206" i="1" s="1"/>
  <c r="J206" i="1"/>
  <c r="I206" i="1"/>
  <c r="D206" i="1"/>
  <c r="E206" i="1" s="1"/>
  <c r="R205" i="1"/>
  <c r="N205" i="1"/>
  <c r="M205" i="1"/>
  <c r="O205" i="1" s="1"/>
  <c r="Q205" i="1" s="1"/>
  <c r="L205" i="1"/>
  <c r="I205" i="1"/>
  <c r="J205" i="1" s="1"/>
  <c r="E205" i="1"/>
  <c r="D205" i="1"/>
  <c r="R204" i="1"/>
  <c r="M204" i="1"/>
  <c r="L204" i="1"/>
  <c r="N204" i="1" s="1"/>
  <c r="O204" i="1" s="1"/>
  <c r="Q204" i="1" s="1"/>
  <c r="J204" i="1"/>
  <c r="I204" i="1"/>
  <c r="D204" i="1"/>
  <c r="E204" i="1" s="1"/>
  <c r="R203" i="1"/>
  <c r="N203" i="1"/>
  <c r="M203" i="1"/>
  <c r="O203" i="1" s="1"/>
  <c r="Q203" i="1" s="1"/>
  <c r="L203" i="1"/>
  <c r="I203" i="1"/>
  <c r="J203" i="1" s="1"/>
  <c r="E203" i="1"/>
  <c r="D203" i="1"/>
  <c r="R202" i="1"/>
  <c r="M202" i="1"/>
  <c r="L202" i="1"/>
  <c r="N202" i="1" s="1"/>
  <c r="O202" i="1" s="1"/>
  <c r="Q202" i="1" s="1"/>
  <c r="J202" i="1"/>
  <c r="I202" i="1"/>
  <c r="D202" i="1"/>
  <c r="E202" i="1" s="1"/>
  <c r="R201" i="1"/>
  <c r="N201" i="1"/>
  <c r="M201" i="1"/>
  <c r="O201" i="1" s="1"/>
  <c r="Q201" i="1" s="1"/>
  <c r="L201" i="1"/>
  <c r="I201" i="1"/>
  <c r="J201" i="1" s="1"/>
  <c r="E201" i="1"/>
  <c r="D201" i="1"/>
  <c r="R200" i="1"/>
  <c r="M200" i="1"/>
  <c r="L200" i="1"/>
  <c r="N200" i="1" s="1"/>
  <c r="O200" i="1" s="1"/>
  <c r="Q200" i="1" s="1"/>
  <c r="J200" i="1"/>
  <c r="I200" i="1"/>
  <c r="D200" i="1"/>
  <c r="E200" i="1" s="1"/>
  <c r="R199" i="1"/>
  <c r="N199" i="1"/>
  <c r="M199" i="1"/>
  <c r="O199" i="1" s="1"/>
  <c r="Q199" i="1" s="1"/>
  <c r="L199" i="1"/>
  <c r="I199" i="1"/>
  <c r="J199" i="1" s="1"/>
  <c r="E199" i="1"/>
  <c r="D199" i="1"/>
  <c r="R198" i="1"/>
  <c r="M198" i="1"/>
  <c r="L198" i="1"/>
  <c r="N198" i="1" s="1"/>
  <c r="O198" i="1" s="1"/>
  <c r="Q198" i="1" s="1"/>
  <c r="J198" i="1"/>
  <c r="I198" i="1"/>
  <c r="D198" i="1"/>
  <c r="E198" i="1" s="1"/>
  <c r="R197" i="1"/>
  <c r="N197" i="1"/>
  <c r="M197" i="1"/>
  <c r="O197" i="1" s="1"/>
  <c r="Q197" i="1" s="1"/>
  <c r="L197" i="1"/>
  <c r="I197" i="1"/>
  <c r="J197" i="1" s="1"/>
  <c r="E197" i="1"/>
  <c r="D197" i="1"/>
  <c r="R196" i="1"/>
  <c r="M196" i="1"/>
  <c r="L196" i="1"/>
  <c r="N196" i="1" s="1"/>
  <c r="O196" i="1" s="1"/>
  <c r="Q196" i="1" s="1"/>
  <c r="J196" i="1"/>
  <c r="I196" i="1"/>
  <c r="D196" i="1"/>
  <c r="E196" i="1" s="1"/>
  <c r="R195" i="1"/>
  <c r="N195" i="1"/>
  <c r="M195" i="1"/>
  <c r="O195" i="1" s="1"/>
  <c r="Q195" i="1" s="1"/>
  <c r="L195" i="1"/>
  <c r="I195" i="1"/>
  <c r="J195" i="1" s="1"/>
  <c r="E195" i="1"/>
  <c r="D195" i="1"/>
  <c r="R194" i="1"/>
  <c r="M194" i="1"/>
  <c r="L194" i="1"/>
  <c r="N194" i="1" s="1"/>
  <c r="O194" i="1" s="1"/>
  <c r="Q194" i="1" s="1"/>
  <c r="J194" i="1"/>
  <c r="I194" i="1"/>
  <c r="D194" i="1"/>
  <c r="E194" i="1" s="1"/>
  <c r="R193" i="1"/>
  <c r="N193" i="1"/>
  <c r="M193" i="1"/>
  <c r="O193" i="1" s="1"/>
  <c r="Q193" i="1" s="1"/>
  <c r="L193" i="1"/>
  <c r="I193" i="1"/>
  <c r="J193" i="1" s="1"/>
  <c r="E193" i="1"/>
  <c r="D193" i="1"/>
  <c r="R192" i="1"/>
  <c r="M192" i="1"/>
  <c r="L192" i="1"/>
  <c r="N192" i="1" s="1"/>
  <c r="O192" i="1" s="1"/>
  <c r="Q192" i="1" s="1"/>
  <c r="J192" i="1"/>
  <c r="I192" i="1"/>
  <c r="D192" i="1"/>
  <c r="E192" i="1" s="1"/>
  <c r="R191" i="1"/>
  <c r="N191" i="1"/>
  <c r="M191" i="1"/>
  <c r="O191" i="1" s="1"/>
  <c r="Q191" i="1" s="1"/>
  <c r="L191" i="1"/>
  <c r="I191" i="1"/>
  <c r="J191" i="1" s="1"/>
  <c r="E191" i="1"/>
  <c r="D191" i="1"/>
  <c r="R190" i="1"/>
  <c r="M190" i="1"/>
  <c r="L190" i="1"/>
  <c r="N190" i="1" s="1"/>
  <c r="O190" i="1" s="1"/>
  <c r="Q190" i="1" s="1"/>
  <c r="J190" i="1"/>
  <c r="I190" i="1"/>
  <c r="D190" i="1"/>
  <c r="E190" i="1" s="1"/>
  <c r="R189" i="1"/>
  <c r="N189" i="1"/>
  <c r="M189" i="1"/>
  <c r="O189" i="1" s="1"/>
  <c r="Q189" i="1" s="1"/>
  <c r="L189" i="1"/>
  <c r="I189" i="1"/>
  <c r="J189" i="1" s="1"/>
  <c r="E189" i="1"/>
  <c r="D189" i="1"/>
  <c r="R188" i="1"/>
  <c r="M188" i="1"/>
  <c r="L188" i="1"/>
  <c r="N188" i="1" s="1"/>
  <c r="O188" i="1" s="1"/>
  <c r="Q188" i="1" s="1"/>
  <c r="J188" i="1"/>
  <c r="I188" i="1"/>
  <c r="D188" i="1"/>
  <c r="E188" i="1" s="1"/>
  <c r="R187" i="1"/>
  <c r="N187" i="1"/>
  <c r="M187" i="1"/>
  <c r="O187" i="1" s="1"/>
  <c r="Q187" i="1" s="1"/>
  <c r="L187" i="1"/>
  <c r="I187" i="1"/>
  <c r="J187" i="1" s="1"/>
  <c r="E187" i="1"/>
  <c r="D187" i="1"/>
  <c r="R186" i="1"/>
  <c r="M186" i="1"/>
  <c r="L186" i="1"/>
  <c r="N186" i="1" s="1"/>
  <c r="O186" i="1" s="1"/>
  <c r="Q186" i="1" s="1"/>
  <c r="J186" i="1"/>
  <c r="I186" i="1"/>
  <c r="D186" i="1"/>
  <c r="E186" i="1" s="1"/>
  <c r="R185" i="1"/>
  <c r="N185" i="1"/>
  <c r="M185" i="1"/>
  <c r="O185" i="1" s="1"/>
  <c r="Q185" i="1" s="1"/>
  <c r="L185" i="1"/>
  <c r="I185" i="1"/>
  <c r="J185" i="1" s="1"/>
  <c r="E185" i="1"/>
  <c r="D185" i="1"/>
  <c r="R184" i="1"/>
  <c r="M184" i="1"/>
  <c r="L184" i="1"/>
  <c r="N184" i="1" s="1"/>
  <c r="O184" i="1" s="1"/>
  <c r="Q184" i="1" s="1"/>
  <c r="J184" i="1"/>
  <c r="I184" i="1"/>
  <c r="D184" i="1"/>
  <c r="E184" i="1" s="1"/>
  <c r="R183" i="1"/>
  <c r="N183" i="1"/>
  <c r="M183" i="1"/>
  <c r="O183" i="1" s="1"/>
  <c r="Q183" i="1" s="1"/>
  <c r="L183" i="1"/>
  <c r="I183" i="1"/>
  <c r="J183" i="1" s="1"/>
  <c r="E183" i="1"/>
  <c r="D183" i="1"/>
  <c r="R182" i="1"/>
  <c r="M182" i="1"/>
  <c r="L182" i="1"/>
  <c r="N182" i="1" s="1"/>
  <c r="O182" i="1" s="1"/>
  <c r="Q182" i="1" s="1"/>
  <c r="J182" i="1"/>
  <c r="I182" i="1"/>
  <c r="D182" i="1"/>
  <c r="E182" i="1" s="1"/>
  <c r="R181" i="1"/>
  <c r="N181" i="1"/>
  <c r="M181" i="1"/>
  <c r="O181" i="1" s="1"/>
  <c r="Q181" i="1" s="1"/>
  <c r="L181" i="1"/>
  <c r="I181" i="1"/>
  <c r="J181" i="1" s="1"/>
  <c r="E181" i="1"/>
  <c r="D181" i="1"/>
  <c r="R180" i="1"/>
  <c r="M180" i="1"/>
  <c r="L180" i="1"/>
  <c r="N180" i="1" s="1"/>
  <c r="O180" i="1" s="1"/>
  <c r="Q180" i="1" s="1"/>
  <c r="J180" i="1"/>
  <c r="I180" i="1"/>
  <c r="D180" i="1"/>
  <c r="E180" i="1" s="1"/>
  <c r="B180" i="1"/>
  <c r="R179" i="1"/>
  <c r="O179" i="1"/>
  <c r="Q179" i="1" s="1"/>
  <c r="N179" i="1"/>
  <c r="M179" i="1"/>
  <c r="L179" i="1"/>
  <c r="J179" i="1"/>
  <c r="I179" i="1"/>
  <c r="D179" i="1"/>
  <c r="E179" i="1" s="1"/>
  <c r="R178" i="1"/>
  <c r="M178" i="1"/>
  <c r="L178" i="1"/>
  <c r="N178" i="1" s="1"/>
  <c r="I178" i="1"/>
  <c r="J178" i="1" s="1"/>
  <c r="E178" i="1"/>
  <c r="D178" i="1"/>
  <c r="R177" i="1"/>
  <c r="O177" i="1"/>
  <c r="Q177" i="1" s="1"/>
  <c r="N177" i="1"/>
  <c r="M177" i="1"/>
  <c r="L177" i="1"/>
  <c r="J177" i="1"/>
  <c r="I177" i="1"/>
  <c r="D177" i="1"/>
  <c r="E177" i="1" s="1"/>
  <c r="R176" i="1"/>
  <c r="M176" i="1"/>
  <c r="O176" i="1" s="1"/>
  <c r="Q176" i="1" s="1"/>
  <c r="L176" i="1"/>
  <c r="N176" i="1" s="1"/>
  <c r="I176" i="1"/>
  <c r="J176" i="1" s="1"/>
  <c r="E176" i="1"/>
  <c r="D176" i="1"/>
  <c r="R175" i="1"/>
  <c r="O175" i="1"/>
  <c r="Q175" i="1" s="1"/>
  <c r="N175" i="1"/>
  <c r="M175" i="1"/>
  <c r="L175" i="1"/>
  <c r="J175" i="1"/>
  <c r="I175" i="1"/>
  <c r="D175" i="1"/>
  <c r="E175" i="1" s="1"/>
  <c r="R174" i="1"/>
  <c r="M174" i="1"/>
  <c r="L174" i="1"/>
  <c r="N174" i="1" s="1"/>
  <c r="I174" i="1"/>
  <c r="J174" i="1" s="1"/>
  <c r="E174" i="1"/>
  <c r="D174" i="1"/>
  <c r="R173" i="1"/>
  <c r="O173" i="1"/>
  <c r="Q173" i="1" s="1"/>
  <c r="N173" i="1"/>
  <c r="M173" i="1"/>
  <c r="L173" i="1"/>
  <c r="J173" i="1"/>
  <c r="I173" i="1"/>
  <c r="D173" i="1"/>
  <c r="E173" i="1" s="1"/>
  <c r="R172" i="1"/>
  <c r="M172" i="1"/>
  <c r="O172" i="1" s="1"/>
  <c r="Q172" i="1" s="1"/>
  <c r="L172" i="1"/>
  <c r="N172" i="1" s="1"/>
  <c r="I172" i="1"/>
  <c r="J172" i="1" s="1"/>
  <c r="E172" i="1"/>
  <c r="D172" i="1"/>
  <c r="R171" i="1"/>
  <c r="O171" i="1"/>
  <c r="Q171" i="1" s="1"/>
  <c r="N171" i="1"/>
  <c r="M171" i="1"/>
  <c r="L171" i="1"/>
  <c r="J171" i="1"/>
  <c r="I171" i="1"/>
  <c r="D171" i="1"/>
  <c r="E171" i="1" s="1"/>
  <c r="R170" i="1"/>
  <c r="M170" i="1"/>
  <c r="L170" i="1"/>
  <c r="N170" i="1" s="1"/>
  <c r="I170" i="1"/>
  <c r="J170" i="1" s="1"/>
  <c r="E170" i="1"/>
  <c r="D170" i="1"/>
  <c r="R169" i="1"/>
  <c r="O169" i="1"/>
  <c r="Q169" i="1" s="1"/>
  <c r="N169" i="1"/>
  <c r="M169" i="1"/>
  <c r="L169" i="1"/>
  <c r="J169" i="1"/>
  <c r="I169" i="1"/>
  <c r="D169" i="1"/>
  <c r="E169" i="1" s="1"/>
  <c r="R168" i="1"/>
  <c r="M168" i="1"/>
  <c r="O168" i="1" s="1"/>
  <c r="Q168" i="1" s="1"/>
  <c r="L168" i="1"/>
  <c r="N168" i="1" s="1"/>
  <c r="I168" i="1"/>
  <c r="J168" i="1" s="1"/>
  <c r="E168" i="1"/>
  <c r="D168" i="1"/>
  <c r="R167" i="1"/>
  <c r="O167" i="1"/>
  <c r="Q167" i="1" s="1"/>
  <c r="N167" i="1"/>
  <c r="M167" i="1"/>
  <c r="L167" i="1"/>
  <c r="J167" i="1"/>
  <c r="I167" i="1"/>
  <c r="D167" i="1"/>
  <c r="E167" i="1" s="1"/>
  <c r="R166" i="1"/>
  <c r="M166" i="1"/>
  <c r="L166" i="1"/>
  <c r="N166" i="1" s="1"/>
  <c r="I166" i="1"/>
  <c r="J166" i="1" s="1"/>
  <c r="E166" i="1"/>
  <c r="D166" i="1"/>
  <c r="R165" i="1"/>
  <c r="O165" i="1"/>
  <c r="Q165" i="1" s="1"/>
  <c r="N165" i="1"/>
  <c r="M165" i="1"/>
  <c r="L165" i="1"/>
  <c r="J165" i="1"/>
  <c r="I165" i="1"/>
  <c r="D165" i="1"/>
  <c r="E165" i="1" s="1"/>
  <c r="R164" i="1"/>
  <c r="M164" i="1"/>
  <c r="O164" i="1" s="1"/>
  <c r="Q164" i="1" s="1"/>
  <c r="L164" i="1"/>
  <c r="N164" i="1" s="1"/>
  <c r="I164" i="1"/>
  <c r="J164" i="1" s="1"/>
  <c r="E164" i="1"/>
  <c r="D164" i="1"/>
  <c r="R163" i="1"/>
  <c r="O163" i="1"/>
  <c r="Q163" i="1" s="1"/>
  <c r="N163" i="1"/>
  <c r="M163" i="1"/>
  <c r="L163" i="1"/>
  <c r="J163" i="1"/>
  <c r="I163" i="1"/>
  <c r="D163" i="1"/>
  <c r="E163" i="1" s="1"/>
  <c r="R162" i="1"/>
  <c r="M162" i="1"/>
  <c r="L162" i="1"/>
  <c r="N162" i="1" s="1"/>
  <c r="I162" i="1"/>
  <c r="J162" i="1" s="1"/>
  <c r="E162" i="1"/>
  <c r="D162" i="1"/>
  <c r="R161" i="1"/>
  <c r="O161" i="1"/>
  <c r="Q161" i="1" s="1"/>
  <c r="N161" i="1"/>
  <c r="M161" i="1"/>
  <c r="L161" i="1"/>
  <c r="J161" i="1"/>
  <c r="I161" i="1"/>
  <c r="D161" i="1"/>
  <c r="E161" i="1" s="1"/>
  <c r="R160" i="1"/>
  <c r="M160" i="1"/>
  <c r="O160" i="1" s="1"/>
  <c r="Q160" i="1" s="1"/>
  <c r="L160" i="1"/>
  <c r="N160" i="1" s="1"/>
  <c r="I160" i="1"/>
  <c r="J160" i="1" s="1"/>
  <c r="E160" i="1"/>
  <c r="D160" i="1"/>
  <c r="R159" i="1"/>
  <c r="O159" i="1"/>
  <c r="Q159" i="1" s="1"/>
  <c r="N159" i="1"/>
  <c r="M159" i="1"/>
  <c r="L159" i="1"/>
  <c r="J159" i="1"/>
  <c r="I159" i="1"/>
  <c r="D159" i="1"/>
  <c r="E159" i="1" s="1"/>
  <c r="R158" i="1"/>
  <c r="M158" i="1"/>
  <c r="L158" i="1"/>
  <c r="N158" i="1" s="1"/>
  <c r="I158" i="1"/>
  <c r="J158" i="1" s="1"/>
  <c r="E158" i="1"/>
  <c r="D158" i="1"/>
  <c r="R157" i="1"/>
  <c r="O157" i="1"/>
  <c r="Q157" i="1" s="1"/>
  <c r="N157" i="1"/>
  <c r="M157" i="1"/>
  <c r="L157" i="1"/>
  <c r="J157" i="1"/>
  <c r="I157" i="1"/>
  <c r="D157" i="1"/>
  <c r="E157" i="1" s="1"/>
  <c r="R156" i="1"/>
  <c r="M156" i="1"/>
  <c r="O156" i="1" s="1"/>
  <c r="Q156" i="1" s="1"/>
  <c r="L156" i="1"/>
  <c r="N156" i="1" s="1"/>
  <c r="I156" i="1"/>
  <c r="J156" i="1" s="1"/>
  <c r="E156" i="1"/>
  <c r="D156" i="1"/>
  <c r="R155" i="1"/>
  <c r="O155" i="1"/>
  <c r="Q155" i="1" s="1"/>
  <c r="N155" i="1"/>
  <c r="M155" i="1"/>
  <c r="L155" i="1"/>
  <c r="J155" i="1"/>
  <c r="I155" i="1"/>
  <c r="D155" i="1"/>
  <c r="E155" i="1" s="1"/>
  <c r="R154" i="1"/>
  <c r="M154" i="1"/>
  <c r="L154" i="1"/>
  <c r="N154" i="1" s="1"/>
  <c r="I154" i="1"/>
  <c r="J154" i="1" s="1"/>
  <c r="E154" i="1"/>
  <c r="D154" i="1"/>
  <c r="R153" i="1"/>
  <c r="O153" i="1"/>
  <c r="Q153" i="1" s="1"/>
  <c r="N153" i="1"/>
  <c r="M153" i="1"/>
  <c r="L153" i="1"/>
  <c r="J153" i="1"/>
  <c r="I153" i="1"/>
  <c r="D153" i="1"/>
  <c r="E153" i="1" s="1"/>
  <c r="R152" i="1"/>
  <c r="M152" i="1"/>
  <c r="O152" i="1" s="1"/>
  <c r="Q152" i="1" s="1"/>
  <c r="L152" i="1"/>
  <c r="N152" i="1" s="1"/>
  <c r="I152" i="1"/>
  <c r="J152" i="1" s="1"/>
  <c r="E152" i="1"/>
  <c r="D152" i="1"/>
  <c r="R151" i="1"/>
  <c r="O151" i="1"/>
  <c r="Q151" i="1" s="1"/>
  <c r="N151" i="1"/>
  <c r="M151" i="1"/>
  <c r="L151" i="1"/>
  <c r="J151" i="1"/>
  <c r="I151" i="1"/>
  <c r="E151" i="1"/>
  <c r="D151" i="1"/>
  <c r="R150" i="1"/>
  <c r="M150" i="1"/>
  <c r="O150" i="1" s="1"/>
  <c r="Q150" i="1" s="1"/>
  <c r="L150" i="1"/>
  <c r="N150" i="1" s="1"/>
  <c r="J150" i="1"/>
  <c r="I150" i="1"/>
  <c r="E150" i="1"/>
  <c r="D150" i="1"/>
  <c r="R149" i="1"/>
  <c r="O149" i="1"/>
  <c r="Q149" i="1" s="1"/>
  <c r="N149" i="1"/>
  <c r="M149" i="1"/>
  <c r="L149" i="1"/>
  <c r="J149" i="1"/>
  <c r="I149" i="1"/>
  <c r="E149" i="1"/>
  <c r="D149" i="1"/>
  <c r="R148" i="1"/>
  <c r="M148" i="1"/>
  <c r="O148" i="1" s="1"/>
  <c r="Q148" i="1" s="1"/>
  <c r="L148" i="1"/>
  <c r="N148" i="1" s="1"/>
  <c r="J148" i="1"/>
  <c r="I148" i="1"/>
  <c r="E148" i="1"/>
  <c r="D148" i="1"/>
  <c r="R147" i="1"/>
  <c r="O147" i="1"/>
  <c r="Q147" i="1" s="1"/>
  <c r="N147" i="1"/>
  <c r="M147" i="1"/>
  <c r="L147" i="1"/>
  <c r="J147" i="1"/>
  <c r="I147" i="1"/>
  <c r="E147" i="1"/>
  <c r="D147" i="1"/>
  <c r="R146" i="1"/>
  <c r="M146" i="1"/>
  <c r="O146" i="1" s="1"/>
  <c r="Q146" i="1" s="1"/>
  <c r="L146" i="1"/>
  <c r="N146" i="1" s="1"/>
  <c r="J146" i="1"/>
  <c r="I146" i="1"/>
  <c r="E146" i="1"/>
  <c r="D146" i="1"/>
  <c r="R145" i="1"/>
  <c r="O145" i="1"/>
  <c r="Q145" i="1" s="1"/>
  <c r="N145" i="1"/>
  <c r="M145" i="1"/>
  <c r="L145" i="1"/>
  <c r="J145" i="1"/>
  <c r="I145" i="1"/>
  <c r="E145" i="1"/>
  <c r="D145" i="1"/>
  <c r="R144" i="1"/>
  <c r="M144" i="1"/>
  <c r="O144" i="1" s="1"/>
  <c r="Q144" i="1" s="1"/>
  <c r="L144" i="1"/>
  <c r="N144" i="1" s="1"/>
  <c r="J144" i="1"/>
  <c r="I144" i="1"/>
  <c r="E144" i="1"/>
  <c r="D144" i="1"/>
  <c r="R143" i="1"/>
  <c r="O143" i="1"/>
  <c r="Q143" i="1" s="1"/>
  <c r="N143" i="1"/>
  <c r="M143" i="1"/>
  <c r="L143" i="1"/>
  <c r="J143" i="1"/>
  <c r="I143" i="1"/>
  <c r="E143" i="1"/>
  <c r="D143" i="1"/>
  <c r="R142" i="1"/>
  <c r="M142" i="1"/>
  <c r="O142" i="1" s="1"/>
  <c r="Q142" i="1" s="1"/>
  <c r="L142" i="1"/>
  <c r="N142" i="1" s="1"/>
  <c r="J142" i="1"/>
  <c r="I142" i="1"/>
  <c r="E142" i="1"/>
  <c r="D142" i="1"/>
  <c r="R141" i="1"/>
  <c r="O141" i="1"/>
  <c r="Q141" i="1" s="1"/>
  <c r="N141" i="1"/>
  <c r="M141" i="1"/>
  <c r="L141" i="1"/>
  <c r="J141" i="1"/>
  <c r="I141" i="1"/>
  <c r="E141" i="1"/>
  <c r="D141" i="1"/>
  <c r="R140" i="1"/>
  <c r="M140" i="1"/>
  <c r="O140" i="1" s="1"/>
  <c r="Q140" i="1" s="1"/>
  <c r="L140" i="1"/>
  <c r="N140" i="1" s="1"/>
  <c r="J140" i="1"/>
  <c r="I140" i="1"/>
  <c r="E140" i="1"/>
  <c r="D140" i="1"/>
  <c r="R139" i="1"/>
  <c r="O139" i="1"/>
  <c r="Q139" i="1" s="1"/>
  <c r="N139" i="1"/>
  <c r="M139" i="1"/>
  <c r="L139" i="1"/>
  <c r="J139" i="1"/>
  <c r="I139" i="1"/>
  <c r="E139" i="1"/>
  <c r="D139" i="1"/>
  <c r="R138" i="1"/>
  <c r="M138" i="1"/>
  <c r="O138" i="1" s="1"/>
  <c r="Q138" i="1" s="1"/>
  <c r="L138" i="1"/>
  <c r="N138" i="1" s="1"/>
  <c r="J138" i="1"/>
  <c r="I138" i="1"/>
  <c r="E138" i="1"/>
  <c r="D138" i="1"/>
  <c r="R137" i="1"/>
  <c r="O137" i="1"/>
  <c r="Q137" i="1" s="1"/>
  <c r="N137" i="1"/>
  <c r="M137" i="1"/>
  <c r="L137" i="1"/>
  <c r="J137" i="1"/>
  <c r="I137" i="1"/>
  <c r="E137" i="1"/>
  <c r="D137" i="1"/>
  <c r="R136" i="1"/>
  <c r="M136" i="1"/>
  <c r="O136" i="1" s="1"/>
  <c r="Q136" i="1" s="1"/>
  <c r="L136" i="1"/>
  <c r="N136" i="1" s="1"/>
  <c r="J136" i="1"/>
  <c r="I136" i="1"/>
  <c r="E136" i="1"/>
  <c r="D136" i="1"/>
  <c r="R135" i="1"/>
  <c r="O135" i="1"/>
  <c r="Q135" i="1" s="1"/>
  <c r="N135" i="1"/>
  <c r="M135" i="1"/>
  <c r="L135" i="1"/>
  <c r="J135" i="1"/>
  <c r="I135" i="1"/>
  <c r="E135" i="1"/>
  <c r="D135" i="1"/>
  <c r="R134" i="1"/>
  <c r="M134" i="1"/>
  <c r="O134" i="1" s="1"/>
  <c r="Q134" i="1" s="1"/>
  <c r="L134" i="1"/>
  <c r="N134" i="1" s="1"/>
  <c r="J134" i="1"/>
  <c r="I134" i="1"/>
  <c r="E134" i="1"/>
  <c r="D134" i="1"/>
  <c r="R133" i="1"/>
  <c r="O133" i="1"/>
  <c r="Q133" i="1" s="1"/>
  <c r="N133" i="1"/>
  <c r="M133" i="1"/>
  <c r="L133" i="1"/>
  <c r="J133" i="1"/>
  <c r="I133" i="1"/>
  <c r="E133" i="1"/>
  <c r="D133" i="1"/>
  <c r="R132" i="1"/>
  <c r="M132" i="1"/>
  <c r="O132" i="1" s="1"/>
  <c r="Q132" i="1" s="1"/>
  <c r="L132" i="1"/>
  <c r="N132" i="1" s="1"/>
  <c r="J132" i="1"/>
  <c r="I132" i="1"/>
  <c r="E132" i="1"/>
  <c r="D132" i="1"/>
  <c r="R131" i="1"/>
  <c r="O131" i="1"/>
  <c r="Q131" i="1" s="1"/>
  <c r="N131" i="1"/>
  <c r="M131" i="1"/>
  <c r="L131" i="1"/>
  <c r="J131" i="1"/>
  <c r="I131" i="1"/>
  <c r="E131" i="1"/>
  <c r="D131" i="1"/>
  <c r="R130" i="1"/>
  <c r="M130" i="1"/>
  <c r="O130" i="1" s="1"/>
  <c r="Q130" i="1" s="1"/>
  <c r="L130" i="1"/>
  <c r="N130" i="1" s="1"/>
  <c r="J130" i="1"/>
  <c r="I130" i="1"/>
  <c r="E130" i="1"/>
  <c r="D130" i="1"/>
  <c r="R129" i="1"/>
  <c r="O129" i="1"/>
  <c r="Q129" i="1" s="1"/>
  <c r="N129" i="1"/>
  <c r="M129" i="1"/>
  <c r="L129" i="1"/>
  <c r="J129" i="1"/>
  <c r="I129" i="1"/>
  <c r="E129" i="1"/>
  <c r="D129" i="1"/>
  <c r="R128" i="1"/>
  <c r="M128" i="1"/>
  <c r="O128" i="1" s="1"/>
  <c r="Q128" i="1" s="1"/>
  <c r="L128" i="1"/>
  <c r="N128" i="1" s="1"/>
  <c r="J128" i="1"/>
  <c r="I128" i="1"/>
  <c r="E128" i="1"/>
  <c r="D128" i="1"/>
  <c r="R127" i="1"/>
  <c r="O127" i="1"/>
  <c r="Q127" i="1" s="1"/>
  <c r="N127" i="1"/>
  <c r="M127" i="1"/>
  <c r="L127" i="1"/>
  <c r="J127" i="1"/>
  <c r="I127" i="1"/>
  <c r="E127" i="1"/>
  <c r="D127" i="1"/>
  <c r="R126" i="1"/>
  <c r="M126" i="1"/>
  <c r="O126" i="1" s="1"/>
  <c r="Q126" i="1" s="1"/>
  <c r="L126" i="1"/>
  <c r="N126" i="1" s="1"/>
  <c r="J126" i="1"/>
  <c r="I126" i="1"/>
  <c r="E126" i="1"/>
  <c r="D126" i="1"/>
  <c r="R125" i="1"/>
  <c r="O125" i="1"/>
  <c r="Q125" i="1" s="1"/>
  <c r="N125" i="1"/>
  <c r="M125" i="1"/>
  <c r="L125" i="1"/>
  <c r="J125" i="1"/>
  <c r="I125" i="1"/>
  <c r="E125" i="1"/>
  <c r="D125" i="1"/>
  <c r="R124" i="1"/>
  <c r="M124" i="1"/>
  <c r="O124" i="1" s="1"/>
  <c r="Q124" i="1" s="1"/>
  <c r="L124" i="1"/>
  <c r="N124" i="1" s="1"/>
  <c r="J124" i="1"/>
  <c r="I124" i="1"/>
  <c r="E124" i="1"/>
  <c r="D124" i="1"/>
  <c r="R123" i="1"/>
  <c r="O123" i="1"/>
  <c r="Q123" i="1" s="1"/>
  <c r="N123" i="1"/>
  <c r="M123" i="1"/>
  <c r="L123" i="1"/>
  <c r="J123" i="1"/>
  <c r="I123" i="1"/>
  <c r="E123" i="1"/>
  <c r="D123" i="1"/>
  <c r="R122" i="1"/>
  <c r="M122" i="1"/>
  <c r="O122" i="1" s="1"/>
  <c r="Q122" i="1" s="1"/>
  <c r="L122" i="1"/>
  <c r="N122" i="1" s="1"/>
  <c r="J122" i="1"/>
  <c r="I122" i="1"/>
  <c r="E122" i="1"/>
  <c r="D122" i="1"/>
  <c r="R121" i="1"/>
  <c r="O121" i="1"/>
  <c r="Q121" i="1" s="1"/>
  <c r="N121" i="1"/>
  <c r="M121" i="1"/>
  <c r="L121" i="1"/>
  <c r="J121" i="1"/>
  <c r="I121" i="1"/>
  <c r="E121" i="1"/>
  <c r="D121" i="1"/>
  <c r="R120" i="1"/>
  <c r="M120" i="1"/>
  <c r="O120" i="1" s="1"/>
  <c r="Q120" i="1" s="1"/>
  <c r="L120" i="1"/>
  <c r="N120" i="1" s="1"/>
  <c r="J120" i="1"/>
  <c r="I120" i="1"/>
  <c r="E120" i="1"/>
  <c r="D120" i="1"/>
  <c r="R119" i="1"/>
  <c r="O119" i="1"/>
  <c r="Q119" i="1" s="1"/>
  <c r="N119" i="1"/>
  <c r="M119" i="1"/>
  <c r="L119" i="1"/>
  <c r="J119" i="1"/>
  <c r="I119" i="1"/>
  <c r="E119" i="1"/>
  <c r="D119" i="1"/>
  <c r="R118" i="1"/>
  <c r="M118" i="1"/>
  <c r="O118" i="1" s="1"/>
  <c r="Q118" i="1" s="1"/>
  <c r="L118" i="1"/>
  <c r="N118" i="1" s="1"/>
  <c r="J118" i="1"/>
  <c r="I118" i="1"/>
  <c r="E118" i="1"/>
  <c r="D118" i="1"/>
  <c r="R117" i="1"/>
  <c r="O117" i="1"/>
  <c r="Q117" i="1" s="1"/>
  <c r="N117" i="1"/>
  <c r="M117" i="1"/>
  <c r="L117" i="1"/>
  <c r="J117" i="1"/>
  <c r="I117" i="1"/>
  <c r="E117" i="1"/>
  <c r="D117" i="1"/>
  <c r="R116" i="1"/>
  <c r="M116" i="1"/>
  <c r="O116" i="1" s="1"/>
  <c r="Q116" i="1" s="1"/>
  <c r="G116" i="1"/>
  <c r="L116" i="1" s="1"/>
  <c r="N116" i="1" s="1"/>
  <c r="E116" i="1"/>
  <c r="D116" i="1"/>
  <c r="R115" i="1"/>
  <c r="M115" i="1"/>
  <c r="L115" i="1"/>
  <c r="N115" i="1" s="1"/>
  <c r="O115" i="1" s="1"/>
  <c r="Q115" i="1" s="1"/>
  <c r="J115" i="1"/>
  <c r="I115" i="1"/>
  <c r="D115" i="1"/>
  <c r="E115" i="1" s="1"/>
  <c r="R114" i="1"/>
  <c r="N114" i="1"/>
  <c r="M114" i="1"/>
  <c r="O114" i="1" s="1"/>
  <c r="Q114" i="1" s="1"/>
  <c r="L114" i="1"/>
  <c r="I114" i="1"/>
  <c r="J114" i="1" s="1"/>
  <c r="E114" i="1"/>
  <c r="D114" i="1"/>
  <c r="R113" i="1"/>
  <c r="M113" i="1"/>
  <c r="L113" i="1"/>
  <c r="N113" i="1" s="1"/>
  <c r="O113" i="1" s="1"/>
  <c r="Q113" i="1" s="1"/>
  <c r="J113" i="1"/>
  <c r="I113" i="1"/>
  <c r="D113" i="1"/>
  <c r="E113" i="1" s="1"/>
  <c r="R112" i="1"/>
  <c r="N112" i="1"/>
  <c r="M112" i="1"/>
  <c r="O112" i="1" s="1"/>
  <c r="Q112" i="1" s="1"/>
  <c r="L112" i="1"/>
  <c r="I112" i="1"/>
  <c r="J112" i="1" s="1"/>
  <c r="E112" i="1"/>
  <c r="D112" i="1"/>
  <c r="R111" i="1"/>
  <c r="M111" i="1"/>
  <c r="L111" i="1"/>
  <c r="N111" i="1" s="1"/>
  <c r="O111" i="1" s="1"/>
  <c r="Q111" i="1" s="1"/>
  <c r="J111" i="1"/>
  <c r="I111" i="1"/>
  <c r="D111" i="1"/>
  <c r="E111" i="1" s="1"/>
  <c r="R110" i="1"/>
  <c r="N110" i="1"/>
  <c r="M110" i="1"/>
  <c r="O110" i="1" s="1"/>
  <c r="Q110" i="1" s="1"/>
  <c r="L110" i="1"/>
  <c r="I110" i="1"/>
  <c r="J110" i="1" s="1"/>
  <c r="E110" i="1"/>
  <c r="D110" i="1"/>
  <c r="R109" i="1"/>
  <c r="M109" i="1"/>
  <c r="L109" i="1"/>
  <c r="N109" i="1" s="1"/>
  <c r="O109" i="1" s="1"/>
  <c r="Q109" i="1" s="1"/>
  <c r="J109" i="1"/>
  <c r="I109" i="1"/>
  <c r="D109" i="1"/>
  <c r="E109" i="1" s="1"/>
  <c r="R108" i="1"/>
  <c r="N108" i="1"/>
  <c r="M108" i="1"/>
  <c r="O108" i="1" s="1"/>
  <c r="Q108" i="1" s="1"/>
  <c r="L108" i="1"/>
  <c r="I108" i="1"/>
  <c r="J108" i="1" s="1"/>
  <c r="E108" i="1"/>
  <c r="D108" i="1"/>
  <c r="R107" i="1"/>
  <c r="M107" i="1"/>
  <c r="L107" i="1"/>
  <c r="N107" i="1" s="1"/>
  <c r="O107" i="1" s="1"/>
  <c r="Q107" i="1" s="1"/>
  <c r="J107" i="1"/>
  <c r="I107" i="1"/>
  <c r="D107" i="1"/>
  <c r="E107" i="1" s="1"/>
  <c r="R106" i="1"/>
  <c r="N106" i="1"/>
  <c r="M106" i="1"/>
  <c r="O106" i="1" s="1"/>
  <c r="Q106" i="1" s="1"/>
  <c r="L106" i="1"/>
  <c r="I106" i="1"/>
  <c r="J106" i="1" s="1"/>
  <c r="E106" i="1"/>
  <c r="D106" i="1"/>
  <c r="R105" i="1"/>
  <c r="M105" i="1"/>
  <c r="L105" i="1"/>
  <c r="N105" i="1" s="1"/>
  <c r="O105" i="1" s="1"/>
  <c r="Q105" i="1" s="1"/>
  <c r="J105" i="1"/>
  <c r="I105" i="1"/>
  <c r="D105" i="1"/>
  <c r="E105" i="1" s="1"/>
  <c r="R104" i="1"/>
  <c r="N104" i="1"/>
  <c r="M104" i="1"/>
  <c r="O104" i="1" s="1"/>
  <c r="Q104" i="1" s="1"/>
  <c r="L104" i="1"/>
  <c r="I104" i="1"/>
  <c r="J104" i="1" s="1"/>
  <c r="E104" i="1"/>
  <c r="D104" i="1"/>
  <c r="R103" i="1"/>
  <c r="M103" i="1"/>
  <c r="L103" i="1"/>
  <c r="N103" i="1" s="1"/>
  <c r="O103" i="1" s="1"/>
  <c r="Q103" i="1" s="1"/>
  <c r="J103" i="1"/>
  <c r="I103" i="1"/>
  <c r="D103" i="1"/>
  <c r="E103" i="1" s="1"/>
  <c r="R102" i="1"/>
  <c r="N102" i="1"/>
  <c r="M102" i="1"/>
  <c r="O102" i="1" s="1"/>
  <c r="Q102" i="1" s="1"/>
  <c r="L102" i="1"/>
  <c r="I102" i="1"/>
  <c r="J102" i="1" s="1"/>
  <c r="E102" i="1"/>
  <c r="D102" i="1"/>
  <c r="R101" i="1"/>
  <c r="M101" i="1"/>
  <c r="L101" i="1"/>
  <c r="N101" i="1" s="1"/>
  <c r="O101" i="1" s="1"/>
  <c r="Q101" i="1" s="1"/>
  <c r="J101" i="1"/>
  <c r="I101" i="1"/>
  <c r="D101" i="1"/>
  <c r="E101" i="1" s="1"/>
  <c r="R100" i="1"/>
  <c r="N100" i="1"/>
  <c r="M100" i="1"/>
  <c r="O100" i="1" s="1"/>
  <c r="Q100" i="1" s="1"/>
  <c r="L100" i="1"/>
  <c r="I100" i="1"/>
  <c r="J100" i="1" s="1"/>
  <c r="E100" i="1"/>
  <c r="D100" i="1"/>
  <c r="R99" i="1"/>
  <c r="M99" i="1"/>
  <c r="L99" i="1"/>
  <c r="N99" i="1" s="1"/>
  <c r="O99" i="1" s="1"/>
  <c r="Q99" i="1" s="1"/>
  <c r="J99" i="1"/>
  <c r="I99" i="1"/>
  <c r="D99" i="1"/>
  <c r="E99" i="1" s="1"/>
  <c r="R98" i="1"/>
  <c r="N98" i="1"/>
  <c r="M98" i="1"/>
  <c r="O98" i="1" s="1"/>
  <c r="Q98" i="1" s="1"/>
  <c r="L98" i="1"/>
  <c r="I98" i="1"/>
  <c r="J98" i="1" s="1"/>
  <c r="E98" i="1"/>
  <c r="D98" i="1"/>
  <c r="R97" i="1"/>
  <c r="M97" i="1"/>
  <c r="L97" i="1"/>
  <c r="N97" i="1" s="1"/>
  <c r="O97" i="1" s="1"/>
  <c r="Q97" i="1" s="1"/>
  <c r="J97" i="1"/>
  <c r="I97" i="1"/>
  <c r="D97" i="1"/>
  <c r="E97" i="1" s="1"/>
  <c r="R96" i="1"/>
  <c r="N96" i="1"/>
  <c r="M96" i="1"/>
  <c r="O96" i="1" s="1"/>
  <c r="Q96" i="1" s="1"/>
  <c r="L96" i="1"/>
  <c r="I96" i="1"/>
  <c r="J96" i="1" s="1"/>
  <c r="E96" i="1"/>
  <c r="D96" i="1"/>
  <c r="R95" i="1"/>
  <c r="M95" i="1"/>
  <c r="L95" i="1"/>
  <c r="N95" i="1" s="1"/>
  <c r="O95" i="1" s="1"/>
  <c r="Q95" i="1" s="1"/>
  <c r="J95" i="1"/>
  <c r="I95" i="1"/>
  <c r="D95" i="1"/>
  <c r="E95" i="1" s="1"/>
  <c r="R94" i="1"/>
  <c r="N94" i="1"/>
  <c r="M94" i="1"/>
  <c r="O94" i="1" s="1"/>
  <c r="Q94" i="1" s="1"/>
  <c r="L94" i="1"/>
  <c r="I94" i="1"/>
  <c r="J94" i="1" s="1"/>
  <c r="E94" i="1"/>
  <c r="D94" i="1"/>
  <c r="R93" i="1"/>
  <c r="M93" i="1"/>
  <c r="L93" i="1"/>
  <c r="N93" i="1" s="1"/>
  <c r="O93" i="1" s="1"/>
  <c r="Q93" i="1" s="1"/>
  <c r="J93" i="1"/>
  <c r="I93" i="1"/>
  <c r="D93" i="1"/>
  <c r="E93" i="1" s="1"/>
  <c r="R92" i="1"/>
  <c r="N92" i="1"/>
  <c r="M92" i="1"/>
  <c r="O92" i="1" s="1"/>
  <c r="Q92" i="1" s="1"/>
  <c r="L92" i="1"/>
  <c r="I92" i="1"/>
  <c r="J92" i="1" s="1"/>
  <c r="E92" i="1"/>
  <c r="D92" i="1"/>
  <c r="R91" i="1"/>
  <c r="M91" i="1"/>
  <c r="L91" i="1"/>
  <c r="N91" i="1" s="1"/>
  <c r="O91" i="1" s="1"/>
  <c r="Q91" i="1" s="1"/>
  <c r="J91" i="1"/>
  <c r="I91" i="1"/>
  <c r="D91" i="1"/>
  <c r="E91" i="1" s="1"/>
  <c r="R90" i="1"/>
  <c r="N90" i="1"/>
  <c r="M90" i="1"/>
  <c r="O90" i="1" s="1"/>
  <c r="Q90" i="1" s="1"/>
  <c r="L90" i="1"/>
  <c r="I90" i="1"/>
  <c r="J90" i="1" s="1"/>
  <c r="E90" i="1"/>
  <c r="D90" i="1"/>
  <c r="R89" i="1"/>
  <c r="M89" i="1"/>
  <c r="L89" i="1"/>
  <c r="N89" i="1" s="1"/>
  <c r="O89" i="1" s="1"/>
  <c r="Q89" i="1" s="1"/>
  <c r="J89" i="1"/>
  <c r="I89" i="1"/>
  <c r="D89" i="1"/>
  <c r="E89" i="1" s="1"/>
  <c r="R88" i="1"/>
  <c r="N88" i="1"/>
  <c r="M88" i="1"/>
  <c r="O88" i="1" s="1"/>
  <c r="Q88" i="1" s="1"/>
  <c r="L88" i="1"/>
  <c r="I88" i="1"/>
  <c r="J88" i="1" s="1"/>
  <c r="E88" i="1"/>
  <c r="D88" i="1"/>
  <c r="R87" i="1"/>
  <c r="M87" i="1"/>
  <c r="L87" i="1"/>
  <c r="N87" i="1" s="1"/>
  <c r="O87" i="1" s="1"/>
  <c r="Q87" i="1" s="1"/>
  <c r="J87" i="1"/>
  <c r="I87" i="1"/>
  <c r="D87" i="1"/>
  <c r="E87" i="1" s="1"/>
  <c r="R86" i="1"/>
  <c r="N86" i="1"/>
  <c r="M86" i="1"/>
  <c r="O86" i="1" s="1"/>
  <c r="Q86" i="1" s="1"/>
  <c r="L86" i="1"/>
  <c r="I86" i="1"/>
  <c r="J86" i="1" s="1"/>
  <c r="E86" i="1"/>
  <c r="D86" i="1"/>
  <c r="R85" i="1"/>
  <c r="M85" i="1"/>
  <c r="L85" i="1"/>
  <c r="N85" i="1" s="1"/>
  <c r="O85" i="1" s="1"/>
  <c r="Q85" i="1" s="1"/>
  <c r="J85" i="1"/>
  <c r="I85" i="1"/>
  <c r="D85" i="1"/>
  <c r="E85" i="1" s="1"/>
  <c r="R84" i="1"/>
  <c r="N84" i="1"/>
  <c r="M84" i="1"/>
  <c r="O84" i="1" s="1"/>
  <c r="Q84" i="1" s="1"/>
  <c r="L84" i="1"/>
  <c r="I84" i="1"/>
  <c r="J84" i="1" s="1"/>
  <c r="E84" i="1"/>
  <c r="D84" i="1"/>
  <c r="R83" i="1"/>
  <c r="M83" i="1"/>
  <c r="L83" i="1"/>
  <c r="N83" i="1" s="1"/>
  <c r="O83" i="1" s="1"/>
  <c r="Q83" i="1" s="1"/>
  <c r="J83" i="1"/>
  <c r="I83" i="1"/>
  <c r="D83" i="1"/>
  <c r="E83" i="1" s="1"/>
  <c r="R82" i="1"/>
  <c r="N82" i="1"/>
  <c r="M82" i="1"/>
  <c r="O82" i="1" s="1"/>
  <c r="Q82" i="1" s="1"/>
  <c r="L82" i="1"/>
  <c r="I82" i="1"/>
  <c r="J82" i="1" s="1"/>
  <c r="E82" i="1"/>
  <c r="D82" i="1"/>
  <c r="R81" i="1"/>
  <c r="M81" i="1"/>
  <c r="L81" i="1"/>
  <c r="N81" i="1" s="1"/>
  <c r="O81" i="1" s="1"/>
  <c r="Q81" i="1" s="1"/>
  <c r="J81" i="1"/>
  <c r="I81" i="1"/>
  <c r="D81" i="1"/>
  <c r="E81" i="1" s="1"/>
  <c r="R80" i="1"/>
  <c r="N80" i="1"/>
  <c r="M80" i="1"/>
  <c r="O80" i="1" s="1"/>
  <c r="Q80" i="1" s="1"/>
  <c r="L80" i="1"/>
  <c r="I80" i="1"/>
  <c r="J80" i="1" s="1"/>
  <c r="E80" i="1"/>
  <c r="D80" i="1"/>
  <c r="R79" i="1"/>
  <c r="M79" i="1"/>
  <c r="L79" i="1"/>
  <c r="N79" i="1" s="1"/>
  <c r="O79" i="1" s="1"/>
  <c r="Q79" i="1" s="1"/>
  <c r="J79" i="1"/>
  <c r="I79" i="1"/>
  <c r="D79" i="1"/>
  <c r="E79" i="1" s="1"/>
  <c r="R78" i="1"/>
  <c r="N78" i="1"/>
  <c r="M78" i="1"/>
  <c r="O78" i="1" s="1"/>
  <c r="Q78" i="1" s="1"/>
  <c r="L78" i="1"/>
  <c r="I78" i="1"/>
  <c r="J78" i="1" s="1"/>
  <c r="E78" i="1"/>
  <c r="D78" i="1"/>
  <c r="R77" i="1"/>
  <c r="M77" i="1"/>
  <c r="L77" i="1"/>
  <c r="N77" i="1" s="1"/>
  <c r="O77" i="1" s="1"/>
  <c r="Q77" i="1" s="1"/>
  <c r="J77" i="1"/>
  <c r="I77" i="1"/>
  <c r="D77" i="1"/>
  <c r="E77" i="1" s="1"/>
  <c r="R76" i="1"/>
  <c r="N76" i="1"/>
  <c r="M76" i="1"/>
  <c r="O76" i="1" s="1"/>
  <c r="Q76" i="1" s="1"/>
  <c r="L76" i="1"/>
  <c r="I76" i="1"/>
  <c r="J76" i="1" s="1"/>
  <c r="E76" i="1"/>
  <c r="D76" i="1"/>
  <c r="R75" i="1"/>
  <c r="M75" i="1"/>
  <c r="L75" i="1"/>
  <c r="N75" i="1" s="1"/>
  <c r="O75" i="1" s="1"/>
  <c r="Q75" i="1" s="1"/>
  <c r="J75" i="1"/>
  <c r="I75" i="1"/>
  <c r="D75" i="1"/>
  <c r="E75" i="1" s="1"/>
  <c r="R74" i="1"/>
  <c r="N74" i="1"/>
  <c r="M74" i="1"/>
  <c r="O74" i="1" s="1"/>
  <c r="Q74" i="1" s="1"/>
  <c r="L74" i="1"/>
  <c r="I74" i="1"/>
  <c r="J74" i="1" s="1"/>
  <c r="E74" i="1"/>
  <c r="D74" i="1"/>
  <c r="R73" i="1"/>
  <c r="M73" i="1"/>
  <c r="L73" i="1"/>
  <c r="N73" i="1" s="1"/>
  <c r="O73" i="1" s="1"/>
  <c r="Q73" i="1" s="1"/>
  <c r="J73" i="1"/>
  <c r="I73" i="1"/>
  <c r="D73" i="1"/>
  <c r="E73" i="1" s="1"/>
  <c r="R72" i="1"/>
  <c r="N72" i="1"/>
  <c r="M72" i="1"/>
  <c r="O72" i="1" s="1"/>
  <c r="Q72" i="1" s="1"/>
  <c r="L72" i="1"/>
  <c r="I72" i="1"/>
  <c r="J72" i="1" s="1"/>
  <c r="E72" i="1"/>
  <c r="D72" i="1"/>
  <c r="R71" i="1"/>
  <c r="M71" i="1"/>
  <c r="L71" i="1"/>
  <c r="N71" i="1" s="1"/>
  <c r="O71" i="1" s="1"/>
  <c r="Q71" i="1" s="1"/>
  <c r="J71" i="1"/>
  <c r="I71" i="1"/>
  <c r="D71" i="1"/>
  <c r="E71" i="1" s="1"/>
  <c r="R70" i="1"/>
  <c r="N70" i="1"/>
  <c r="M70" i="1"/>
  <c r="O70" i="1" s="1"/>
  <c r="Q70" i="1" s="1"/>
  <c r="L70" i="1"/>
  <c r="I70" i="1"/>
  <c r="J70" i="1" s="1"/>
  <c r="E70" i="1"/>
  <c r="D70" i="1"/>
  <c r="R69" i="1"/>
  <c r="M69" i="1"/>
  <c r="L69" i="1"/>
  <c r="N69" i="1" s="1"/>
  <c r="O69" i="1" s="1"/>
  <c r="Q69" i="1" s="1"/>
  <c r="J69" i="1"/>
  <c r="I69" i="1"/>
  <c r="D69" i="1"/>
  <c r="E69" i="1" s="1"/>
  <c r="R68" i="1"/>
  <c r="N68" i="1"/>
  <c r="M68" i="1"/>
  <c r="O68" i="1" s="1"/>
  <c r="Q68" i="1" s="1"/>
  <c r="L68" i="1"/>
  <c r="I68" i="1"/>
  <c r="J68" i="1" s="1"/>
  <c r="E68" i="1"/>
  <c r="D68" i="1"/>
  <c r="R67" i="1"/>
  <c r="M67" i="1"/>
  <c r="L67" i="1"/>
  <c r="N67" i="1" s="1"/>
  <c r="O67" i="1" s="1"/>
  <c r="Q67" i="1" s="1"/>
  <c r="J67" i="1"/>
  <c r="I67" i="1"/>
  <c r="D67" i="1"/>
  <c r="E67" i="1" s="1"/>
  <c r="R66" i="1"/>
  <c r="N66" i="1"/>
  <c r="M66" i="1"/>
  <c r="O66" i="1" s="1"/>
  <c r="Q66" i="1" s="1"/>
  <c r="L66" i="1"/>
  <c r="I66" i="1"/>
  <c r="J66" i="1" s="1"/>
  <c r="E66" i="1"/>
  <c r="D66" i="1"/>
  <c r="R65" i="1"/>
  <c r="M65" i="1"/>
  <c r="L65" i="1"/>
  <c r="N65" i="1" s="1"/>
  <c r="O65" i="1" s="1"/>
  <c r="Q65" i="1" s="1"/>
  <c r="J65" i="1"/>
  <c r="I65" i="1"/>
  <c r="D65" i="1"/>
  <c r="E65" i="1" s="1"/>
  <c r="R64" i="1"/>
  <c r="N64" i="1"/>
  <c r="M64" i="1"/>
  <c r="O64" i="1" s="1"/>
  <c r="Q64" i="1" s="1"/>
  <c r="L64" i="1"/>
  <c r="I64" i="1"/>
  <c r="J64" i="1" s="1"/>
  <c r="E64" i="1"/>
  <c r="D64" i="1"/>
  <c r="R63" i="1"/>
  <c r="M63" i="1"/>
  <c r="L63" i="1"/>
  <c r="N63" i="1" s="1"/>
  <c r="O63" i="1" s="1"/>
  <c r="Q63" i="1" s="1"/>
  <c r="G63" i="1"/>
  <c r="I63" i="1" s="1"/>
  <c r="J63" i="1" s="1"/>
  <c r="E63" i="1"/>
  <c r="D63" i="1"/>
  <c r="R62" i="1"/>
  <c r="O62" i="1"/>
  <c r="Q62" i="1" s="1"/>
  <c r="N62" i="1"/>
  <c r="M62" i="1"/>
  <c r="L62" i="1"/>
  <c r="J62" i="1"/>
  <c r="I62" i="1"/>
  <c r="D62" i="1"/>
  <c r="E62" i="1" s="1"/>
  <c r="R61" i="1"/>
  <c r="M61" i="1"/>
  <c r="O61" i="1" s="1"/>
  <c r="Q61" i="1" s="1"/>
  <c r="L61" i="1"/>
  <c r="N61" i="1" s="1"/>
  <c r="I61" i="1"/>
  <c r="J61" i="1" s="1"/>
  <c r="E61" i="1"/>
  <c r="D61" i="1"/>
  <c r="R60" i="1"/>
  <c r="O60" i="1"/>
  <c r="Q60" i="1" s="1"/>
  <c r="N60" i="1"/>
  <c r="M60" i="1"/>
  <c r="L60" i="1"/>
  <c r="J60" i="1"/>
  <c r="I60" i="1"/>
  <c r="D60" i="1"/>
  <c r="E60" i="1" s="1"/>
  <c r="R59" i="1"/>
  <c r="M59" i="1"/>
  <c r="L59" i="1"/>
  <c r="N59" i="1" s="1"/>
  <c r="I59" i="1"/>
  <c r="J59" i="1" s="1"/>
  <c r="E59" i="1"/>
  <c r="D59" i="1"/>
  <c r="R58" i="1"/>
  <c r="O58" i="1"/>
  <c r="Q58" i="1" s="1"/>
  <c r="N58" i="1"/>
  <c r="M58" i="1"/>
  <c r="L58" i="1"/>
  <c r="J58" i="1"/>
  <c r="I58" i="1"/>
  <c r="D58" i="1"/>
  <c r="E58" i="1" s="1"/>
  <c r="R57" i="1"/>
  <c r="M57" i="1"/>
  <c r="O57" i="1" s="1"/>
  <c r="Q57" i="1" s="1"/>
  <c r="L57" i="1"/>
  <c r="N57" i="1" s="1"/>
  <c r="I57" i="1"/>
  <c r="J57" i="1" s="1"/>
  <c r="E57" i="1"/>
  <c r="D57" i="1"/>
  <c r="R56" i="1"/>
  <c r="O56" i="1"/>
  <c r="Q56" i="1" s="1"/>
  <c r="N56" i="1"/>
  <c r="M56" i="1"/>
  <c r="L56" i="1"/>
  <c r="J56" i="1"/>
  <c r="I56" i="1"/>
  <c r="E56" i="1"/>
  <c r="D56" i="1"/>
  <c r="R55" i="1"/>
  <c r="M55" i="1"/>
  <c r="O55" i="1" s="1"/>
  <c r="Q55" i="1" s="1"/>
  <c r="L55" i="1"/>
  <c r="N55" i="1" s="1"/>
  <c r="J55" i="1"/>
  <c r="I55" i="1"/>
  <c r="E55" i="1"/>
  <c r="D55" i="1"/>
  <c r="R54" i="1"/>
  <c r="O54" i="1"/>
  <c r="Q54" i="1" s="1"/>
  <c r="N54" i="1"/>
  <c r="M54" i="1"/>
  <c r="L54" i="1"/>
  <c r="J54" i="1"/>
  <c r="I54" i="1"/>
  <c r="E54" i="1"/>
  <c r="D54" i="1"/>
  <c r="R53" i="1"/>
  <c r="M53" i="1"/>
  <c r="O53" i="1" s="1"/>
  <c r="Q53" i="1" s="1"/>
  <c r="L53" i="1"/>
  <c r="N53" i="1" s="1"/>
  <c r="J53" i="1"/>
  <c r="I53" i="1"/>
  <c r="E53" i="1"/>
  <c r="D53" i="1"/>
  <c r="R52" i="1"/>
  <c r="O52" i="1"/>
  <c r="Q52" i="1" s="1"/>
  <c r="N52" i="1"/>
  <c r="M52" i="1"/>
  <c r="L52" i="1"/>
  <c r="J52" i="1"/>
  <c r="I52" i="1"/>
  <c r="E52" i="1"/>
  <c r="D52" i="1"/>
  <c r="R51" i="1"/>
  <c r="M51" i="1"/>
  <c r="O51" i="1" s="1"/>
  <c r="Q51" i="1" s="1"/>
  <c r="L51" i="1"/>
  <c r="N51" i="1" s="1"/>
  <c r="J51" i="1"/>
  <c r="I51" i="1"/>
  <c r="E51" i="1"/>
  <c r="D51" i="1"/>
  <c r="R50" i="1"/>
  <c r="O50" i="1"/>
  <c r="Q50" i="1" s="1"/>
  <c r="N50" i="1"/>
  <c r="M50" i="1"/>
  <c r="L50" i="1"/>
  <c r="J50" i="1"/>
  <c r="I50" i="1"/>
  <c r="E50" i="1"/>
  <c r="D50" i="1"/>
  <c r="R49" i="1"/>
  <c r="M49" i="1"/>
  <c r="O49" i="1" s="1"/>
  <c r="Q49" i="1" s="1"/>
  <c r="L49" i="1"/>
  <c r="N49" i="1" s="1"/>
  <c r="J49" i="1"/>
  <c r="I49" i="1"/>
  <c r="E49" i="1"/>
  <c r="D49" i="1"/>
  <c r="R48" i="1"/>
  <c r="O48" i="1"/>
  <c r="Q48" i="1" s="1"/>
  <c r="N48" i="1"/>
  <c r="M48" i="1"/>
  <c r="L48" i="1"/>
  <c r="J48" i="1"/>
  <c r="I48" i="1"/>
  <c r="E48" i="1"/>
  <c r="D48" i="1"/>
  <c r="R47" i="1"/>
  <c r="M47" i="1"/>
  <c r="O47" i="1" s="1"/>
  <c r="Q47" i="1" s="1"/>
  <c r="L47" i="1"/>
  <c r="N47" i="1" s="1"/>
  <c r="J47" i="1"/>
  <c r="I47" i="1"/>
  <c r="E47" i="1"/>
  <c r="D47" i="1"/>
  <c r="R46" i="1"/>
  <c r="O46" i="1"/>
  <c r="Q46" i="1" s="1"/>
  <c r="N46" i="1"/>
  <c r="M46" i="1"/>
  <c r="L46" i="1"/>
  <c r="J46" i="1"/>
  <c r="I46" i="1"/>
  <c r="E46" i="1"/>
  <c r="D46" i="1"/>
  <c r="R45" i="1"/>
  <c r="M45" i="1"/>
  <c r="O45" i="1" s="1"/>
  <c r="Q45" i="1" s="1"/>
  <c r="L45" i="1"/>
  <c r="N45" i="1" s="1"/>
  <c r="J45" i="1"/>
  <c r="I45" i="1"/>
  <c r="E45" i="1"/>
  <c r="D45" i="1"/>
  <c r="R44" i="1"/>
  <c r="O44" i="1"/>
  <c r="Q44" i="1" s="1"/>
  <c r="N44" i="1"/>
  <c r="M44" i="1"/>
  <c r="L44" i="1"/>
  <c r="J44" i="1"/>
  <c r="I44" i="1"/>
  <c r="E44" i="1"/>
  <c r="D44" i="1"/>
  <c r="R43" i="1"/>
  <c r="M43" i="1"/>
  <c r="O43" i="1" s="1"/>
  <c r="Q43" i="1" s="1"/>
  <c r="L43" i="1"/>
  <c r="N43" i="1" s="1"/>
  <c r="J43" i="1"/>
  <c r="I43" i="1"/>
  <c r="E43" i="1"/>
  <c r="D43" i="1"/>
  <c r="R42" i="1"/>
  <c r="O42" i="1"/>
  <c r="Q42" i="1" s="1"/>
  <c r="N42" i="1"/>
  <c r="M42" i="1"/>
  <c r="L42" i="1"/>
  <c r="J42" i="1"/>
  <c r="I42" i="1"/>
  <c r="E42" i="1"/>
  <c r="D42" i="1"/>
  <c r="R41" i="1"/>
  <c r="M41" i="1"/>
  <c r="O41" i="1" s="1"/>
  <c r="Q41" i="1" s="1"/>
  <c r="L41" i="1"/>
  <c r="N41" i="1" s="1"/>
  <c r="J41" i="1"/>
  <c r="I41" i="1"/>
  <c r="E41" i="1"/>
  <c r="D41" i="1"/>
  <c r="R40" i="1"/>
  <c r="O40" i="1"/>
  <c r="Q40" i="1" s="1"/>
  <c r="N40" i="1"/>
  <c r="M40" i="1"/>
  <c r="L40" i="1"/>
  <c r="J40" i="1"/>
  <c r="I40" i="1"/>
  <c r="E40" i="1"/>
  <c r="D40" i="1"/>
  <c r="R39" i="1"/>
  <c r="M39" i="1"/>
  <c r="O39" i="1" s="1"/>
  <c r="Q39" i="1" s="1"/>
  <c r="L39" i="1"/>
  <c r="N39" i="1" s="1"/>
  <c r="J39" i="1"/>
  <c r="I39" i="1"/>
  <c r="E39" i="1"/>
  <c r="D39" i="1"/>
  <c r="R38" i="1"/>
  <c r="O38" i="1"/>
  <c r="Q38" i="1" s="1"/>
  <c r="N38" i="1"/>
  <c r="M38" i="1"/>
  <c r="L38" i="1"/>
  <c r="J38" i="1"/>
  <c r="I38" i="1"/>
  <c r="E38" i="1"/>
  <c r="D38" i="1"/>
  <c r="R37" i="1"/>
  <c r="M37" i="1"/>
  <c r="O37" i="1" s="1"/>
  <c r="Q37" i="1" s="1"/>
  <c r="L37" i="1"/>
  <c r="N37" i="1" s="1"/>
  <c r="J37" i="1"/>
  <c r="I37" i="1"/>
  <c r="E37" i="1"/>
  <c r="D37" i="1"/>
  <c r="R36" i="1"/>
  <c r="O36" i="1"/>
  <c r="Q36" i="1" s="1"/>
  <c r="N36" i="1"/>
  <c r="M36" i="1"/>
  <c r="L36" i="1"/>
  <c r="J36" i="1"/>
  <c r="I36" i="1"/>
  <c r="E36" i="1"/>
  <c r="D36" i="1"/>
  <c r="R35" i="1"/>
  <c r="M35" i="1"/>
  <c r="O35" i="1" s="1"/>
  <c r="Q35" i="1" s="1"/>
  <c r="L35" i="1"/>
  <c r="N35" i="1" s="1"/>
  <c r="J35" i="1"/>
  <c r="I35" i="1"/>
  <c r="E35" i="1"/>
  <c r="D35" i="1"/>
  <c r="R34" i="1"/>
  <c r="O34" i="1"/>
  <c r="Q34" i="1" s="1"/>
  <c r="N34" i="1"/>
  <c r="M34" i="1"/>
  <c r="L34" i="1"/>
  <c r="J34" i="1"/>
  <c r="I34" i="1"/>
  <c r="E34" i="1"/>
  <c r="D34" i="1"/>
  <c r="R33" i="1"/>
  <c r="M33" i="1"/>
  <c r="O33" i="1" s="1"/>
  <c r="Q33" i="1" s="1"/>
  <c r="L33" i="1"/>
  <c r="N33" i="1" s="1"/>
  <c r="J33" i="1"/>
  <c r="I33" i="1"/>
  <c r="E33" i="1"/>
  <c r="D33" i="1"/>
  <c r="R32" i="1"/>
  <c r="O32" i="1"/>
  <c r="Q32" i="1" s="1"/>
  <c r="N32" i="1"/>
  <c r="M32" i="1"/>
  <c r="L32" i="1"/>
  <c r="J32" i="1"/>
  <c r="I32" i="1"/>
  <c r="E32" i="1"/>
  <c r="D32" i="1"/>
  <c r="R31" i="1"/>
  <c r="M31" i="1"/>
  <c r="O31" i="1" s="1"/>
  <c r="Q31" i="1" s="1"/>
  <c r="L31" i="1"/>
  <c r="N31" i="1" s="1"/>
  <c r="J31" i="1"/>
  <c r="I31" i="1"/>
  <c r="E31" i="1"/>
  <c r="D31" i="1"/>
  <c r="R30" i="1"/>
  <c r="O30" i="1"/>
  <c r="Q30" i="1" s="1"/>
  <c r="N30" i="1"/>
  <c r="M30" i="1"/>
  <c r="L30" i="1"/>
  <c r="J30" i="1"/>
  <c r="I30" i="1"/>
  <c r="E30" i="1"/>
  <c r="D30" i="1"/>
  <c r="R29" i="1"/>
  <c r="M29" i="1"/>
  <c r="O29" i="1" s="1"/>
  <c r="Q29" i="1" s="1"/>
  <c r="L29" i="1"/>
  <c r="N29" i="1" s="1"/>
  <c r="J29" i="1"/>
  <c r="I29" i="1"/>
  <c r="E29" i="1"/>
  <c r="D29" i="1"/>
  <c r="R28" i="1"/>
  <c r="M28" i="1"/>
  <c r="J28" i="1"/>
  <c r="I28" i="1"/>
  <c r="B28" i="1"/>
  <c r="L28" i="1" s="1"/>
  <c r="N28" i="1" s="1"/>
  <c r="O28" i="1" s="1"/>
  <c r="Q28" i="1" s="1"/>
  <c r="R27" i="1"/>
  <c r="N27" i="1"/>
  <c r="M27" i="1"/>
  <c r="O27" i="1" s="1"/>
  <c r="Q27" i="1" s="1"/>
  <c r="L27" i="1"/>
  <c r="I27" i="1"/>
  <c r="J27" i="1" s="1"/>
  <c r="E27" i="1"/>
  <c r="D27" i="1"/>
  <c r="R26" i="1"/>
  <c r="M26" i="1"/>
  <c r="L26" i="1"/>
  <c r="N26" i="1" s="1"/>
  <c r="O26" i="1" s="1"/>
  <c r="Q26" i="1" s="1"/>
  <c r="J26" i="1"/>
  <c r="I26" i="1"/>
  <c r="D26" i="1"/>
  <c r="E26" i="1" s="1"/>
  <c r="R25" i="1"/>
  <c r="N25" i="1"/>
  <c r="M25" i="1"/>
  <c r="O25" i="1" s="1"/>
  <c r="Q25" i="1" s="1"/>
  <c r="L25" i="1"/>
  <c r="I25" i="1"/>
  <c r="J25" i="1" s="1"/>
  <c r="E25" i="1"/>
  <c r="D25" i="1"/>
  <c r="R24" i="1"/>
  <c r="M24" i="1"/>
  <c r="L24" i="1"/>
  <c r="N24" i="1" s="1"/>
  <c r="O24" i="1" s="1"/>
  <c r="Q24" i="1" s="1"/>
  <c r="J24" i="1"/>
  <c r="I24" i="1"/>
  <c r="D24" i="1"/>
  <c r="E24" i="1" s="1"/>
  <c r="R23" i="1"/>
  <c r="N23" i="1"/>
  <c r="M23" i="1"/>
  <c r="O23" i="1" s="1"/>
  <c r="Q23" i="1" s="1"/>
  <c r="L23" i="1"/>
  <c r="I23" i="1"/>
  <c r="J23" i="1" s="1"/>
  <c r="E23" i="1"/>
  <c r="D23" i="1"/>
  <c r="R22" i="1"/>
  <c r="M22" i="1"/>
  <c r="L22" i="1"/>
  <c r="N22" i="1" s="1"/>
  <c r="O22" i="1" s="1"/>
  <c r="Q22" i="1" s="1"/>
  <c r="J22" i="1"/>
  <c r="I22" i="1"/>
  <c r="D22" i="1"/>
  <c r="E22" i="1" s="1"/>
  <c r="R21" i="1"/>
  <c r="N21" i="1"/>
  <c r="M21" i="1"/>
  <c r="O21" i="1" s="1"/>
  <c r="Q21" i="1" s="1"/>
  <c r="L21" i="1"/>
  <c r="I21" i="1"/>
  <c r="J21" i="1" s="1"/>
  <c r="E21" i="1"/>
  <c r="D21" i="1"/>
  <c r="R20" i="1"/>
  <c r="M20" i="1"/>
  <c r="L20" i="1"/>
  <c r="N20" i="1" s="1"/>
  <c r="O20" i="1" s="1"/>
  <c r="Q20" i="1" s="1"/>
  <c r="J20" i="1"/>
  <c r="I20" i="1"/>
  <c r="D20" i="1"/>
  <c r="E20" i="1" s="1"/>
  <c r="R19" i="1"/>
  <c r="N19" i="1"/>
  <c r="M19" i="1"/>
  <c r="O19" i="1" s="1"/>
  <c r="Q19" i="1" s="1"/>
  <c r="L19" i="1"/>
  <c r="I19" i="1"/>
  <c r="J19" i="1" s="1"/>
  <c r="E19" i="1"/>
  <c r="D19" i="1"/>
  <c r="R18" i="1"/>
  <c r="M18" i="1"/>
  <c r="L18" i="1"/>
  <c r="N18" i="1" s="1"/>
  <c r="O18" i="1" s="1"/>
  <c r="Q18" i="1" s="1"/>
  <c r="J18" i="1"/>
  <c r="I18" i="1"/>
  <c r="D18" i="1"/>
  <c r="E18" i="1" s="1"/>
  <c r="R17" i="1"/>
  <c r="N17" i="1"/>
  <c r="M17" i="1"/>
  <c r="O17" i="1" s="1"/>
  <c r="Q17" i="1" s="1"/>
  <c r="L17" i="1"/>
  <c r="I17" i="1"/>
  <c r="J17" i="1" s="1"/>
  <c r="E17" i="1"/>
  <c r="D17" i="1"/>
  <c r="R16" i="1"/>
  <c r="M16" i="1"/>
  <c r="L16" i="1"/>
  <c r="N16" i="1" s="1"/>
  <c r="O16" i="1" s="1"/>
  <c r="Q16" i="1" s="1"/>
  <c r="J16" i="1"/>
  <c r="I16" i="1"/>
  <c r="D16" i="1"/>
  <c r="E16" i="1" s="1"/>
  <c r="R15" i="1"/>
  <c r="N15" i="1"/>
  <c r="M15" i="1"/>
  <c r="O15" i="1" s="1"/>
  <c r="Q15" i="1" s="1"/>
  <c r="L15" i="1"/>
  <c r="I15" i="1"/>
  <c r="J15" i="1" s="1"/>
  <c r="E15" i="1"/>
  <c r="D15" i="1"/>
  <c r="R14" i="1"/>
  <c r="M14" i="1"/>
  <c r="L14" i="1"/>
  <c r="N14" i="1" s="1"/>
  <c r="O14" i="1" s="1"/>
  <c r="Q14" i="1" s="1"/>
  <c r="J14" i="1"/>
  <c r="I14" i="1"/>
  <c r="D14" i="1"/>
  <c r="E14" i="1" s="1"/>
  <c r="R13" i="1"/>
  <c r="N13" i="1"/>
  <c r="M13" i="1"/>
  <c r="O13" i="1" s="1"/>
  <c r="Q13" i="1" s="1"/>
  <c r="L13" i="1"/>
  <c r="I13" i="1"/>
  <c r="J13" i="1" s="1"/>
  <c r="E13" i="1"/>
  <c r="D13" i="1"/>
  <c r="R12" i="1"/>
  <c r="M12" i="1"/>
  <c r="L12" i="1"/>
  <c r="N12" i="1" s="1"/>
  <c r="O12" i="1" s="1"/>
  <c r="Q12" i="1" s="1"/>
  <c r="J12" i="1"/>
  <c r="I12" i="1"/>
  <c r="D12" i="1"/>
  <c r="E12" i="1" s="1"/>
  <c r="R11" i="1"/>
  <c r="N11" i="1"/>
  <c r="M11" i="1"/>
  <c r="O11" i="1" s="1"/>
  <c r="Q11" i="1" s="1"/>
  <c r="L11" i="1"/>
  <c r="I11" i="1"/>
  <c r="J11" i="1" s="1"/>
  <c r="E11" i="1"/>
  <c r="D11" i="1"/>
  <c r="R10" i="1"/>
  <c r="M10" i="1"/>
  <c r="L10" i="1"/>
  <c r="N10" i="1" s="1"/>
  <c r="O10" i="1" s="1"/>
  <c r="Q10" i="1" s="1"/>
  <c r="J10" i="1"/>
  <c r="I10" i="1"/>
  <c r="D10" i="1"/>
  <c r="E10" i="1" s="1"/>
  <c r="R9" i="1"/>
  <c r="N9" i="1"/>
  <c r="M9" i="1"/>
  <c r="O9" i="1" s="1"/>
  <c r="Q9" i="1" s="1"/>
  <c r="L9" i="1"/>
  <c r="I9" i="1"/>
  <c r="J9" i="1" s="1"/>
  <c r="E9" i="1"/>
  <c r="D9" i="1"/>
  <c r="R8" i="1"/>
  <c r="M8" i="1"/>
  <c r="L8" i="1"/>
  <c r="N8" i="1" s="1"/>
  <c r="O8" i="1" s="1"/>
  <c r="Q8" i="1" s="1"/>
  <c r="J8" i="1"/>
  <c r="I8" i="1"/>
  <c r="D8" i="1"/>
  <c r="E8" i="1" s="1"/>
  <c r="R7" i="1"/>
  <c r="N7" i="1"/>
  <c r="M7" i="1"/>
  <c r="O7" i="1" s="1"/>
  <c r="Q7" i="1" s="1"/>
  <c r="L7" i="1"/>
  <c r="I7" i="1"/>
  <c r="J7" i="1" s="1"/>
  <c r="E7" i="1"/>
  <c r="D7" i="1"/>
  <c r="R6" i="1"/>
  <c r="M6" i="1"/>
  <c r="L6" i="1"/>
  <c r="N6" i="1" s="1"/>
  <c r="O6" i="1" s="1"/>
  <c r="Q6" i="1" s="1"/>
  <c r="J6" i="1"/>
  <c r="I6" i="1"/>
  <c r="D6" i="1"/>
  <c r="E6" i="1" s="1"/>
  <c r="R5" i="1"/>
  <c r="N5" i="1"/>
  <c r="M5" i="1"/>
  <c r="O5" i="1" s="1"/>
  <c r="Q5" i="1" s="1"/>
  <c r="L5" i="1"/>
  <c r="I5" i="1"/>
  <c r="J5" i="1" s="1"/>
  <c r="E5" i="1"/>
  <c r="D5" i="1"/>
  <c r="R4" i="1"/>
  <c r="M4" i="1"/>
  <c r="L4" i="1"/>
  <c r="N4" i="1" s="1"/>
  <c r="O4" i="1" s="1"/>
  <c r="Q4" i="1" s="1"/>
  <c r="J4" i="1"/>
  <c r="I4" i="1"/>
  <c r="D4" i="1"/>
  <c r="E4" i="1" s="1"/>
  <c r="R3" i="1"/>
  <c r="N3" i="1"/>
  <c r="M3" i="1"/>
  <c r="O3" i="1" s="1"/>
  <c r="Q3" i="1" s="1"/>
  <c r="L3" i="1"/>
  <c r="I3" i="1"/>
  <c r="J3" i="1" s="1"/>
  <c r="E3" i="1"/>
  <c r="D3" i="1"/>
  <c r="R2" i="1"/>
  <c r="M2" i="1"/>
  <c r="L2" i="1"/>
  <c r="N2" i="1" s="1"/>
  <c r="O2" i="1" s="1"/>
  <c r="Q2" i="1" s="1"/>
  <c r="J2" i="1"/>
  <c r="I2" i="1"/>
  <c r="D2" i="1"/>
  <c r="E2" i="1" s="1"/>
  <c r="O154" i="1" l="1"/>
  <c r="Q154" i="1" s="1"/>
  <c r="O158" i="1"/>
  <c r="Q158" i="1" s="1"/>
  <c r="O162" i="1"/>
  <c r="Q162" i="1" s="1"/>
  <c r="O166" i="1"/>
  <c r="Q166" i="1" s="1"/>
  <c r="O170" i="1"/>
  <c r="Q170" i="1" s="1"/>
  <c r="O174" i="1"/>
  <c r="Q174" i="1" s="1"/>
  <c r="O178" i="1"/>
  <c r="Q178" i="1" s="1"/>
  <c r="O233" i="1"/>
  <c r="Q233" i="1" s="1"/>
  <c r="O59" i="1"/>
  <c r="Q59" i="1" s="1"/>
  <c r="D28" i="1"/>
  <c r="E28" i="1" s="1"/>
  <c r="I116" i="1"/>
  <c r="J116" i="1" s="1"/>
  <c r="O255" i="1"/>
  <c r="Q255" i="1" s="1"/>
  <c r="O257" i="1"/>
  <c r="Q257" i="1" s="1"/>
  <c r="N259" i="1"/>
  <c r="N225" i="1"/>
  <c r="O225" i="1" s="1"/>
  <c r="Q225" i="1" s="1"/>
  <c r="N229" i="1"/>
  <c r="O229" i="1" s="1"/>
  <c r="Q229" i="1" s="1"/>
  <c r="N233" i="1"/>
  <c r="N237" i="1"/>
  <c r="O237" i="1" s="1"/>
  <c r="Q237" i="1" s="1"/>
  <c r="N241" i="1"/>
  <c r="O241" i="1" s="1"/>
  <c r="Q241" i="1" s="1"/>
  <c r="N245" i="1"/>
  <c r="O245" i="1" s="1"/>
  <c r="Q245" i="1" s="1"/>
  <c r="N249" i="1"/>
  <c r="O249" i="1" s="1"/>
  <c r="Q249" i="1" s="1"/>
  <c r="N253" i="1"/>
  <c r="O253" i="1" s="1"/>
  <c r="Q253" i="1" s="1"/>
  <c r="O259" i="1"/>
  <c r="Q259" i="1" s="1"/>
  <c r="N261" i="1"/>
  <c r="O261" i="1" s="1"/>
  <c r="Q261" i="1" s="1"/>
  <c r="AA84" i="2"/>
  <c r="AC84" i="2" s="1"/>
  <c r="AA92" i="2"/>
  <c r="AC92" i="2" s="1"/>
  <c r="AA100" i="2"/>
  <c r="AC100" i="2" s="1"/>
  <c r="AA108" i="2"/>
  <c r="AC108" i="2" s="1"/>
  <c r="AA82" i="2"/>
  <c r="AC82" i="2" s="1"/>
  <c r="AA90" i="2"/>
  <c r="AC90" i="2" s="1"/>
  <c r="AA98" i="2"/>
  <c r="AC98" i="2" s="1"/>
  <c r="AA106" i="2"/>
  <c r="AC106" i="2" s="1"/>
  <c r="D38" i="3"/>
  <c r="F38" i="3" s="1"/>
  <c r="D63" i="3"/>
  <c r="F63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" authorId="0" shapeId="0" xr:uid="{00000000-0006-0000-0400-000001000000}">
      <text>
        <r>
          <rPr>
            <sz val="11"/>
            <color theme="1"/>
            <rFont val="Calibri"/>
            <scheme val="minor"/>
          </rPr>
          <t xml:space="preserve">excluding printing
</t>
        </r>
      </text>
    </comment>
  </commentList>
</comments>
</file>

<file path=xl/sharedStrings.xml><?xml version="1.0" encoding="utf-8"?>
<sst xmlns="http://schemas.openxmlformats.org/spreadsheetml/2006/main" count="71" uniqueCount="61">
  <si>
    <t>DATE</t>
  </si>
  <si>
    <t xml:space="preserve"> QTY (3L) - PROD.</t>
  </si>
  <si>
    <t>WASTAGE (3L)</t>
  </si>
  <si>
    <t>INPUT (3L)</t>
  </si>
  <si>
    <t>WASTAGE % (3L)</t>
  </si>
  <si>
    <t>QTY (5L) - PROD.</t>
  </si>
  <si>
    <t>WASTAGE (5L)</t>
  </si>
  <si>
    <t>INPUT (5L)</t>
  </si>
  <si>
    <t>WASTAGE % (5L)</t>
  </si>
  <si>
    <t>TOTAL QTY</t>
  </si>
  <si>
    <t>TOTAL WASTAGE (EXT)</t>
  </si>
  <si>
    <t xml:space="preserve">TOTAL INPUT </t>
  </si>
  <si>
    <t>TOTAL WASTAGE % (EXT)</t>
  </si>
  <si>
    <t>MAX. ALLOWED WASTAGE % (EXT)</t>
  </si>
  <si>
    <t>VARIANCE % (EXT)</t>
  </si>
  <si>
    <t>Average % (past 30 days)</t>
  </si>
  <si>
    <t>REASON</t>
  </si>
  <si>
    <t xml:space="preserve">INPECTION </t>
  </si>
  <si>
    <t>QTY (INSP)</t>
  </si>
  <si>
    <t>WASTAGE (INSP)</t>
  </si>
  <si>
    <t>WASTAGE % (INSP)</t>
  </si>
  <si>
    <t>MAX. ALLOWED WASTAGE % (INSP)</t>
  </si>
  <si>
    <t>VARIANCE % (INSP)</t>
  </si>
  <si>
    <t>Average % (past 30 days)- INSP.</t>
  </si>
  <si>
    <t>REMARKS</t>
  </si>
  <si>
    <t>SLITTING</t>
  </si>
  <si>
    <t>CO-EX QTY (SLITT-CO EX)</t>
  </si>
  <si>
    <t>WASTAGE (SLITT-CO EX)</t>
  </si>
  <si>
    <t>TOTAL WASTAGE % (SLITT--CO EX)</t>
  </si>
  <si>
    <t>MAX. ALLOWED WASTAGE % (SLITT--CO EX)</t>
  </si>
  <si>
    <t>VARIANCE % (SLITT--CO EX)</t>
  </si>
  <si>
    <t>Average % (past 30 days) - (SLITT--CO EX)</t>
  </si>
  <si>
    <t>LAMINATE QTY (SLITT-LAM)</t>
  </si>
  <si>
    <t>WASTAGE (SLITT-LAM)</t>
  </si>
  <si>
    <t>TOTAL WASTAGE % (SLITT--LAM)</t>
  </si>
  <si>
    <t>MAX. ALLOWED WASTAGE % (SLITT--LAM)</t>
  </si>
  <si>
    <t>VARIANCE % (SLITT--LAM)</t>
  </si>
  <si>
    <t>Average % (past 30 days) - (SLITT--LAM)</t>
  </si>
  <si>
    <t>TOTAL QTY (SLITT)</t>
  </si>
  <si>
    <t>TOTAL WASTAGE (SLITT)</t>
  </si>
  <si>
    <t>TOTAL WASTAGE % (SLITT)</t>
  </si>
  <si>
    <t>MAX. ALLOWED WASTAGE % (SLITT)</t>
  </si>
  <si>
    <t>VARIANCE % (SLITT)</t>
  </si>
  <si>
    <t>Average % (past 30 days) -SLITT</t>
  </si>
  <si>
    <t>QTY (POUCHING)</t>
  </si>
  <si>
    <t>WASTAGE (POUCHING)</t>
  </si>
  <si>
    <t>WASTAGE % (POUCHING)</t>
  </si>
  <si>
    <t>MAX. ALLOWED WASTAGE % (POUCH)</t>
  </si>
  <si>
    <t>VARIANCE % (POUCH)</t>
  </si>
  <si>
    <t>Average (past 30 days)</t>
  </si>
  <si>
    <t>QTY (PVC)</t>
  </si>
  <si>
    <t>WASTAGE (PVC)</t>
  </si>
  <si>
    <t>WASTAGE % (PVC)</t>
  </si>
  <si>
    <t>MAX. ALLOWED WASTAGE % (PVC)</t>
  </si>
  <si>
    <t>VARIANCE % (PVC)</t>
  </si>
  <si>
    <t>QTY (WPP)</t>
  </si>
  <si>
    <t>WASTAGE (WPP)</t>
  </si>
  <si>
    <t>PRODUCTION (WPP)</t>
  </si>
  <si>
    <t>WASTAGE % (WPP)</t>
  </si>
  <si>
    <t>MAX. ALLOWED WASTAGE % (WPP)</t>
  </si>
  <si>
    <t>VARIANCE % (WPP)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</si>
</sst>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&gt;=10000000]##\,##\,##\,##0.00;[&gt;=100000]##\,##\,##0.00;##,##0.00"/>
    <numFmt numFmtId="165" formatCode="d&quot;/&quot;m&quot;/&quot;yy"/>
    <numFmt numFmtId="166" formatCode="m/d/yyyy"/>
    <numFmt numFmtId="167" formatCode="[&gt;=10000000]##\,##\,##\,##0;[&gt;=100000]##\,##\,##0;##,##0"/>
  </numFmts>
  <fonts count="10" x14ac:knownFonts="1">
    <font>
      <sz val="11"/>
      <color theme="1"/>
      <name val="Calibri"/>
      <scheme val="minor"/>
    </font>
    <font>
      <b/>
      <sz val="9"/>
      <color theme="1"/>
      <name val="Bookman Old Style"/>
    </font>
    <font>
      <b/>
      <i/>
      <sz val="9"/>
      <color rgb="FF9900FF"/>
      <name val="Bookman Old Style"/>
    </font>
    <font>
      <b/>
      <i/>
      <sz val="9"/>
      <color rgb="FF0000FF"/>
      <name val="Bookman Old Style"/>
    </font>
    <font>
      <b/>
      <i/>
      <sz val="9"/>
      <color rgb="FFFF0000"/>
      <name val="Bookman Old Style"/>
    </font>
    <font>
      <b/>
      <i/>
      <sz val="9"/>
      <color rgb="FF4A86E8"/>
      <name val="Bookman Old Style"/>
    </font>
    <font>
      <sz val="9"/>
      <color theme="1"/>
      <name val="Bookman Old Style"/>
    </font>
    <font>
      <i/>
      <sz val="9"/>
      <color rgb="FF9900FF"/>
      <name val="Bookman Old Style"/>
    </font>
    <font>
      <i/>
      <sz val="9"/>
      <color rgb="FF0000FF"/>
      <name val="Bookman Old Style"/>
    </font>
    <font>
      <i/>
      <sz val="9"/>
      <color rgb="FFFF0000"/>
      <name val="Bookman Old Style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9900"/>
        <bgColor rgb="FFFF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164" fontId="2" fillId="3" borderId="0" xfId="0" applyNumberFormat="1" applyFont="1" applyFill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164" fontId="5" fillId="3" borderId="0" xfId="0" applyNumberFormat="1" applyFont="1" applyFill="1" applyAlignment="1">
      <alignment horizontal="center" vertical="center" wrapText="1"/>
    </xf>
    <xf numFmtId="165" fontId="6" fillId="4" borderId="0" xfId="0" applyNumberFormat="1" applyFont="1" applyFill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 wrapText="1"/>
    </xf>
    <xf numFmtId="164" fontId="6" fillId="2" borderId="0" xfId="0" applyNumberFormat="1" applyFont="1" applyFill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 wrapText="1"/>
    </xf>
    <xf numFmtId="166" fontId="1" fillId="0" borderId="0" xfId="0" applyNumberFormat="1" applyFont="1" applyAlignment="1">
      <alignment horizontal="center" vertical="center" wrapText="1"/>
    </xf>
    <xf numFmtId="164" fontId="3" fillId="3" borderId="0" xfId="0" applyNumberFormat="1" applyFont="1" applyFill="1" applyAlignment="1">
      <alignment horizontal="center" vertical="center" wrapText="1"/>
    </xf>
    <xf numFmtId="164" fontId="1" fillId="5" borderId="0" xfId="0" applyNumberFormat="1" applyFont="1" applyFill="1" applyAlignment="1">
      <alignment horizontal="center" vertical="center" wrapText="1"/>
    </xf>
    <xf numFmtId="164" fontId="1" fillId="6" borderId="0" xfId="0" applyNumberFormat="1" applyFont="1" applyFill="1" applyAlignment="1">
      <alignment horizontal="center" vertical="center" wrapText="1"/>
    </xf>
    <xf numFmtId="167" fontId="1" fillId="0" borderId="0" xfId="0" applyNumberFormat="1" applyFont="1" applyAlignment="1">
      <alignment horizontal="center" vertical="center" wrapText="1"/>
    </xf>
    <xf numFmtId="167" fontId="6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4.42578125" defaultRowHeight="15" customHeight="1" x14ac:dyDescent="0.25"/>
  <cols>
    <col min="1" max="1" width="10.5703125" customWidth="1"/>
    <col min="2" max="2" width="12.28515625" customWidth="1"/>
    <col min="3" max="4" width="10.140625" customWidth="1"/>
    <col min="5" max="5" width="10.5703125" customWidth="1"/>
    <col min="6" max="6" width="1.7109375" customWidth="1"/>
    <col min="7" max="7" width="10.28515625" customWidth="1"/>
    <col min="8" max="9" width="10.140625" customWidth="1"/>
    <col min="10" max="10" width="12.28515625" customWidth="1"/>
    <col min="11" max="11" width="1.7109375" customWidth="1"/>
    <col min="12" max="12" width="11.7109375" customWidth="1"/>
    <col min="13" max="14" width="10.140625" customWidth="1"/>
    <col min="15" max="15" width="13.42578125" customWidth="1"/>
    <col min="16" max="16" width="13.140625" customWidth="1"/>
    <col min="17" max="17" width="13.28515625" customWidth="1"/>
    <col min="18" max="19" width="11.85546875" customWidth="1"/>
  </cols>
  <sheetData>
    <row r="1" spans="1:19" ht="48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/>
      <c r="G1" s="2" t="s">
        <v>5</v>
      </c>
      <c r="H1" s="2" t="s">
        <v>6</v>
      </c>
      <c r="I1" s="2" t="s">
        <v>7</v>
      </c>
      <c r="J1" s="3" t="s">
        <v>8</v>
      </c>
      <c r="K1" s="4"/>
      <c r="L1" s="2" t="s">
        <v>9</v>
      </c>
      <c r="M1" s="2" t="s">
        <v>10</v>
      </c>
      <c r="N1" s="2" t="s">
        <v>11</v>
      </c>
      <c r="O1" s="5" t="s">
        <v>12</v>
      </c>
      <c r="P1" s="6" t="s">
        <v>13</v>
      </c>
      <c r="Q1" s="7" t="s">
        <v>14</v>
      </c>
      <c r="R1" s="8" t="s">
        <v>15</v>
      </c>
      <c r="S1" s="7" t="s">
        <v>16</v>
      </c>
    </row>
    <row r="2" spans="1:19" x14ac:dyDescent="0.25">
      <c r="A2" s="9">
        <v>45901</v>
      </c>
      <c r="B2" s="10">
        <v>5478</v>
      </c>
      <c r="C2" s="10">
        <v>157</v>
      </c>
      <c r="D2" s="10">
        <f t="shared" ref="D2:D256" si="0">B2+C2</f>
        <v>5635</v>
      </c>
      <c r="E2" s="11">
        <f t="shared" ref="E2:E256" si="1">C2/D2%</f>
        <v>2.7861579414374447</v>
      </c>
      <c r="F2" s="12"/>
      <c r="G2" s="10">
        <v>5030</v>
      </c>
      <c r="H2" s="10">
        <v>69</v>
      </c>
      <c r="I2" s="10">
        <f t="shared" ref="I2:I256" si="2">G2+H2</f>
        <v>5099</v>
      </c>
      <c r="J2" s="11">
        <f t="shared" ref="J2:J256" si="3">H2/I2%</f>
        <v>1.353206511080604</v>
      </c>
      <c r="K2" s="12"/>
      <c r="L2" s="10">
        <f t="shared" ref="L2:M2" si="4">B2+G2</f>
        <v>10508</v>
      </c>
      <c r="M2" s="10">
        <f t="shared" si="4"/>
        <v>226</v>
      </c>
      <c r="N2" s="10">
        <f t="shared" ref="N2:N256" si="5">L2+M2</f>
        <v>10734</v>
      </c>
      <c r="O2" s="11">
        <f t="shared" ref="O2:O256" si="6">M2/N2%</f>
        <v>2.1054592882429661</v>
      </c>
      <c r="P2" s="13">
        <v>1.8</v>
      </c>
      <c r="Q2" s="14">
        <f t="shared" ref="Q2:Q256" si="7">P2-O2</f>
        <v>-0.30545928824296609</v>
      </c>
      <c r="R2" s="14">
        <f ca="1">IFERROR(__xludf.DUMMYFUNCTION("IFERROR(
  AVERAGE(
    FILTER(
      $O$2:O2,
      $A$2:A2 &gt;= A2 - 30,
      $A$2:A2 &lt;= A2,
      $O$2:O2 &gt; 0
    )
  ),
"""")"),2.10545928824296)</f>
        <v>2.1054592882429599</v>
      </c>
      <c r="S2" s="14"/>
    </row>
    <row r="3" spans="1:19" x14ac:dyDescent="0.25">
      <c r="A3" s="9">
        <v>45902</v>
      </c>
      <c r="B3" s="10">
        <v>4960</v>
      </c>
      <c r="C3" s="10">
        <v>221</v>
      </c>
      <c r="D3" s="10">
        <f t="shared" si="0"/>
        <v>5181</v>
      </c>
      <c r="E3" s="11">
        <f t="shared" si="1"/>
        <v>4.2655857942482145</v>
      </c>
      <c r="F3" s="12"/>
      <c r="G3" s="10">
        <v>5803</v>
      </c>
      <c r="H3" s="10">
        <v>47</v>
      </c>
      <c r="I3" s="10">
        <f t="shared" si="2"/>
        <v>5850</v>
      </c>
      <c r="J3" s="11">
        <f t="shared" si="3"/>
        <v>0.80341880341880345</v>
      </c>
      <c r="K3" s="12"/>
      <c r="L3" s="10">
        <f t="shared" ref="L3:M3" si="8">B3+G3</f>
        <v>10763</v>
      </c>
      <c r="M3" s="10">
        <f t="shared" si="8"/>
        <v>268</v>
      </c>
      <c r="N3" s="10">
        <f t="shared" si="5"/>
        <v>11031</v>
      </c>
      <c r="O3" s="11">
        <f t="shared" si="6"/>
        <v>2.4295168162451275</v>
      </c>
      <c r="P3" s="13">
        <v>1.8</v>
      </c>
      <c r="Q3" s="14">
        <f t="shared" si="7"/>
        <v>-0.62951681624512745</v>
      </c>
      <c r="R3" s="14">
        <f ca="1">IFERROR(__xludf.DUMMYFUNCTION("IFERROR(
  AVERAGE(
    FILTER(
      $O$2:O3,
      $A$2:A3 &gt;= A3 - 30,
      $A$2:A3 &lt;= A3,
      $O$2:O3 &gt; 0
    )
  ),
"""")"),2.26748805224404)</f>
        <v>2.2674880522440399</v>
      </c>
      <c r="S3" s="14"/>
    </row>
    <row r="4" spans="1:19" x14ac:dyDescent="0.25">
      <c r="A4" s="9">
        <v>45903</v>
      </c>
      <c r="B4" s="10">
        <v>5464</v>
      </c>
      <c r="C4" s="10">
        <v>116</v>
      </c>
      <c r="D4" s="10">
        <f t="shared" si="0"/>
        <v>5580</v>
      </c>
      <c r="E4" s="11">
        <f t="shared" si="1"/>
        <v>2.0788530465949822</v>
      </c>
      <c r="F4" s="12"/>
      <c r="G4" s="10">
        <v>4762</v>
      </c>
      <c r="H4" s="10">
        <v>191</v>
      </c>
      <c r="I4" s="10">
        <f t="shared" si="2"/>
        <v>4953</v>
      </c>
      <c r="J4" s="11">
        <f t="shared" si="3"/>
        <v>3.8562487381385018</v>
      </c>
      <c r="K4" s="12"/>
      <c r="L4" s="10">
        <f t="shared" ref="L4:M4" si="9">B4+G4</f>
        <v>10226</v>
      </c>
      <c r="M4" s="10">
        <f t="shared" si="9"/>
        <v>307</v>
      </c>
      <c r="N4" s="10">
        <f t="shared" si="5"/>
        <v>10533</v>
      </c>
      <c r="O4" s="11">
        <f t="shared" si="6"/>
        <v>2.9146491977594229</v>
      </c>
      <c r="P4" s="13">
        <v>1.8</v>
      </c>
      <c r="Q4" s="14">
        <f t="shared" si="7"/>
        <v>-1.1146491977594228</v>
      </c>
      <c r="R4" s="14">
        <f ca="1">IFERROR(__xludf.DUMMYFUNCTION("IFERROR(
  AVERAGE(
    FILTER(
      $O$2:O4,
      $A$2:A4 &gt;= A4 - 30,
      $A$2:A4 &lt;= A4,
      $O$2:O4 &gt; 0
    )
  ),
"""")"),2.4832084340825)</f>
        <v>2.4832084340825</v>
      </c>
      <c r="S4" s="14"/>
    </row>
    <row r="5" spans="1:19" x14ac:dyDescent="0.25">
      <c r="A5" s="9">
        <v>45904</v>
      </c>
      <c r="B5" s="10">
        <v>5272</v>
      </c>
      <c r="C5" s="10">
        <v>52</v>
      </c>
      <c r="D5" s="10">
        <f t="shared" si="0"/>
        <v>5324</v>
      </c>
      <c r="E5" s="11">
        <f t="shared" si="1"/>
        <v>0.97670924117205105</v>
      </c>
      <c r="F5" s="12"/>
      <c r="G5" s="10">
        <v>3605</v>
      </c>
      <c r="H5" s="10">
        <v>76</v>
      </c>
      <c r="I5" s="10">
        <f t="shared" si="2"/>
        <v>3681</v>
      </c>
      <c r="J5" s="11">
        <f t="shared" si="3"/>
        <v>2.0646563433849496</v>
      </c>
      <c r="K5" s="12"/>
      <c r="L5" s="10">
        <f t="shared" ref="L5:M5" si="10">B5+G5</f>
        <v>8877</v>
      </c>
      <c r="M5" s="10">
        <f t="shared" si="10"/>
        <v>128</v>
      </c>
      <c r="N5" s="10">
        <f t="shared" si="5"/>
        <v>9005</v>
      </c>
      <c r="O5" s="11">
        <f t="shared" si="6"/>
        <v>1.4214325374791783</v>
      </c>
      <c r="P5" s="13">
        <v>1.8</v>
      </c>
      <c r="Q5" s="14">
        <f t="shared" si="7"/>
        <v>0.37856746252082174</v>
      </c>
      <c r="R5" s="14">
        <f ca="1">IFERROR(__xludf.DUMMYFUNCTION("IFERROR(
  AVERAGE(
    FILTER(
      $O$2:O5,
      $A$2:A5 &gt;= A5 - 30,
      $A$2:A5 &lt;= A5,
      $O$2:O5 &gt; 0
    )
  ),
"""")"),2.21776445993167)</f>
        <v>2.2177644599316699</v>
      </c>
      <c r="S5" s="14"/>
    </row>
    <row r="6" spans="1:19" x14ac:dyDescent="0.25">
      <c r="A6" s="9">
        <v>45905</v>
      </c>
      <c r="B6" s="10">
        <v>5576</v>
      </c>
      <c r="C6" s="10">
        <v>99</v>
      </c>
      <c r="D6" s="10">
        <f t="shared" si="0"/>
        <v>5675</v>
      </c>
      <c r="E6" s="11">
        <f t="shared" si="1"/>
        <v>1.7444933920704846</v>
      </c>
      <c r="F6" s="12"/>
      <c r="G6" s="10">
        <v>1420</v>
      </c>
      <c r="H6" s="10">
        <v>10</v>
      </c>
      <c r="I6" s="10">
        <f t="shared" si="2"/>
        <v>1430</v>
      </c>
      <c r="J6" s="11">
        <f t="shared" si="3"/>
        <v>0.69930069930069927</v>
      </c>
      <c r="K6" s="12"/>
      <c r="L6" s="10">
        <f t="shared" ref="L6:M6" si="11">B6+G6</f>
        <v>6996</v>
      </c>
      <c r="M6" s="10">
        <f t="shared" si="11"/>
        <v>109</v>
      </c>
      <c r="N6" s="10">
        <f t="shared" si="5"/>
        <v>7105</v>
      </c>
      <c r="O6" s="11">
        <f t="shared" si="6"/>
        <v>1.5341308937368052</v>
      </c>
      <c r="P6" s="13">
        <v>1.8</v>
      </c>
      <c r="Q6" s="14">
        <f t="shared" si="7"/>
        <v>0.26586910626319482</v>
      </c>
      <c r="R6" s="14">
        <f ca="1">IFERROR(__xludf.DUMMYFUNCTION("IFERROR(
  AVERAGE(
    FILTER(
      $O$2:O6,
      $A$2:A6 &gt;= A6 - 30,
      $A$2:A6 &lt;= A6,
      $O$2:O6 &gt; 0
    )
  ),
"""")"),2.0810377466927)</f>
        <v>2.0810377466926999</v>
      </c>
      <c r="S6" s="14"/>
    </row>
    <row r="7" spans="1:19" x14ac:dyDescent="0.25">
      <c r="A7" s="9">
        <v>45906</v>
      </c>
      <c r="B7" s="10">
        <v>4238</v>
      </c>
      <c r="C7" s="10">
        <v>94</v>
      </c>
      <c r="D7" s="10">
        <f t="shared" si="0"/>
        <v>4332</v>
      </c>
      <c r="E7" s="11">
        <f t="shared" si="1"/>
        <v>2.1698984302862421</v>
      </c>
      <c r="F7" s="12"/>
      <c r="G7" s="10">
        <v>1529</v>
      </c>
      <c r="H7" s="10">
        <v>28</v>
      </c>
      <c r="I7" s="10">
        <f t="shared" si="2"/>
        <v>1557</v>
      </c>
      <c r="J7" s="11">
        <f t="shared" si="3"/>
        <v>1.798330122029544</v>
      </c>
      <c r="K7" s="12"/>
      <c r="L7" s="10">
        <f t="shared" ref="L7:M7" si="12">B7+G7</f>
        <v>5767</v>
      </c>
      <c r="M7" s="10">
        <f t="shared" si="12"/>
        <v>122</v>
      </c>
      <c r="N7" s="10">
        <f t="shared" si="5"/>
        <v>5889</v>
      </c>
      <c r="O7" s="11">
        <f t="shared" si="6"/>
        <v>2.0716590253014093</v>
      </c>
      <c r="P7" s="13">
        <v>1.8</v>
      </c>
      <c r="Q7" s="14">
        <f t="shared" si="7"/>
        <v>-0.27165902530140928</v>
      </c>
      <c r="R7" s="14">
        <f ca="1">IFERROR(__xludf.DUMMYFUNCTION("IFERROR(
  AVERAGE(
    FILTER(
      $O$2:O7,
      $A$2:A7 &gt;= A7 - 30,
      $A$2:A7 &lt;= A7,
      $O$2:O7 &gt; 0
    )
  ),
"""")"),2.07947462646081)</f>
        <v>2.0794746264608102</v>
      </c>
      <c r="S7" s="14"/>
    </row>
    <row r="8" spans="1:19" x14ac:dyDescent="0.25">
      <c r="A8" s="9">
        <v>45907</v>
      </c>
      <c r="B8" s="10">
        <v>3812</v>
      </c>
      <c r="C8" s="10">
        <v>106</v>
      </c>
      <c r="D8" s="10">
        <f t="shared" si="0"/>
        <v>3918</v>
      </c>
      <c r="E8" s="11">
        <f t="shared" si="1"/>
        <v>2.7054619703930576</v>
      </c>
      <c r="F8" s="12"/>
      <c r="G8" s="10">
        <v>3138</v>
      </c>
      <c r="H8" s="10">
        <v>305</v>
      </c>
      <c r="I8" s="10">
        <f t="shared" si="2"/>
        <v>3443</v>
      </c>
      <c r="J8" s="11">
        <f t="shared" si="3"/>
        <v>8.8585535869880925</v>
      </c>
      <c r="K8" s="12"/>
      <c r="L8" s="10">
        <f t="shared" ref="L8:M8" si="13">B8+G8</f>
        <v>6950</v>
      </c>
      <c r="M8" s="10">
        <f t="shared" si="13"/>
        <v>411</v>
      </c>
      <c r="N8" s="10">
        <f t="shared" si="5"/>
        <v>7361</v>
      </c>
      <c r="O8" s="11">
        <f t="shared" si="6"/>
        <v>5.5834805053661185</v>
      </c>
      <c r="P8" s="13">
        <v>1.8</v>
      </c>
      <c r="Q8" s="14">
        <f t="shared" si="7"/>
        <v>-3.7834805053661187</v>
      </c>
      <c r="R8" s="14">
        <f ca="1">IFERROR(__xludf.DUMMYFUNCTION("IFERROR(
  AVERAGE(
    FILTER(
      $O$2:O8,
      $A$2:A8 &gt;= A8 - 30,
      $A$2:A8 &lt;= A8,
      $O$2:O8 &gt; 0
    )
  ),
"""")"),2.58004689487586)</f>
        <v>2.5800468948758599</v>
      </c>
      <c r="S8" s="14"/>
    </row>
    <row r="9" spans="1:19" x14ac:dyDescent="0.25">
      <c r="A9" s="9">
        <v>45908</v>
      </c>
      <c r="B9" s="10">
        <v>5117</v>
      </c>
      <c r="C9" s="10">
        <v>96</v>
      </c>
      <c r="D9" s="10">
        <f t="shared" si="0"/>
        <v>5213</v>
      </c>
      <c r="E9" s="11">
        <f t="shared" si="1"/>
        <v>1.8415499712257817</v>
      </c>
      <c r="F9" s="12"/>
      <c r="G9" s="10">
        <v>5471</v>
      </c>
      <c r="H9" s="10">
        <v>119</v>
      </c>
      <c r="I9" s="10">
        <f t="shared" si="2"/>
        <v>5590</v>
      </c>
      <c r="J9" s="11">
        <f t="shared" si="3"/>
        <v>2.1288014311270125</v>
      </c>
      <c r="K9" s="12"/>
      <c r="L9" s="10">
        <f t="shared" ref="L9:M9" si="14">B9+G9</f>
        <v>10588</v>
      </c>
      <c r="M9" s="10">
        <f t="shared" si="14"/>
        <v>215</v>
      </c>
      <c r="N9" s="10">
        <f t="shared" si="5"/>
        <v>10803</v>
      </c>
      <c r="O9" s="11">
        <f t="shared" si="6"/>
        <v>1.990187910765528</v>
      </c>
      <c r="P9" s="13">
        <v>1.8</v>
      </c>
      <c r="Q9" s="14">
        <f t="shared" si="7"/>
        <v>-0.19018791076552799</v>
      </c>
      <c r="R9" s="14">
        <f ca="1">IFERROR(__xludf.DUMMYFUNCTION("IFERROR(
  AVERAGE(
    FILTER(
      $O$2:O9,
      $A$2:A9 &gt;= A9 - 30,
      $A$2:A9 &lt;= A9,
      $O$2:O9 &gt; 0
    )
  ),
"""")"),2.50631452186206)</f>
        <v>2.5063145218620599</v>
      </c>
      <c r="S9" s="14"/>
    </row>
    <row r="10" spans="1:19" x14ac:dyDescent="0.25">
      <c r="A10" s="9">
        <v>45909</v>
      </c>
      <c r="B10" s="10">
        <v>2276</v>
      </c>
      <c r="C10" s="10">
        <v>67</v>
      </c>
      <c r="D10" s="10">
        <f t="shared" si="0"/>
        <v>2343</v>
      </c>
      <c r="E10" s="11">
        <f t="shared" si="1"/>
        <v>2.8595817328211695</v>
      </c>
      <c r="F10" s="12"/>
      <c r="G10" s="10">
        <v>5217</v>
      </c>
      <c r="H10" s="10">
        <v>95</v>
      </c>
      <c r="I10" s="10">
        <f t="shared" si="2"/>
        <v>5312</v>
      </c>
      <c r="J10" s="11">
        <f t="shared" si="3"/>
        <v>1.7884036144578315</v>
      </c>
      <c r="K10" s="12"/>
      <c r="L10" s="10">
        <f t="shared" ref="L10:M10" si="15">B10+G10</f>
        <v>7493</v>
      </c>
      <c r="M10" s="10">
        <f t="shared" si="15"/>
        <v>162</v>
      </c>
      <c r="N10" s="10">
        <f t="shared" si="5"/>
        <v>7655</v>
      </c>
      <c r="O10" s="11">
        <f t="shared" si="6"/>
        <v>2.1162638798171129</v>
      </c>
      <c r="P10" s="13">
        <v>1.8</v>
      </c>
      <c r="Q10" s="14">
        <f t="shared" si="7"/>
        <v>-0.3162638798171129</v>
      </c>
      <c r="R10" s="14">
        <f ca="1">IFERROR(__xludf.DUMMYFUNCTION("IFERROR(
  AVERAGE(
    FILTER(
      $O$2:O10,
      $A$2:A10 &gt;= A10 - 30,
      $A$2:A10 &lt;= A10,
      $O$2:O10 &gt; 0
    )
  ),
"""")"),2.46297556163485)</f>
        <v>2.4629755616348499</v>
      </c>
      <c r="S10" s="14"/>
    </row>
    <row r="11" spans="1:19" x14ac:dyDescent="0.25">
      <c r="A11" s="9">
        <v>45910</v>
      </c>
      <c r="B11" s="10">
        <v>4896</v>
      </c>
      <c r="C11" s="10">
        <v>48</v>
      </c>
      <c r="D11" s="10">
        <f t="shared" si="0"/>
        <v>4944</v>
      </c>
      <c r="E11" s="11">
        <f t="shared" si="1"/>
        <v>0.970873786407767</v>
      </c>
      <c r="F11" s="12"/>
      <c r="G11" s="10">
        <v>2328</v>
      </c>
      <c r="H11" s="10">
        <v>24</v>
      </c>
      <c r="I11" s="10">
        <f t="shared" si="2"/>
        <v>2352</v>
      </c>
      <c r="J11" s="11">
        <f t="shared" si="3"/>
        <v>1.0204081632653061</v>
      </c>
      <c r="K11" s="12"/>
      <c r="L11" s="10">
        <f t="shared" ref="L11:M11" si="16">B11+G11</f>
        <v>7224</v>
      </c>
      <c r="M11" s="10">
        <f t="shared" si="16"/>
        <v>72</v>
      </c>
      <c r="N11" s="10">
        <f t="shared" si="5"/>
        <v>7296</v>
      </c>
      <c r="O11" s="11">
        <f t="shared" si="6"/>
        <v>0.98684210526315796</v>
      </c>
      <c r="P11" s="13">
        <v>1.8</v>
      </c>
      <c r="Q11" s="14">
        <f t="shared" si="7"/>
        <v>0.81315789473684208</v>
      </c>
      <c r="R11" s="14">
        <f ca="1">IFERROR(__xludf.DUMMYFUNCTION("IFERROR(
  AVERAGE(
    FILTER(
      $O$2:O11,
      $A$2:A11 &gt;= A11 - 30,
      $A$2:A11 &lt;= A11,
      $O$2:O11 &gt; 0
    )
  ),
"""")"),2.31536221599768)</f>
        <v>2.3153622159976801</v>
      </c>
      <c r="S11" s="14"/>
    </row>
    <row r="12" spans="1:19" x14ac:dyDescent="0.25">
      <c r="A12" s="9">
        <v>45911</v>
      </c>
      <c r="B12" s="10">
        <v>2724</v>
      </c>
      <c r="C12" s="10">
        <v>18</v>
      </c>
      <c r="D12" s="10">
        <f t="shared" si="0"/>
        <v>2742</v>
      </c>
      <c r="E12" s="11">
        <f t="shared" si="1"/>
        <v>0.65645514223194745</v>
      </c>
      <c r="F12" s="12"/>
      <c r="G12" s="10">
        <v>5493</v>
      </c>
      <c r="H12" s="10">
        <v>51</v>
      </c>
      <c r="I12" s="10">
        <f t="shared" si="2"/>
        <v>5544</v>
      </c>
      <c r="J12" s="11">
        <f t="shared" si="3"/>
        <v>0.91991341991341991</v>
      </c>
      <c r="K12" s="12"/>
      <c r="L12" s="10">
        <f t="shared" ref="L12:M12" si="17">B12+G12</f>
        <v>8217</v>
      </c>
      <c r="M12" s="10">
        <f t="shared" si="17"/>
        <v>69</v>
      </c>
      <c r="N12" s="10">
        <f t="shared" si="5"/>
        <v>8286</v>
      </c>
      <c r="O12" s="11">
        <f t="shared" si="6"/>
        <v>0.83272990586531503</v>
      </c>
      <c r="P12" s="13">
        <v>1.8</v>
      </c>
      <c r="Q12" s="14">
        <f t="shared" si="7"/>
        <v>0.96727009413468501</v>
      </c>
      <c r="R12" s="14">
        <f ca="1">IFERROR(__xludf.DUMMYFUNCTION("IFERROR(
  AVERAGE(
    FILTER(
      $O$2:O12,
      $A$2:A12 &gt;= A12 - 30,
      $A$2:A12 &lt;= A12,
      $O$2:O12 &gt; 0
    )
  ),
"""")"),2.1805774605311)</f>
        <v>2.1805774605310999</v>
      </c>
      <c r="S12" s="14"/>
    </row>
    <row r="13" spans="1:19" x14ac:dyDescent="0.25">
      <c r="A13" s="9">
        <v>45912</v>
      </c>
      <c r="B13" s="10">
        <v>2710</v>
      </c>
      <c r="C13" s="10">
        <v>32</v>
      </c>
      <c r="D13" s="10">
        <f t="shared" si="0"/>
        <v>2742</v>
      </c>
      <c r="E13" s="11">
        <f t="shared" si="1"/>
        <v>1.1670313639679066</v>
      </c>
      <c r="F13" s="12"/>
      <c r="G13" s="10">
        <v>5324</v>
      </c>
      <c r="H13" s="10">
        <v>42</v>
      </c>
      <c r="I13" s="10">
        <f t="shared" si="2"/>
        <v>5366</v>
      </c>
      <c r="J13" s="11">
        <f t="shared" si="3"/>
        <v>0.78270592620201274</v>
      </c>
      <c r="K13" s="12"/>
      <c r="L13" s="10">
        <f t="shared" ref="L13:M13" si="18">B13+G13</f>
        <v>8034</v>
      </c>
      <c r="M13" s="10">
        <f t="shared" si="18"/>
        <v>74</v>
      </c>
      <c r="N13" s="10">
        <f t="shared" si="5"/>
        <v>8108</v>
      </c>
      <c r="O13" s="11">
        <f t="shared" si="6"/>
        <v>0.91267883571780961</v>
      </c>
      <c r="P13" s="13">
        <v>1.8</v>
      </c>
      <c r="Q13" s="14">
        <f t="shared" si="7"/>
        <v>0.88732116428219043</v>
      </c>
      <c r="R13" s="14">
        <f ca="1">IFERROR(__xludf.DUMMYFUNCTION("IFERROR(
  AVERAGE(
    FILTER(
      $O$2:O13,
      $A$2:A13 &gt;= A13 - 30,
      $A$2:A13 &lt;= A13,
      $O$2:O13 &gt; 0
    )
  ),
"""")"),2.07491924179666)</f>
        <v>2.07491924179666</v>
      </c>
      <c r="S13" s="14"/>
    </row>
    <row r="14" spans="1:19" x14ac:dyDescent="0.25">
      <c r="A14" s="9">
        <v>45913</v>
      </c>
      <c r="B14" s="10">
        <v>3028</v>
      </c>
      <c r="C14" s="10">
        <v>238</v>
      </c>
      <c r="D14" s="10">
        <f t="shared" si="0"/>
        <v>3266</v>
      </c>
      <c r="E14" s="11">
        <f t="shared" si="1"/>
        <v>7.2872014696876919</v>
      </c>
      <c r="F14" s="12"/>
      <c r="G14" s="10">
        <v>4431</v>
      </c>
      <c r="H14" s="10">
        <v>98</v>
      </c>
      <c r="I14" s="10">
        <f t="shared" si="2"/>
        <v>4529</v>
      </c>
      <c r="J14" s="11">
        <f t="shared" si="3"/>
        <v>2.1638330757341575</v>
      </c>
      <c r="K14" s="12"/>
      <c r="L14" s="10">
        <f t="shared" ref="L14:M14" si="19">B14+G14</f>
        <v>7459</v>
      </c>
      <c r="M14" s="10">
        <f t="shared" si="19"/>
        <v>336</v>
      </c>
      <c r="N14" s="10">
        <f t="shared" si="5"/>
        <v>7795</v>
      </c>
      <c r="O14" s="11">
        <f t="shared" si="6"/>
        <v>4.3104554201411158</v>
      </c>
      <c r="P14" s="13">
        <v>1.8</v>
      </c>
      <c r="Q14" s="14">
        <f t="shared" si="7"/>
        <v>-2.510455420141116</v>
      </c>
      <c r="R14" s="14">
        <f ca="1">IFERROR(__xludf.DUMMYFUNCTION("IFERROR(
  AVERAGE(
    FILTER(
      $O$2:O14,
      $A$2:A14 &gt;= A14 - 30,
      $A$2:A14 &lt;= A14,
      $O$2:O14 &gt; 0
    )
  ),
"""")"),2.24688356320777)</f>
        <v>2.2468835632077702</v>
      </c>
      <c r="S14" s="14"/>
    </row>
    <row r="15" spans="1:19" x14ac:dyDescent="0.25">
      <c r="A15" s="9">
        <v>45914</v>
      </c>
      <c r="B15" s="10">
        <v>3238</v>
      </c>
      <c r="C15" s="10">
        <v>177</v>
      </c>
      <c r="D15" s="10">
        <f t="shared" si="0"/>
        <v>3415</v>
      </c>
      <c r="E15" s="11">
        <f t="shared" si="1"/>
        <v>5.183016105417277</v>
      </c>
      <c r="F15" s="12"/>
      <c r="G15" s="10">
        <v>6018</v>
      </c>
      <c r="H15" s="10">
        <v>20</v>
      </c>
      <c r="I15" s="10">
        <f t="shared" si="2"/>
        <v>6038</v>
      </c>
      <c r="J15" s="11">
        <f t="shared" si="3"/>
        <v>0.33123550844650546</v>
      </c>
      <c r="K15" s="12"/>
      <c r="L15" s="10">
        <f t="shared" ref="L15:M15" si="20">B15+G15</f>
        <v>9256</v>
      </c>
      <c r="M15" s="10">
        <f t="shared" si="20"/>
        <v>197</v>
      </c>
      <c r="N15" s="10">
        <f t="shared" si="5"/>
        <v>9453</v>
      </c>
      <c r="O15" s="11">
        <f t="shared" si="6"/>
        <v>2.0839944991008146</v>
      </c>
      <c r="P15" s="13">
        <v>1.8</v>
      </c>
      <c r="Q15" s="14">
        <f t="shared" si="7"/>
        <v>-0.28399449910081453</v>
      </c>
      <c r="R15" s="14">
        <f ca="1">IFERROR(__xludf.DUMMYFUNCTION("IFERROR(
  AVERAGE(
    FILTER(
      $O$2:O15,
      $A$2:A15 &gt;= A15 - 30,
      $A$2:A15 &lt;= A15,
      $O$2:O15 &gt; 0
    )
  ),
"""")"),2.23524863005727)</f>
        <v>2.2352486300572698</v>
      </c>
      <c r="S15" s="14"/>
    </row>
    <row r="16" spans="1:19" x14ac:dyDescent="0.25">
      <c r="A16" s="9">
        <v>45915</v>
      </c>
      <c r="B16" s="10">
        <v>5622</v>
      </c>
      <c r="C16" s="10">
        <v>153</v>
      </c>
      <c r="D16" s="10">
        <f t="shared" si="0"/>
        <v>5775</v>
      </c>
      <c r="E16" s="11">
        <f t="shared" si="1"/>
        <v>2.6493506493506493</v>
      </c>
      <c r="F16" s="12"/>
      <c r="G16" s="10">
        <v>5402</v>
      </c>
      <c r="H16" s="10">
        <v>61</v>
      </c>
      <c r="I16" s="10">
        <f t="shared" si="2"/>
        <v>5463</v>
      </c>
      <c r="J16" s="11">
        <f t="shared" si="3"/>
        <v>1.1166025993044115</v>
      </c>
      <c r="K16" s="12"/>
      <c r="L16" s="10">
        <f t="shared" ref="L16:M16" si="21">B16+G16</f>
        <v>11024</v>
      </c>
      <c r="M16" s="10">
        <f t="shared" si="21"/>
        <v>214</v>
      </c>
      <c r="N16" s="10">
        <f t="shared" si="5"/>
        <v>11238</v>
      </c>
      <c r="O16" s="11">
        <f t="shared" si="6"/>
        <v>1.9042534258764905</v>
      </c>
      <c r="P16" s="13">
        <v>1.8</v>
      </c>
      <c r="Q16" s="14">
        <f t="shared" si="7"/>
        <v>-0.10425342587649045</v>
      </c>
      <c r="R16" s="14">
        <f ca="1">IFERROR(__xludf.DUMMYFUNCTION("IFERROR(
  AVERAGE(
    FILTER(
      $O$2:O16,
      $A$2:A16 &gt;= A16 - 30,
      $A$2:A16 &lt;= A16,
      $O$2:O16 &gt; 0
    )
  ),
"""")"),2.21318228311189)</f>
        <v>2.2131822831118901</v>
      </c>
      <c r="S16" s="14"/>
    </row>
    <row r="17" spans="1:19" x14ac:dyDescent="0.25">
      <c r="A17" s="9">
        <v>45916</v>
      </c>
      <c r="B17" s="10">
        <v>6376</v>
      </c>
      <c r="C17" s="10">
        <v>45</v>
      </c>
      <c r="D17" s="10">
        <f t="shared" si="0"/>
        <v>6421</v>
      </c>
      <c r="E17" s="11">
        <f t="shared" si="1"/>
        <v>0.70082541660177544</v>
      </c>
      <c r="F17" s="12"/>
      <c r="G17" s="10">
        <v>5554</v>
      </c>
      <c r="H17" s="10">
        <v>41</v>
      </c>
      <c r="I17" s="10">
        <f t="shared" si="2"/>
        <v>5595</v>
      </c>
      <c r="J17" s="11">
        <f t="shared" si="3"/>
        <v>0.73279714030384269</v>
      </c>
      <c r="K17" s="12"/>
      <c r="L17" s="10">
        <f t="shared" ref="L17:M17" si="22">B17+G17</f>
        <v>11930</v>
      </c>
      <c r="M17" s="10">
        <f t="shared" si="22"/>
        <v>86</v>
      </c>
      <c r="N17" s="10">
        <f t="shared" si="5"/>
        <v>12016</v>
      </c>
      <c r="O17" s="11">
        <f t="shared" si="6"/>
        <v>0.71571238348868182</v>
      </c>
      <c r="P17" s="13">
        <v>1.8</v>
      </c>
      <c r="Q17" s="14">
        <f t="shared" si="7"/>
        <v>1.0842876165113182</v>
      </c>
      <c r="R17" s="14">
        <f ca="1">IFERROR(__xludf.DUMMYFUNCTION("IFERROR(
  AVERAGE(
    FILTER(
      $O$2:O17,
      $A$2:A17 &gt;= A17 - 30,
      $A$2:A17 &lt;= A17,
      $O$2:O17 &gt; 0
    )
  ),
"""")"),2.11959041438544)</f>
        <v>2.1195904143854398</v>
      </c>
      <c r="S17" s="14"/>
    </row>
    <row r="18" spans="1:19" ht="15.75" customHeight="1" x14ac:dyDescent="0.25">
      <c r="A18" s="9">
        <v>45917</v>
      </c>
      <c r="B18" s="10">
        <v>6708</v>
      </c>
      <c r="C18" s="10">
        <v>18</v>
      </c>
      <c r="D18" s="10">
        <f t="shared" si="0"/>
        <v>6726</v>
      </c>
      <c r="E18" s="11">
        <f t="shared" si="1"/>
        <v>0.2676181980374665</v>
      </c>
      <c r="F18" s="12"/>
      <c r="G18" s="10">
        <v>6018</v>
      </c>
      <c r="H18" s="10">
        <v>44</v>
      </c>
      <c r="I18" s="10">
        <f t="shared" si="2"/>
        <v>6062</v>
      </c>
      <c r="J18" s="11">
        <f t="shared" si="3"/>
        <v>0.72583305839656886</v>
      </c>
      <c r="K18" s="12"/>
      <c r="L18" s="10">
        <f t="shared" ref="L18:M18" si="23">B18+G18</f>
        <v>12726</v>
      </c>
      <c r="M18" s="10">
        <f t="shared" si="23"/>
        <v>62</v>
      </c>
      <c r="N18" s="10">
        <f t="shared" si="5"/>
        <v>12788</v>
      </c>
      <c r="O18" s="11">
        <f t="shared" si="6"/>
        <v>0.48482952768220205</v>
      </c>
      <c r="P18" s="13">
        <v>1.8</v>
      </c>
      <c r="Q18" s="14">
        <f t="shared" si="7"/>
        <v>1.3151704723177979</v>
      </c>
      <c r="R18" s="14">
        <f ca="1">IFERROR(__xludf.DUMMYFUNCTION("IFERROR(
  AVERAGE(
    FILTER(
      $O$2:O18,
      $A$2:A18 &gt;= A18 - 30,
      $A$2:A18 &lt;= A18,
      $O$2:O18 &gt; 0
    )
  ),
"""")"),2.02342800928525)</f>
        <v>2.0234280092852499</v>
      </c>
      <c r="S18" s="14"/>
    </row>
    <row r="19" spans="1:19" ht="15.75" customHeight="1" x14ac:dyDescent="0.25">
      <c r="A19" s="9">
        <v>45918</v>
      </c>
      <c r="B19" s="10">
        <v>6176</v>
      </c>
      <c r="C19" s="10">
        <v>89</v>
      </c>
      <c r="D19" s="10">
        <f t="shared" si="0"/>
        <v>6265</v>
      </c>
      <c r="E19" s="11">
        <f t="shared" si="1"/>
        <v>1.4205905826017557</v>
      </c>
      <c r="F19" s="12"/>
      <c r="G19" s="10">
        <v>5537</v>
      </c>
      <c r="H19" s="10">
        <v>98</v>
      </c>
      <c r="I19" s="10">
        <f t="shared" si="2"/>
        <v>5635</v>
      </c>
      <c r="J19" s="11">
        <f t="shared" si="3"/>
        <v>1.7391304347826086</v>
      </c>
      <c r="K19" s="12"/>
      <c r="L19" s="10">
        <f t="shared" ref="L19:M19" si="24">B19+G19</f>
        <v>11713</v>
      </c>
      <c r="M19" s="10">
        <f t="shared" si="24"/>
        <v>187</v>
      </c>
      <c r="N19" s="10">
        <f t="shared" si="5"/>
        <v>11900</v>
      </c>
      <c r="O19" s="11">
        <f t="shared" si="6"/>
        <v>1.5714285714285714</v>
      </c>
      <c r="P19" s="13">
        <v>1.8</v>
      </c>
      <c r="Q19" s="14">
        <f t="shared" si="7"/>
        <v>0.22857142857142865</v>
      </c>
      <c r="R19" s="14">
        <f ca="1">IFERROR(__xludf.DUMMYFUNCTION("IFERROR(
  AVERAGE(
    FILTER(
      $O$2:O19,
      $A$2:A19 &gt;= A19 - 30,
      $A$2:A19 &lt;= A19,
      $O$2:O19 &gt; 0
    )
  ),
"""")"),1.99831692940432)</f>
        <v>1.9983169294043199</v>
      </c>
      <c r="S19" s="14"/>
    </row>
    <row r="20" spans="1:19" ht="15.75" customHeight="1" x14ac:dyDescent="0.25">
      <c r="A20" s="9">
        <v>45919</v>
      </c>
      <c r="B20" s="10">
        <v>4968</v>
      </c>
      <c r="C20" s="10">
        <v>52</v>
      </c>
      <c r="D20" s="10">
        <f t="shared" si="0"/>
        <v>5020</v>
      </c>
      <c r="E20" s="11">
        <f t="shared" si="1"/>
        <v>1.0358565737051793</v>
      </c>
      <c r="F20" s="12"/>
      <c r="G20" s="10">
        <v>4447</v>
      </c>
      <c r="H20" s="10">
        <v>305</v>
      </c>
      <c r="I20" s="10">
        <f t="shared" si="2"/>
        <v>4752</v>
      </c>
      <c r="J20" s="11">
        <f t="shared" si="3"/>
        <v>6.4183501683501678</v>
      </c>
      <c r="K20" s="12"/>
      <c r="L20" s="10">
        <f t="shared" ref="L20:M20" si="25">B20+G20</f>
        <v>9415</v>
      </c>
      <c r="M20" s="10">
        <f t="shared" si="25"/>
        <v>357</v>
      </c>
      <c r="N20" s="10">
        <f t="shared" si="5"/>
        <v>9772</v>
      </c>
      <c r="O20" s="11">
        <f t="shared" si="6"/>
        <v>3.6532951289398281</v>
      </c>
      <c r="P20" s="13">
        <v>1.8</v>
      </c>
      <c r="Q20" s="14">
        <f t="shared" si="7"/>
        <v>-1.8532951289398281</v>
      </c>
      <c r="R20" s="14">
        <f ca="1">IFERROR(__xludf.DUMMYFUNCTION("IFERROR(
  AVERAGE(
    FILTER(
      $O$2:O20,
      $A$2:A20 &gt;= A20 - 30,
      $A$2:A20 &lt;= A20,
      $O$2:O20 &gt; 0
    )
  ),
"""")"),2.08542104516935)</f>
        <v>2.0854210451693498</v>
      </c>
      <c r="S20" s="14"/>
    </row>
    <row r="21" spans="1:19" ht="15.75" customHeight="1" x14ac:dyDescent="0.25">
      <c r="A21" s="9">
        <v>45920</v>
      </c>
      <c r="B21" s="10">
        <v>5762</v>
      </c>
      <c r="C21" s="10">
        <v>159</v>
      </c>
      <c r="D21" s="10">
        <f t="shared" si="0"/>
        <v>5921</v>
      </c>
      <c r="E21" s="11">
        <f t="shared" si="1"/>
        <v>2.6853572031751392</v>
      </c>
      <c r="F21" s="12"/>
      <c r="G21" s="10">
        <v>5681</v>
      </c>
      <c r="H21" s="10">
        <v>62</v>
      </c>
      <c r="I21" s="10">
        <f t="shared" si="2"/>
        <v>5743</v>
      </c>
      <c r="J21" s="11">
        <f t="shared" si="3"/>
        <v>1.0795751349468918</v>
      </c>
      <c r="K21" s="12"/>
      <c r="L21" s="10">
        <f t="shared" ref="L21:M21" si="26">B21+G21</f>
        <v>11443</v>
      </c>
      <c r="M21" s="10">
        <f t="shared" si="26"/>
        <v>221</v>
      </c>
      <c r="N21" s="10">
        <f t="shared" si="5"/>
        <v>11664</v>
      </c>
      <c r="O21" s="11">
        <f t="shared" si="6"/>
        <v>1.8947187928669411</v>
      </c>
      <c r="P21" s="13">
        <v>1.8</v>
      </c>
      <c r="Q21" s="14">
        <f t="shared" si="7"/>
        <v>-9.4718792866941071E-2</v>
      </c>
      <c r="R21" s="14">
        <f ca="1">IFERROR(__xludf.DUMMYFUNCTION("IFERROR(
  AVERAGE(
    FILTER(
      $O$2:O21,
      $A$2:A21 &gt;= A21 - 30,
      $A$2:A21 &lt;= A21,
      $O$2:O21 &gt; 0
    )
  ),
"""")"),2.07588593255423)</f>
        <v>2.0758859325542298</v>
      </c>
      <c r="S21" s="14"/>
    </row>
    <row r="22" spans="1:19" ht="15.75" customHeight="1" x14ac:dyDescent="0.25">
      <c r="A22" s="9">
        <v>45921</v>
      </c>
      <c r="B22" s="10">
        <v>6254</v>
      </c>
      <c r="C22" s="10">
        <v>127</v>
      </c>
      <c r="D22" s="10">
        <f t="shared" si="0"/>
        <v>6381</v>
      </c>
      <c r="E22" s="11">
        <f t="shared" si="1"/>
        <v>1.9902836545995926</v>
      </c>
      <c r="F22" s="12"/>
      <c r="G22" s="10">
        <v>5106</v>
      </c>
      <c r="H22" s="10">
        <v>97</v>
      </c>
      <c r="I22" s="10">
        <f t="shared" si="2"/>
        <v>5203</v>
      </c>
      <c r="J22" s="11">
        <f t="shared" si="3"/>
        <v>1.864309052469729</v>
      </c>
      <c r="K22" s="12"/>
      <c r="L22" s="10">
        <f t="shared" ref="L22:M22" si="27">B22+G22</f>
        <v>11360</v>
      </c>
      <c r="M22" s="10">
        <f t="shared" si="27"/>
        <v>224</v>
      </c>
      <c r="N22" s="10">
        <f t="shared" si="5"/>
        <v>11584</v>
      </c>
      <c r="O22" s="11">
        <f t="shared" si="6"/>
        <v>1.9337016574585635</v>
      </c>
      <c r="P22" s="13">
        <v>1.8</v>
      </c>
      <c r="Q22" s="14">
        <f t="shared" si="7"/>
        <v>-0.13370165745856344</v>
      </c>
      <c r="R22" s="14">
        <f ca="1">IFERROR(__xludf.DUMMYFUNCTION("IFERROR(
  AVERAGE(
    FILTER(
      $O$2:O22,
      $A$2:A22 &gt;= A22 - 30,
      $A$2:A22 &lt;= A22,
      $O$2:O22 &gt; 0
    )
  ),
"""")"),2.06911525278776)</f>
        <v>2.0691152527877601</v>
      </c>
      <c r="S22" s="14"/>
    </row>
    <row r="23" spans="1:19" ht="15.75" customHeight="1" x14ac:dyDescent="0.25">
      <c r="A23" s="9">
        <v>45922</v>
      </c>
      <c r="B23" s="10">
        <v>5226</v>
      </c>
      <c r="C23" s="10">
        <v>109</v>
      </c>
      <c r="D23" s="10">
        <f t="shared" si="0"/>
        <v>5335</v>
      </c>
      <c r="E23" s="11">
        <f t="shared" si="1"/>
        <v>2.0431115276476102</v>
      </c>
      <c r="F23" s="12"/>
      <c r="G23" s="10">
        <v>5570</v>
      </c>
      <c r="H23" s="10">
        <v>42</v>
      </c>
      <c r="I23" s="10">
        <f t="shared" si="2"/>
        <v>5612</v>
      </c>
      <c r="J23" s="11">
        <f t="shared" si="3"/>
        <v>0.74839629365645055</v>
      </c>
      <c r="K23" s="12"/>
      <c r="L23" s="10">
        <f t="shared" ref="L23:M23" si="28">B23+G23</f>
        <v>10796</v>
      </c>
      <c r="M23" s="10">
        <f t="shared" si="28"/>
        <v>151</v>
      </c>
      <c r="N23" s="10">
        <f t="shared" si="5"/>
        <v>10947</v>
      </c>
      <c r="O23" s="11">
        <f t="shared" si="6"/>
        <v>1.3793733442952407</v>
      </c>
      <c r="P23" s="13">
        <v>1.8</v>
      </c>
      <c r="Q23" s="14">
        <f t="shared" si="7"/>
        <v>0.42062665570475932</v>
      </c>
      <c r="R23" s="14">
        <f ca="1">IFERROR(__xludf.DUMMYFUNCTION("IFERROR(
  AVERAGE(
    FILTER(
      $O$2:O23,
      $A$2:A23 &gt;= A23 - 30,
      $A$2:A23 &lt;= A23,
      $O$2:O23 &gt; 0
    )
  ),
"""")"),2.03776334785629)</f>
        <v>2.03776334785629</v>
      </c>
      <c r="S23" s="14"/>
    </row>
    <row r="24" spans="1:19" ht="15.75" customHeight="1" x14ac:dyDescent="0.25">
      <c r="A24" s="9">
        <v>45923</v>
      </c>
      <c r="B24" s="10">
        <v>5358</v>
      </c>
      <c r="C24" s="10">
        <v>75</v>
      </c>
      <c r="D24" s="10">
        <f t="shared" si="0"/>
        <v>5433</v>
      </c>
      <c r="E24" s="11">
        <f t="shared" si="1"/>
        <v>1.3804527885146329</v>
      </c>
      <c r="F24" s="12"/>
      <c r="G24" s="10">
        <v>5931</v>
      </c>
      <c r="H24" s="10">
        <v>73</v>
      </c>
      <c r="I24" s="10">
        <f t="shared" si="2"/>
        <v>6004</v>
      </c>
      <c r="J24" s="11">
        <f t="shared" si="3"/>
        <v>1.2158560959360427</v>
      </c>
      <c r="K24" s="12"/>
      <c r="L24" s="10">
        <f t="shared" ref="L24:M24" si="29">B24+G24</f>
        <v>11289</v>
      </c>
      <c r="M24" s="10">
        <f t="shared" si="29"/>
        <v>148</v>
      </c>
      <c r="N24" s="10">
        <f t="shared" si="5"/>
        <v>11437</v>
      </c>
      <c r="O24" s="11">
        <f t="shared" si="6"/>
        <v>1.2940456413395121</v>
      </c>
      <c r="P24" s="13">
        <v>1.8</v>
      </c>
      <c r="Q24" s="14">
        <f t="shared" si="7"/>
        <v>0.50595435866048799</v>
      </c>
      <c r="R24" s="14">
        <f ca="1">IFERROR(__xludf.DUMMYFUNCTION("IFERROR(
  AVERAGE(
    FILTER(
      $O$2:O24,
      $A$2:A24 &gt;= A24 - 30,
      $A$2:A24 &lt;= A24,
      $O$2:O24 &gt; 0
    )
  ),
"""")"),2.00542779539903)</f>
        <v>2.0054277953990298</v>
      </c>
      <c r="S24" s="14"/>
    </row>
    <row r="25" spans="1:19" ht="15.75" customHeight="1" x14ac:dyDescent="0.25">
      <c r="A25" s="9">
        <v>45924</v>
      </c>
      <c r="B25" s="10">
        <v>5962</v>
      </c>
      <c r="C25" s="10">
        <v>77</v>
      </c>
      <c r="D25" s="10">
        <f t="shared" si="0"/>
        <v>6039</v>
      </c>
      <c r="E25" s="11">
        <f t="shared" si="1"/>
        <v>1.2750455373406193</v>
      </c>
      <c r="F25" s="12"/>
      <c r="G25" s="10">
        <v>4846</v>
      </c>
      <c r="H25" s="10">
        <v>285</v>
      </c>
      <c r="I25" s="10">
        <f t="shared" si="2"/>
        <v>5131</v>
      </c>
      <c r="J25" s="11">
        <f t="shared" si="3"/>
        <v>5.5544728123172868</v>
      </c>
      <c r="K25" s="12"/>
      <c r="L25" s="10">
        <f t="shared" ref="L25:M25" si="30">B25+G25</f>
        <v>10808</v>
      </c>
      <c r="M25" s="10">
        <f t="shared" si="30"/>
        <v>362</v>
      </c>
      <c r="N25" s="10">
        <f t="shared" si="5"/>
        <v>11170</v>
      </c>
      <c r="O25" s="11">
        <f t="shared" si="6"/>
        <v>3.2408236347358996</v>
      </c>
      <c r="P25" s="13">
        <v>1.8</v>
      </c>
      <c r="Q25" s="14">
        <f t="shared" si="7"/>
        <v>-1.4408236347358996</v>
      </c>
      <c r="R25" s="14">
        <f ca="1">IFERROR(__xludf.DUMMYFUNCTION("IFERROR(
  AVERAGE(
    FILTER(
      $O$2:O25,
      $A$2:A25 &gt;= A25 - 30,
      $A$2:A25 &lt;= A25,
      $O$2:O25 &gt; 0
    )
  ),
"""")"),2.05690262203807)</f>
        <v>2.0569026220380699</v>
      </c>
      <c r="S25" s="14"/>
    </row>
    <row r="26" spans="1:19" ht="15.75" customHeight="1" x14ac:dyDescent="0.25">
      <c r="A26" s="9">
        <v>45925</v>
      </c>
      <c r="B26" s="10">
        <v>5502</v>
      </c>
      <c r="C26" s="10">
        <v>52</v>
      </c>
      <c r="D26" s="10">
        <f t="shared" si="0"/>
        <v>5554</v>
      </c>
      <c r="E26" s="11">
        <f t="shared" si="1"/>
        <v>0.93626215340295282</v>
      </c>
      <c r="F26" s="12"/>
      <c r="G26" s="10">
        <v>5410</v>
      </c>
      <c r="H26" s="10">
        <v>130</v>
      </c>
      <c r="I26" s="10">
        <f t="shared" si="2"/>
        <v>5540</v>
      </c>
      <c r="J26" s="11">
        <f t="shared" si="3"/>
        <v>2.3465703971119134</v>
      </c>
      <c r="K26" s="12"/>
      <c r="L26" s="10">
        <f t="shared" ref="L26:M26" si="31">B26+G26</f>
        <v>10912</v>
      </c>
      <c r="M26" s="10">
        <f t="shared" si="31"/>
        <v>182</v>
      </c>
      <c r="N26" s="10">
        <f t="shared" si="5"/>
        <v>11094</v>
      </c>
      <c r="O26" s="11">
        <f t="shared" si="6"/>
        <v>1.6405264106724355</v>
      </c>
      <c r="P26" s="13">
        <v>1.8</v>
      </c>
      <c r="Q26" s="14">
        <f t="shared" si="7"/>
        <v>0.1594735893275645</v>
      </c>
      <c r="R26" s="14">
        <f ca="1">IFERROR(__xludf.DUMMYFUNCTION("IFERROR(
  AVERAGE(
    FILTER(
      $O$2:O26,
      $A$2:A26 &gt;= A26 - 30,
      $A$2:A26 &lt;= A26,
      $O$2:O26 &gt; 0
    )
  ),
"""")"),2.04024757358344)</f>
        <v>2.0402475735834402</v>
      </c>
      <c r="S26" s="14"/>
    </row>
    <row r="27" spans="1:19" ht="15.75" customHeight="1" x14ac:dyDescent="0.25">
      <c r="A27" s="9">
        <v>45926</v>
      </c>
      <c r="B27" s="10">
        <v>5584</v>
      </c>
      <c r="C27" s="10">
        <v>137</v>
      </c>
      <c r="D27" s="10">
        <f t="shared" si="0"/>
        <v>5721</v>
      </c>
      <c r="E27" s="11">
        <f t="shared" si="1"/>
        <v>2.3946862436636951</v>
      </c>
      <c r="F27" s="12"/>
      <c r="G27" s="10">
        <v>4785</v>
      </c>
      <c r="H27" s="10">
        <v>119</v>
      </c>
      <c r="I27" s="10">
        <f t="shared" si="2"/>
        <v>4904</v>
      </c>
      <c r="J27" s="11">
        <f t="shared" si="3"/>
        <v>2.4265905383360522</v>
      </c>
      <c r="K27" s="12"/>
      <c r="L27" s="10">
        <f t="shared" ref="L27:M27" si="32">B27+G27</f>
        <v>10369</v>
      </c>
      <c r="M27" s="10">
        <f t="shared" si="32"/>
        <v>256</v>
      </c>
      <c r="N27" s="10">
        <f t="shared" si="5"/>
        <v>10625</v>
      </c>
      <c r="O27" s="11">
        <f t="shared" si="6"/>
        <v>2.4094117647058821</v>
      </c>
      <c r="P27" s="13">
        <v>1.8</v>
      </c>
      <c r="Q27" s="14">
        <f t="shared" si="7"/>
        <v>-0.6094117647058821</v>
      </c>
      <c r="R27" s="14">
        <f ca="1">IFERROR(__xludf.DUMMYFUNCTION("IFERROR(
  AVERAGE(
    FILTER(
      $O$2:O27,
      $A$2:A27 &gt;= A27 - 30,
      $A$2:A27 &lt;= A27,
      $O$2:O27 &gt; 0
    )
  ),
"""")"),2.05444619631892)</f>
        <v>2.0544461963189198</v>
      </c>
      <c r="S27" s="14"/>
    </row>
    <row r="28" spans="1:19" ht="15.75" customHeight="1" x14ac:dyDescent="0.25">
      <c r="A28" s="9">
        <v>45927</v>
      </c>
      <c r="B28" s="10">
        <f>3396+2358</f>
        <v>5754</v>
      </c>
      <c r="C28" s="10">
        <v>58</v>
      </c>
      <c r="D28" s="10">
        <f t="shared" si="0"/>
        <v>5812</v>
      </c>
      <c r="E28" s="11">
        <f t="shared" si="1"/>
        <v>0.99793530626290439</v>
      </c>
      <c r="F28" s="12"/>
      <c r="G28" s="10">
        <v>5465</v>
      </c>
      <c r="H28" s="10">
        <v>42</v>
      </c>
      <c r="I28" s="10">
        <f t="shared" si="2"/>
        <v>5507</v>
      </c>
      <c r="J28" s="11">
        <f t="shared" si="3"/>
        <v>0.76266569820228802</v>
      </c>
      <c r="K28" s="12"/>
      <c r="L28" s="10">
        <f t="shared" ref="L28:M28" si="33">B28+G28</f>
        <v>11219</v>
      </c>
      <c r="M28" s="10">
        <f t="shared" si="33"/>
        <v>100</v>
      </c>
      <c r="N28" s="10">
        <f t="shared" si="5"/>
        <v>11319</v>
      </c>
      <c r="O28" s="11">
        <f t="shared" si="6"/>
        <v>0.88347027122537325</v>
      </c>
      <c r="P28" s="13">
        <v>1.8</v>
      </c>
      <c r="Q28" s="14">
        <f t="shared" si="7"/>
        <v>0.9165297287746268</v>
      </c>
      <c r="R28" s="14">
        <f ca="1">IFERROR(__xludf.DUMMYFUNCTION("IFERROR(
  AVERAGE(
    FILTER(
      $O$2:O28,
      $A$2:A28 &gt;= A28 - 30,
      $A$2:A28 &lt;= A28,
      $O$2:O28 &gt; 0
    )
  ),
"""")"),2.01107671761175)</f>
        <v>2.0110767176117501</v>
      </c>
      <c r="S28" s="14"/>
    </row>
    <row r="29" spans="1:19" ht="15.75" customHeight="1" x14ac:dyDescent="0.25">
      <c r="A29" s="9">
        <v>45928</v>
      </c>
      <c r="B29" s="10">
        <v>6166</v>
      </c>
      <c r="C29" s="10">
        <v>35</v>
      </c>
      <c r="D29" s="10">
        <f t="shared" si="0"/>
        <v>6201</v>
      </c>
      <c r="E29" s="11">
        <f t="shared" si="1"/>
        <v>0.56442509272697949</v>
      </c>
      <c r="F29" s="12"/>
      <c r="G29" s="10">
        <v>5939</v>
      </c>
      <c r="H29" s="10">
        <v>45</v>
      </c>
      <c r="I29" s="10">
        <f t="shared" si="2"/>
        <v>5984</v>
      </c>
      <c r="J29" s="11">
        <f t="shared" si="3"/>
        <v>0.75200534759358284</v>
      </c>
      <c r="K29" s="12"/>
      <c r="L29" s="10">
        <f t="shared" ref="L29:M29" si="34">B29+G29</f>
        <v>12105</v>
      </c>
      <c r="M29" s="10">
        <f t="shared" si="34"/>
        <v>80</v>
      </c>
      <c r="N29" s="10">
        <f t="shared" si="5"/>
        <v>12185</v>
      </c>
      <c r="O29" s="11">
        <f t="shared" si="6"/>
        <v>0.65654493229380384</v>
      </c>
      <c r="P29" s="13">
        <v>1.8</v>
      </c>
      <c r="Q29" s="14">
        <f t="shared" si="7"/>
        <v>1.1434550677061961</v>
      </c>
      <c r="R29" s="14">
        <f ca="1">IFERROR(__xludf.DUMMYFUNCTION("IFERROR(
  AVERAGE(
    FILTER(
      $O$2:O29,
      $A$2:A29 &gt;= A29 - 30,
      $A$2:A29 &lt;= A29,
      $O$2:O29 &gt; 0
    )
  ),
"""")"),1.96270058242183)</f>
        <v>1.96270058242183</v>
      </c>
      <c r="S29" s="14"/>
    </row>
    <row r="30" spans="1:19" ht="15.75" customHeight="1" x14ac:dyDescent="0.25">
      <c r="A30" s="9">
        <v>45929</v>
      </c>
      <c r="B30" s="10">
        <v>6780</v>
      </c>
      <c r="C30" s="10">
        <v>125</v>
      </c>
      <c r="D30" s="10">
        <f t="shared" si="0"/>
        <v>6905</v>
      </c>
      <c r="E30" s="11">
        <f t="shared" si="1"/>
        <v>1.8102824040550327</v>
      </c>
      <c r="F30" s="12"/>
      <c r="G30" s="10">
        <v>5100</v>
      </c>
      <c r="H30" s="10">
        <v>83</v>
      </c>
      <c r="I30" s="10">
        <f t="shared" si="2"/>
        <v>5183</v>
      </c>
      <c r="J30" s="11">
        <f t="shared" si="3"/>
        <v>1.601389156858962</v>
      </c>
      <c r="K30" s="12"/>
      <c r="L30" s="10">
        <f t="shared" ref="L30:M30" si="35">B30+G30</f>
        <v>11880</v>
      </c>
      <c r="M30" s="10">
        <f t="shared" si="35"/>
        <v>208</v>
      </c>
      <c r="N30" s="10">
        <f t="shared" si="5"/>
        <v>12088</v>
      </c>
      <c r="O30" s="11">
        <f t="shared" si="6"/>
        <v>1.7207147584381206</v>
      </c>
      <c r="P30" s="13">
        <v>1.8</v>
      </c>
      <c r="Q30" s="14">
        <f t="shared" si="7"/>
        <v>7.9285241561879438E-2</v>
      </c>
      <c r="R30" s="14">
        <f ca="1">IFERROR(__xludf.DUMMYFUNCTION("IFERROR(
  AVERAGE(
    FILTER(
      $O$2:O30,
      $A$2:A30 &gt;= A30 - 30,
      $A$2:A30 &lt;= A30,
      $O$2:O30 &gt; 0
    )
  ),
"""")"),1.95435624366377)</f>
        <v>1.95435624366377</v>
      </c>
      <c r="S30" s="14"/>
    </row>
    <row r="31" spans="1:19" ht="15.75" customHeight="1" x14ac:dyDescent="0.25">
      <c r="A31" s="9">
        <v>45930</v>
      </c>
      <c r="B31" s="10">
        <v>5848</v>
      </c>
      <c r="C31" s="10">
        <v>99</v>
      </c>
      <c r="D31" s="10">
        <f t="shared" si="0"/>
        <v>5947</v>
      </c>
      <c r="E31" s="11">
        <f t="shared" si="1"/>
        <v>1.664704893223474</v>
      </c>
      <c r="F31" s="12"/>
      <c r="G31" s="10">
        <v>5044</v>
      </c>
      <c r="H31" s="10">
        <v>98</v>
      </c>
      <c r="I31" s="10">
        <f t="shared" si="2"/>
        <v>5142</v>
      </c>
      <c r="J31" s="11">
        <f t="shared" si="3"/>
        <v>1.9058732010890704</v>
      </c>
      <c r="K31" s="12"/>
      <c r="L31" s="10">
        <f t="shared" ref="L31:M31" si="36">B31+G31</f>
        <v>10892</v>
      </c>
      <c r="M31" s="10">
        <f t="shared" si="36"/>
        <v>197</v>
      </c>
      <c r="N31" s="10">
        <f t="shared" si="5"/>
        <v>11089</v>
      </c>
      <c r="O31" s="11">
        <f t="shared" si="6"/>
        <v>1.7765353052574624</v>
      </c>
      <c r="P31" s="13">
        <v>1.8</v>
      </c>
      <c r="Q31" s="14">
        <f t="shared" si="7"/>
        <v>2.3464694742537651E-2</v>
      </c>
      <c r="R31" s="14">
        <f ca="1">IFERROR(__xludf.DUMMYFUNCTION("IFERROR(
  AVERAGE(
    FILTER(
      $O$2:O31,
      $A$2:A31 &gt;= A31 - 30,
      $A$2:A31 &lt;= A31,
      $O$2:O31 &gt; 0
    )
  ),
"""")"),1.94842887905022)</f>
        <v>1.94842887905022</v>
      </c>
      <c r="S31" s="14"/>
    </row>
    <row r="32" spans="1:19" ht="15.75" customHeight="1" x14ac:dyDescent="0.25">
      <c r="A32" s="9">
        <v>45931</v>
      </c>
      <c r="B32" s="10">
        <v>5298</v>
      </c>
      <c r="C32" s="10">
        <v>101</v>
      </c>
      <c r="D32" s="10">
        <f t="shared" si="0"/>
        <v>5399</v>
      </c>
      <c r="E32" s="11">
        <f t="shared" si="1"/>
        <v>1.8707167994072975</v>
      </c>
      <c r="F32" s="12"/>
      <c r="G32" s="10">
        <v>4975</v>
      </c>
      <c r="H32" s="10">
        <v>106</v>
      </c>
      <c r="I32" s="10">
        <f t="shared" si="2"/>
        <v>5081</v>
      </c>
      <c r="J32" s="11">
        <f t="shared" si="3"/>
        <v>2.086203503247392</v>
      </c>
      <c r="K32" s="12"/>
      <c r="L32" s="10">
        <f t="shared" ref="L32:M32" si="37">B32+G32</f>
        <v>10273</v>
      </c>
      <c r="M32" s="10">
        <f t="shared" si="37"/>
        <v>207</v>
      </c>
      <c r="N32" s="10">
        <f t="shared" si="5"/>
        <v>10480</v>
      </c>
      <c r="O32" s="11">
        <f t="shared" si="6"/>
        <v>1.9751908396946565</v>
      </c>
      <c r="P32" s="13">
        <v>1.8</v>
      </c>
      <c r="Q32" s="14">
        <f t="shared" si="7"/>
        <v>-0.17519083969465643</v>
      </c>
      <c r="R32" s="14">
        <f ca="1">IFERROR(__xludf.DUMMYFUNCTION("IFERROR(
  AVERAGE(
    FILTER(
      $O$2:O32,
      $A$2:A32 &gt;= A32 - 30,
      $A$2:A32 &lt;= A32,
      $O$2:O32 &gt; 0
    )
  ),
"""")"),1.94929216810327)</f>
        <v>1.94929216810327</v>
      </c>
      <c r="S32" s="14"/>
    </row>
    <row r="33" spans="1:19" ht="15.75" customHeight="1" x14ac:dyDescent="0.25">
      <c r="A33" s="9">
        <v>45932</v>
      </c>
      <c r="B33" s="10">
        <v>5388</v>
      </c>
      <c r="C33" s="10">
        <v>97</v>
      </c>
      <c r="D33" s="10">
        <f t="shared" si="0"/>
        <v>5485</v>
      </c>
      <c r="E33" s="11">
        <f t="shared" si="1"/>
        <v>1.7684594348222424</v>
      </c>
      <c r="F33" s="12"/>
      <c r="G33" s="10">
        <v>5373</v>
      </c>
      <c r="H33" s="10">
        <v>51</v>
      </c>
      <c r="I33" s="10">
        <f t="shared" si="2"/>
        <v>5424</v>
      </c>
      <c r="J33" s="11">
        <f t="shared" si="3"/>
        <v>0.94026548672566368</v>
      </c>
      <c r="K33" s="12"/>
      <c r="L33" s="10">
        <f t="shared" ref="L33:M33" si="38">B33+G33</f>
        <v>10761</v>
      </c>
      <c r="M33" s="10">
        <f t="shared" si="38"/>
        <v>148</v>
      </c>
      <c r="N33" s="10">
        <f t="shared" si="5"/>
        <v>10909</v>
      </c>
      <c r="O33" s="11">
        <f t="shared" si="6"/>
        <v>1.3566779723164359</v>
      </c>
      <c r="P33" s="13">
        <v>1.8</v>
      </c>
      <c r="Q33" s="14">
        <f t="shared" si="7"/>
        <v>0.4433220276835641</v>
      </c>
      <c r="R33" s="14">
        <f ca="1">IFERROR(__xludf.DUMMYFUNCTION("IFERROR(
  AVERAGE(
    FILTER(
      $O$2:O33,
      $A$2:A33 &gt;= A33 - 30,
      $A$2:A33 &lt;= A33,
      $O$2:O33 &gt; 0
    )
  ),
"""")"),1.92513793210564)</f>
        <v>1.9251379321056401</v>
      </c>
      <c r="S33" s="14"/>
    </row>
    <row r="34" spans="1:19" ht="15.75" customHeight="1" x14ac:dyDescent="0.25">
      <c r="A34" s="9">
        <v>45933</v>
      </c>
      <c r="B34" s="10">
        <v>5674</v>
      </c>
      <c r="C34" s="10">
        <v>43</v>
      </c>
      <c r="D34" s="10">
        <f t="shared" si="0"/>
        <v>5717</v>
      </c>
      <c r="E34" s="11">
        <f t="shared" si="1"/>
        <v>0.75214273220220396</v>
      </c>
      <c r="F34" s="12"/>
      <c r="G34" s="10">
        <v>5339</v>
      </c>
      <c r="H34" s="10">
        <v>26</v>
      </c>
      <c r="I34" s="10">
        <f t="shared" si="2"/>
        <v>5365</v>
      </c>
      <c r="J34" s="11">
        <f t="shared" si="3"/>
        <v>0.48462255358807083</v>
      </c>
      <c r="K34" s="12"/>
      <c r="L34" s="10">
        <f t="shared" ref="L34:M34" si="39">B34+G34</f>
        <v>11013</v>
      </c>
      <c r="M34" s="10">
        <f t="shared" si="39"/>
        <v>69</v>
      </c>
      <c r="N34" s="10">
        <f t="shared" si="5"/>
        <v>11082</v>
      </c>
      <c r="O34" s="11">
        <f t="shared" si="6"/>
        <v>0.62263129399025452</v>
      </c>
      <c r="P34" s="13">
        <v>1.8</v>
      </c>
      <c r="Q34" s="14">
        <f t="shared" si="7"/>
        <v>1.1773687060097455</v>
      </c>
      <c r="R34" s="14">
        <f ca="1">IFERROR(__xludf.DUMMYFUNCTION("IFERROR(
  AVERAGE(
    FILTER(
      $O$2:O34,
      $A$2:A34 &gt;= A34 - 30,
      $A$2:A34 &lt;= A34,
      $O$2:O34 &gt; 0
    )
  ),
"""")"),1.86685130235548)</f>
        <v>1.86685130235548</v>
      </c>
      <c r="S34" s="14"/>
    </row>
    <row r="35" spans="1:19" ht="15.75" customHeight="1" x14ac:dyDescent="0.25">
      <c r="A35" s="9">
        <v>45934</v>
      </c>
      <c r="B35" s="10">
        <v>5898</v>
      </c>
      <c r="C35" s="10">
        <v>111</v>
      </c>
      <c r="D35" s="10">
        <f t="shared" si="0"/>
        <v>6009</v>
      </c>
      <c r="E35" s="11">
        <f t="shared" si="1"/>
        <v>1.8472291562656016</v>
      </c>
      <c r="F35" s="12"/>
      <c r="G35" s="10">
        <v>5350</v>
      </c>
      <c r="H35" s="10">
        <v>38</v>
      </c>
      <c r="I35" s="10">
        <f t="shared" si="2"/>
        <v>5388</v>
      </c>
      <c r="J35" s="11">
        <f t="shared" si="3"/>
        <v>0.70527097253155158</v>
      </c>
      <c r="K35" s="12"/>
      <c r="L35" s="10">
        <f t="shared" ref="L35:M35" si="40">B35+G35</f>
        <v>11248</v>
      </c>
      <c r="M35" s="10">
        <f t="shared" si="40"/>
        <v>149</v>
      </c>
      <c r="N35" s="10">
        <f t="shared" si="5"/>
        <v>11397</v>
      </c>
      <c r="O35" s="11">
        <f t="shared" si="6"/>
        <v>1.3073615863823813</v>
      </c>
      <c r="P35" s="13">
        <v>1.8</v>
      </c>
      <c r="Q35" s="14">
        <f t="shared" si="7"/>
        <v>0.49263841361761873</v>
      </c>
      <c r="R35" s="14">
        <f ca="1">IFERROR(__xludf.DUMMYFUNCTION("IFERROR(
  AVERAGE(
    FILTER(
      $O$2:O35,
      $A$2:A35 &gt;= A35 - 30,
      $A$2:A35 &lt;= A35,
      $O$2:O35 &gt; 0
    )
  ),
"""")"),1.81500331489171)</f>
        <v>1.81500331489171</v>
      </c>
      <c r="S35" s="14"/>
    </row>
    <row r="36" spans="1:19" ht="15.75" customHeight="1" x14ac:dyDescent="0.25">
      <c r="A36" s="9">
        <v>45935</v>
      </c>
      <c r="B36" s="10">
        <v>4778</v>
      </c>
      <c r="C36" s="10">
        <v>110</v>
      </c>
      <c r="D36" s="10">
        <f t="shared" si="0"/>
        <v>4888</v>
      </c>
      <c r="E36" s="11">
        <f t="shared" si="1"/>
        <v>2.250409165302782</v>
      </c>
      <c r="F36" s="12"/>
      <c r="G36" s="10">
        <v>6043</v>
      </c>
      <c r="H36" s="10">
        <v>18</v>
      </c>
      <c r="I36" s="10">
        <f t="shared" si="2"/>
        <v>6061</v>
      </c>
      <c r="J36" s="11">
        <f t="shared" si="3"/>
        <v>0.29698069625474344</v>
      </c>
      <c r="K36" s="12"/>
      <c r="L36" s="10">
        <f t="shared" ref="L36:M36" si="41">B36+G36</f>
        <v>10821</v>
      </c>
      <c r="M36" s="10">
        <f t="shared" si="41"/>
        <v>128</v>
      </c>
      <c r="N36" s="10">
        <f t="shared" si="5"/>
        <v>10949</v>
      </c>
      <c r="O36" s="11">
        <f t="shared" si="6"/>
        <v>1.1690565348433648</v>
      </c>
      <c r="P36" s="13">
        <v>1.8</v>
      </c>
      <c r="Q36" s="14">
        <f t="shared" si="7"/>
        <v>0.63094346515663524</v>
      </c>
      <c r="R36" s="14">
        <f ca="1">IFERROR(__xludf.DUMMYFUNCTION("IFERROR(
  AVERAGE(
    FILTER(
      $O$2:O36,
      $A$2:A36 &gt;= A36 - 30,
      $A$2:A36 &lt;= A36,
      $O$2:O36 &gt; 0
    )
  ),
"""")"),1.80686215351636)</f>
        <v>1.80686215351636</v>
      </c>
      <c r="S36" s="14"/>
    </row>
    <row r="37" spans="1:19" ht="15.75" customHeight="1" x14ac:dyDescent="0.25">
      <c r="A37" s="9">
        <v>45936</v>
      </c>
      <c r="B37" s="10">
        <v>5784</v>
      </c>
      <c r="C37" s="10">
        <v>56</v>
      </c>
      <c r="D37" s="10">
        <f t="shared" si="0"/>
        <v>5840</v>
      </c>
      <c r="E37" s="11">
        <f t="shared" si="1"/>
        <v>0.95890410958904115</v>
      </c>
      <c r="F37" s="12"/>
      <c r="G37" s="10">
        <v>5501</v>
      </c>
      <c r="H37" s="10">
        <v>50</v>
      </c>
      <c r="I37" s="10">
        <f t="shared" si="2"/>
        <v>5551</v>
      </c>
      <c r="J37" s="11">
        <f t="shared" si="3"/>
        <v>0.90073860565663844</v>
      </c>
      <c r="K37" s="12"/>
      <c r="L37" s="10">
        <f t="shared" ref="L37:M37" si="42">B37+G37</f>
        <v>11285</v>
      </c>
      <c r="M37" s="10">
        <f t="shared" si="42"/>
        <v>106</v>
      </c>
      <c r="N37" s="10">
        <f t="shared" si="5"/>
        <v>11391</v>
      </c>
      <c r="O37" s="11">
        <f t="shared" si="6"/>
        <v>0.93055921341409886</v>
      </c>
      <c r="P37" s="13">
        <v>1.8</v>
      </c>
      <c r="Q37" s="14">
        <f t="shared" si="7"/>
        <v>0.86944078658590118</v>
      </c>
      <c r="R37" s="14">
        <f ca="1">IFERROR(__xludf.DUMMYFUNCTION("IFERROR(
  AVERAGE(
    FILTER(
      $O$2:O37,
      $A$2:A37 &gt;= A37 - 30,
      $A$2:A37 &lt;= A37,
      $O$2:O37 &gt; 0
    )
  ),
"""")"),1.7873920993124)</f>
        <v>1.7873920993124</v>
      </c>
      <c r="S37" s="14"/>
    </row>
    <row r="38" spans="1:19" ht="15.75" customHeight="1" x14ac:dyDescent="0.25">
      <c r="A38" s="9">
        <v>45937</v>
      </c>
      <c r="B38" s="10">
        <v>6037</v>
      </c>
      <c r="C38" s="10">
        <v>57</v>
      </c>
      <c r="D38" s="10">
        <f t="shared" si="0"/>
        <v>6094</v>
      </c>
      <c r="E38" s="11">
        <f t="shared" si="1"/>
        <v>0.93534624220544804</v>
      </c>
      <c r="F38" s="12"/>
      <c r="G38" s="10">
        <v>5168</v>
      </c>
      <c r="H38" s="10">
        <v>56</v>
      </c>
      <c r="I38" s="10">
        <f t="shared" si="2"/>
        <v>5224</v>
      </c>
      <c r="J38" s="11">
        <f t="shared" si="3"/>
        <v>1.0719754977029097</v>
      </c>
      <c r="K38" s="12"/>
      <c r="L38" s="10">
        <f t="shared" ref="L38:M38" si="43">B38+G38</f>
        <v>11205</v>
      </c>
      <c r="M38" s="10">
        <f t="shared" si="43"/>
        <v>113</v>
      </c>
      <c r="N38" s="10">
        <f t="shared" si="5"/>
        <v>11318</v>
      </c>
      <c r="O38" s="11">
        <f t="shared" si="6"/>
        <v>0.99840961300583131</v>
      </c>
      <c r="P38" s="13">
        <v>1.8</v>
      </c>
      <c r="Q38" s="14">
        <f t="shared" si="7"/>
        <v>0.80159038699416874</v>
      </c>
      <c r="R38" s="14">
        <f ca="1">IFERROR(__xludf.DUMMYFUNCTION("IFERROR(
  AVERAGE(
    FILTER(
      $O$2:O38,
      $A$2:A38 &gt;= A38 - 30,
      $A$2:A38 &lt;= A38,
      $O$2:O38 &gt; 0
    )
  ),
"""")"),1.75277115052867)</f>
        <v>1.7527711505286701</v>
      </c>
      <c r="S38" s="14"/>
    </row>
    <row r="39" spans="1:19" ht="15.75" customHeight="1" x14ac:dyDescent="0.25">
      <c r="A39" s="9">
        <v>45938</v>
      </c>
      <c r="B39" s="10">
        <v>5930</v>
      </c>
      <c r="C39" s="10">
        <v>72</v>
      </c>
      <c r="D39" s="10">
        <f t="shared" si="0"/>
        <v>6002</v>
      </c>
      <c r="E39" s="11">
        <f t="shared" si="1"/>
        <v>1.1996001332889037</v>
      </c>
      <c r="F39" s="12"/>
      <c r="G39" s="10">
        <v>5961</v>
      </c>
      <c r="H39" s="10">
        <v>38</v>
      </c>
      <c r="I39" s="10">
        <f t="shared" si="2"/>
        <v>5999</v>
      </c>
      <c r="J39" s="11">
        <f t="shared" si="3"/>
        <v>0.63343890648441403</v>
      </c>
      <c r="K39" s="12"/>
      <c r="L39" s="10">
        <f t="shared" ref="L39:M39" si="44">B39+G39</f>
        <v>11891</v>
      </c>
      <c r="M39" s="10">
        <f t="shared" si="44"/>
        <v>110</v>
      </c>
      <c r="N39" s="10">
        <f t="shared" si="5"/>
        <v>12001</v>
      </c>
      <c r="O39" s="11">
        <f t="shared" si="6"/>
        <v>0.91659028414298804</v>
      </c>
      <c r="P39" s="13">
        <v>1.8</v>
      </c>
      <c r="Q39" s="14">
        <f t="shared" si="7"/>
        <v>0.883409715857012</v>
      </c>
      <c r="R39" s="14">
        <f ca="1">IFERROR(__xludf.DUMMYFUNCTION("IFERROR(
  AVERAGE(
    FILTER(
      $O$2:O39,
      $A$2:A39 &gt;= A39 - 30,
      $A$2:A39 &lt;= A39,
      $O$2:O39 &gt; 0
    )
  ),
"""")"),1.60222630468277)</f>
        <v>1.6022263046827701</v>
      </c>
      <c r="S39" s="14"/>
    </row>
    <row r="40" spans="1:19" ht="15.75" customHeight="1" x14ac:dyDescent="0.25">
      <c r="A40" s="9">
        <v>45939</v>
      </c>
      <c r="B40" s="10">
        <v>5486</v>
      </c>
      <c r="C40" s="10">
        <v>72</v>
      </c>
      <c r="D40" s="10">
        <f t="shared" si="0"/>
        <v>5558</v>
      </c>
      <c r="E40" s="11">
        <f t="shared" si="1"/>
        <v>1.2954300107952501</v>
      </c>
      <c r="F40" s="12"/>
      <c r="G40" s="10">
        <v>5377</v>
      </c>
      <c r="H40" s="10">
        <v>18</v>
      </c>
      <c r="I40" s="10">
        <f t="shared" si="2"/>
        <v>5395</v>
      </c>
      <c r="J40" s="11">
        <f t="shared" si="3"/>
        <v>0.33364226135310471</v>
      </c>
      <c r="K40" s="12"/>
      <c r="L40" s="10">
        <f t="shared" ref="L40:M40" si="45">B40+G40</f>
        <v>10863</v>
      </c>
      <c r="M40" s="10">
        <f t="shared" si="45"/>
        <v>90</v>
      </c>
      <c r="N40" s="10">
        <f t="shared" si="5"/>
        <v>10953</v>
      </c>
      <c r="O40" s="11">
        <f t="shared" si="6"/>
        <v>0.82169268693508624</v>
      </c>
      <c r="P40" s="13">
        <v>1.8</v>
      </c>
      <c r="Q40" s="14">
        <f t="shared" si="7"/>
        <v>0.97830731306491381</v>
      </c>
      <c r="R40" s="14">
        <f ca="1">IFERROR(__xludf.DUMMYFUNCTION("IFERROR(
  AVERAGE(
    FILTER(
      $O$2:O40,
      $A$2:A40 &gt;= A40 - 30,
      $A$2:A40 &lt;= A40,
      $O$2:O40 &gt; 0
    )
  ),
"""")"),1.56453291036565)</f>
        <v>1.56453291036565</v>
      </c>
      <c r="S40" s="14"/>
    </row>
    <row r="41" spans="1:19" ht="15.75" customHeight="1" x14ac:dyDescent="0.25">
      <c r="A41" s="9">
        <v>45940</v>
      </c>
      <c r="B41" s="10">
        <v>6750</v>
      </c>
      <c r="C41" s="10">
        <v>22</v>
      </c>
      <c r="D41" s="10">
        <f t="shared" si="0"/>
        <v>6772</v>
      </c>
      <c r="E41" s="11">
        <f t="shared" si="1"/>
        <v>0.32486709982279977</v>
      </c>
      <c r="F41" s="12"/>
      <c r="G41" s="10">
        <v>5004</v>
      </c>
      <c r="H41" s="10">
        <v>45</v>
      </c>
      <c r="I41" s="10">
        <f t="shared" si="2"/>
        <v>5049</v>
      </c>
      <c r="J41" s="11">
        <f t="shared" si="3"/>
        <v>0.89126559714795006</v>
      </c>
      <c r="K41" s="12"/>
      <c r="L41" s="10">
        <f t="shared" ref="L41:M41" si="46">B41+G41</f>
        <v>11754</v>
      </c>
      <c r="M41" s="10">
        <f t="shared" si="46"/>
        <v>67</v>
      </c>
      <c r="N41" s="10">
        <f t="shared" si="5"/>
        <v>11821</v>
      </c>
      <c r="O41" s="11">
        <f t="shared" si="6"/>
        <v>0.5667879198037391</v>
      </c>
      <c r="P41" s="13">
        <v>1.8</v>
      </c>
      <c r="Q41" s="14">
        <f t="shared" si="7"/>
        <v>1.2332120801962609</v>
      </c>
      <c r="R41" s="14">
        <f ca="1">IFERROR(__xludf.DUMMYFUNCTION("IFERROR(
  AVERAGE(
    FILTER(
      $O$2:O41,
      $A$2:A41 &gt;= A41 - 30,
      $A$2:A41 &lt;= A41,
      $O$2:O41 &gt; 0
    )
  ),
"""")"),1.51454981488135)</f>
        <v>1.5145498148813501</v>
      </c>
      <c r="S41" s="14"/>
    </row>
    <row r="42" spans="1:19" ht="15.75" customHeight="1" x14ac:dyDescent="0.25">
      <c r="A42" s="9">
        <v>45941</v>
      </c>
      <c r="B42" s="10">
        <v>5990</v>
      </c>
      <c r="C42" s="10">
        <v>177</v>
      </c>
      <c r="D42" s="10">
        <f t="shared" si="0"/>
        <v>6167</v>
      </c>
      <c r="E42" s="11">
        <f t="shared" si="1"/>
        <v>2.8701151289119506</v>
      </c>
      <c r="F42" s="12"/>
      <c r="G42" s="10">
        <v>6282</v>
      </c>
      <c r="H42" s="10">
        <v>58</v>
      </c>
      <c r="I42" s="10">
        <f t="shared" si="2"/>
        <v>6340</v>
      </c>
      <c r="J42" s="11">
        <f t="shared" si="3"/>
        <v>0.91482649842271291</v>
      </c>
      <c r="K42" s="12"/>
      <c r="L42" s="10">
        <f t="shared" ref="L42:M42" si="47">B42+G42</f>
        <v>12272</v>
      </c>
      <c r="M42" s="10">
        <f t="shared" si="47"/>
        <v>235</v>
      </c>
      <c r="N42" s="10">
        <f t="shared" si="5"/>
        <v>12507</v>
      </c>
      <c r="O42" s="11">
        <f t="shared" si="6"/>
        <v>1.8789477892380269</v>
      </c>
      <c r="P42" s="13">
        <v>1.8</v>
      </c>
      <c r="Q42" s="14">
        <f t="shared" si="7"/>
        <v>-7.8947789238026811E-2</v>
      </c>
      <c r="R42" s="14">
        <f ca="1">IFERROR(__xludf.DUMMYFUNCTION("IFERROR(
  AVERAGE(
    FILTER(
      $O$2:O42,
      $A$2:A42 &gt;= A42 - 30,
      $A$2:A42 &lt;= A42,
      $O$2:O42 &gt; 0
    )
  ),
"""")"),1.54332741759022)</f>
        <v>1.5433274175902201</v>
      </c>
      <c r="S42" s="14"/>
    </row>
    <row r="43" spans="1:19" ht="15.75" customHeight="1" x14ac:dyDescent="0.25">
      <c r="A43" s="9">
        <v>45942</v>
      </c>
      <c r="B43" s="10">
        <v>5436</v>
      </c>
      <c r="C43" s="10">
        <v>80</v>
      </c>
      <c r="D43" s="10">
        <f t="shared" si="0"/>
        <v>5516</v>
      </c>
      <c r="E43" s="11">
        <f t="shared" si="1"/>
        <v>1.4503263234227701</v>
      </c>
      <c r="F43" s="12"/>
      <c r="G43" s="10">
        <v>5436</v>
      </c>
      <c r="H43" s="10">
        <v>20</v>
      </c>
      <c r="I43" s="10">
        <f t="shared" si="2"/>
        <v>5456</v>
      </c>
      <c r="J43" s="11">
        <f t="shared" si="3"/>
        <v>0.36656891495601174</v>
      </c>
      <c r="K43" s="12"/>
      <c r="L43" s="10">
        <f t="shared" ref="L43:M43" si="48">B43+G43</f>
        <v>10872</v>
      </c>
      <c r="M43" s="10">
        <f t="shared" si="48"/>
        <v>100</v>
      </c>
      <c r="N43" s="10">
        <f t="shared" si="5"/>
        <v>10972</v>
      </c>
      <c r="O43" s="11">
        <f t="shared" si="6"/>
        <v>0.91141086401749904</v>
      </c>
      <c r="P43" s="13">
        <v>1.8</v>
      </c>
      <c r="Q43" s="14">
        <f t="shared" si="7"/>
        <v>0.888589135982501</v>
      </c>
      <c r="R43" s="14">
        <f ca="1">IFERROR(__xludf.DUMMYFUNCTION("IFERROR(
  AVERAGE(
    FILTER(
      $O$2:O43,
      $A$2:A43 &gt;= A43 - 30,
      $A$2:A43 &lt;= A43,
      $O$2:O43 &gt; 0
    )
  ),
"""")"),1.54586551301448)</f>
        <v>1.5458655130144801</v>
      </c>
      <c r="S43" s="14"/>
    </row>
    <row r="44" spans="1:19" ht="15.75" customHeight="1" x14ac:dyDescent="0.25">
      <c r="A44" s="9">
        <v>45943</v>
      </c>
      <c r="B44" s="10">
        <v>5994</v>
      </c>
      <c r="C44" s="10">
        <v>130</v>
      </c>
      <c r="D44" s="10">
        <f t="shared" si="0"/>
        <v>6124</v>
      </c>
      <c r="E44" s="11">
        <f t="shared" si="1"/>
        <v>2.1227955584585239</v>
      </c>
      <c r="F44" s="12"/>
      <c r="G44" s="10">
        <v>5876</v>
      </c>
      <c r="H44" s="10">
        <v>6</v>
      </c>
      <c r="I44" s="10">
        <f t="shared" si="2"/>
        <v>5882</v>
      </c>
      <c r="J44" s="11">
        <f t="shared" si="3"/>
        <v>0.10200612036722204</v>
      </c>
      <c r="K44" s="12"/>
      <c r="L44" s="10">
        <f t="shared" ref="L44:M44" si="49">B44+G44</f>
        <v>11870</v>
      </c>
      <c r="M44" s="10">
        <f t="shared" si="49"/>
        <v>136</v>
      </c>
      <c r="N44" s="10">
        <f t="shared" si="5"/>
        <v>12006</v>
      </c>
      <c r="O44" s="11">
        <f t="shared" si="6"/>
        <v>1.1327669498584041</v>
      </c>
      <c r="P44" s="13">
        <v>1.8</v>
      </c>
      <c r="Q44" s="14">
        <f t="shared" si="7"/>
        <v>0.66723305014159595</v>
      </c>
      <c r="R44" s="14">
        <f ca="1">IFERROR(__xludf.DUMMYFUNCTION("IFERROR(
  AVERAGE(
    FILTER(
      $O$2:O44,
      $A$2:A44 &gt;= A44 - 30,
      $A$2:A44 &lt;= A44,
      $O$2:O44 &gt; 0
    )
  ),
"""")"),1.55296512959966)</f>
        <v>1.55296512959966</v>
      </c>
      <c r="S44" s="14"/>
    </row>
    <row r="45" spans="1:19" ht="15.75" customHeight="1" x14ac:dyDescent="0.25">
      <c r="A45" s="9">
        <v>45944</v>
      </c>
      <c r="B45" s="10">
        <v>5390</v>
      </c>
      <c r="C45" s="10">
        <v>157</v>
      </c>
      <c r="D45" s="10">
        <f t="shared" si="0"/>
        <v>5547</v>
      </c>
      <c r="E45" s="11">
        <f t="shared" si="1"/>
        <v>2.8303587524788174</v>
      </c>
      <c r="F45" s="12"/>
      <c r="G45" s="10">
        <v>5165</v>
      </c>
      <c r="H45" s="10">
        <v>87</v>
      </c>
      <c r="I45" s="10">
        <f t="shared" si="2"/>
        <v>5252</v>
      </c>
      <c r="J45" s="11">
        <f t="shared" si="3"/>
        <v>1.6565118050266565</v>
      </c>
      <c r="K45" s="12"/>
      <c r="L45" s="10">
        <f t="shared" ref="L45:M45" si="50">B45+G45</f>
        <v>10555</v>
      </c>
      <c r="M45" s="10">
        <f t="shared" si="50"/>
        <v>244</v>
      </c>
      <c r="N45" s="10">
        <f t="shared" si="5"/>
        <v>10799</v>
      </c>
      <c r="O45" s="11">
        <f t="shared" si="6"/>
        <v>2.2594684693027132</v>
      </c>
      <c r="P45" s="13">
        <v>1.8</v>
      </c>
      <c r="Q45" s="14">
        <f t="shared" si="7"/>
        <v>-0.45946846930271312</v>
      </c>
      <c r="R45" s="14">
        <f ca="1">IFERROR(__xludf.DUMMYFUNCTION("IFERROR(
  AVERAGE(
    FILTER(
      $O$2:O45,
      $A$2:A45 &gt;= A45 - 30,
      $A$2:A45 &lt;= A45,
      $O$2:O45 &gt; 0
    )
  ),
"""")"),1.48680426021778)</f>
        <v>1.48680426021778</v>
      </c>
      <c r="S45" s="14"/>
    </row>
    <row r="46" spans="1:19" ht="15.75" customHeight="1" x14ac:dyDescent="0.25">
      <c r="A46" s="9">
        <v>45945</v>
      </c>
      <c r="B46" s="10">
        <v>6550</v>
      </c>
      <c r="C46" s="10">
        <v>47</v>
      </c>
      <c r="D46" s="10">
        <f t="shared" si="0"/>
        <v>6597</v>
      </c>
      <c r="E46" s="11">
        <f t="shared" si="1"/>
        <v>0.7124450507806579</v>
      </c>
      <c r="F46" s="12"/>
      <c r="G46" s="10">
        <v>5133</v>
      </c>
      <c r="H46" s="10">
        <v>96</v>
      </c>
      <c r="I46" s="10">
        <f t="shared" si="2"/>
        <v>5229</v>
      </c>
      <c r="J46" s="11">
        <f t="shared" si="3"/>
        <v>1.8359150889271372</v>
      </c>
      <c r="K46" s="12"/>
      <c r="L46" s="10">
        <f t="shared" ref="L46:M46" si="51">B46+G46</f>
        <v>11683</v>
      </c>
      <c r="M46" s="10">
        <f t="shared" si="51"/>
        <v>143</v>
      </c>
      <c r="N46" s="10">
        <f t="shared" si="5"/>
        <v>11826</v>
      </c>
      <c r="O46" s="11">
        <f t="shared" si="6"/>
        <v>1.2092000676475563</v>
      </c>
      <c r="P46" s="13">
        <v>1.8</v>
      </c>
      <c r="Q46" s="14">
        <f t="shared" si="7"/>
        <v>0.59079993235244377</v>
      </c>
      <c r="R46" s="14">
        <f ca="1">IFERROR(__xludf.DUMMYFUNCTION("IFERROR(
  AVERAGE(
    FILTER(
      $O$2:O46,
      $A$2:A46 &gt;= A46 - 30,
      $A$2:A46 &lt;= A46,
      $O$2:O46 &gt; 0
    )
  ),
"""")"),1.45858508500961)</f>
        <v>1.45858508500961</v>
      </c>
      <c r="S46" s="14"/>
    </row>
    <row r="47" spans="1:19" ht="15.75" customHeight="1" x14ac:dyDescent="0.25">
      <c r="A47" s="9">
        <v>45946</v>
      </c>
      <c r="B47" s="10">
        <v>4850</v>
      </c>
      <c r="C47" s="10">
        <v>86</v>
      </c>
      <c r="D47" s="10">
        <f t="shared" si="0"/>
        <v>4936</v>
      </c>
      <c r="E47" s="11">
        <f t="shared" si="1"/>
        <v>1.7423014586709886</v>
      </c>
      <c r="F47" s="12"/>
      <c r="G47" s="10">
        <v>5365</v>
      </c>
      <c r="H47" s="10">
        <v>59</v>
      </c>
      <c r="I47" s="10">
        <f t="shared" si="2"/>
        <v>5424</v>
      </c>
      <c r="J47" s="11">
        <f t="shared" si="3"/>
        <v>1.0877581120943953</v>
      </c>
      <c r="K47" s="12"/>
      <c r="L47" s="10">
        <f t="shared" ref="L47:M47" si="52">B47+G47</f>
        <v>10215</v>
      </c>
      <c r="M47" s="10">
        <f t="shared" si="52"/>
        <v>145</v>
      </c>
      <c r="N47" s="10">
        <f t="shared" si="5"/>
        <v>10360</v>
      </c>
      <c r="O47" s="11">
        <f t="shared" si="6"/>
        <v>1.3996138996138996</v>
      </c>
      <c r="P47" s="13">
        <v>1.8</v>
      </c>
      <c r="Q47" s="14">
        <f t="shared" si="7"/>
        <v>0.40038610038610045</v>
      </c>
      <c r="R47" s="14">
        <f ca="1">IFERROR(__xludf.DUMMYFUNCTION("IFERROR(
  AVERAGE(
    FILTER(
      $O$2:O47,
      $A$2:A47 &gt;= A47 - 30,
      $A$2:A47 &lt;= A47,
      $O$2:O47 &gt; 0
    )
  ),
"""")"),1.44230639061404)</f>
        <v>1.4423063906140401</v>
      </c>
      <c r="S47" s="14"/>
    </row>
    <row r="48" spans="1:19" ht="15.75" customHeight="1" x14ac:dyDescent="0.25">
      <c r="A48" s="9">
        <v>45947</v>
      </c>
      <c r="B48" s="10">
        <v>5108</v>
      </c>
      <c r="C48" s="10">
        <v>93</v>
      </c>
      <c r="D48" s="10">
        <f t="shared" si="0"/>
        <v>5201</v>
      </c>
      <c r="E48" s="11">
        <f t="shared" si="1"/>
        <v>1.7881176696789081</v>
      </c>
      <c r="F48" s="12"/>
      <c r="G48" s="10">
        <v>6225</v>
      </c>
      <c r="H48" s="10">
        <v>81</v>
      </c>
      <c r="I48" s="10">
        <f t="shared" si="2"/>
        <v>6306</v>
      </c>
      <c r="J48" s="11">
        <f t="shared" si="3"/>
        <v>1.2844909609895336</v>
      </c>
      <c r="K48" s="12"/>
      <c r="L48" s="10">
        <f t="shared" ref="L48:M48" si="53">B48+G48</f>
        <v>11333</v>
      </c>
      <c r="M48" s="10">
        <f t="shared" si="53"/>
        <v>174</v>
      </c>
      <c r="N48" s="10">
        <f t="shared" si="5"/>
        <v>11507</v>
      </c>
      <c r="O48" s="11">
        <f t="shared" si="6"/>
        <v>1.5121230555314158</v>
      </c>
      <c r="P48" s="13">
        <v>1.8</v>
      </c>
      <c r="Q48" s="14">
        <f t="shared" si="7"/>
        <v>0.28787694446858425</v>
      </c>
      <c r="R48" s="14">
        <f ca="1">IFERROR(__xludf.DUMMYFUNCTION("IFERROR(
  AVERAGE(
    FILTER(
      $O$2:O48,
      $A$2:A48 &gt;= A48 - 30,
      $A$2:A48 &lt;= A48,
      $O$2:O48 &gt; 0
    )
  ),
"""")"),1.46799705745413)</f>
        <v>1.4679970574541299</v>
      </c>
      <c r="S48" s="14"/>
    </row>
    <row r="49" spans="1:19" ht="15.75" customHeight="1" x14ac:dyDescent="0.25">
      <c r="A49" s="9">
        <v>45948</v>
      </c>
      <c r="B49" s="10">
        <v>5826</v>
      </c>
      <c r="C49" s="10">
        <v>97</v>
      </c>
      <c r="D49" s="10">
        <f t="shared" si="0"/>
        <v>5923</v>
      </c>
      <c r="E49" s="11">
        <f t="shared" si="1"/>
        <v>1.6376836062806011</v>
      </c>
      <c r="F49" s="12"/>
      <c r="G49" s="10">
        <v>5727</v>
      </c>
      <c r="H49" s="10">
        <v>42</v>
      </c>
      <c r="I49" s="10">
        <f t="shared" si="2"/>
        <v>5769</v>
      </c>
      <c r="J49" s="11">
        <f t="shared" si="3"/>
        <v>0.72802912116484664</v>
      </c>
      <c r="K49" s="12"/>
      <c r="L49" s="10">
        <f t="shared" ref="L49:M49" si="54">B49+G49</f>
        <v>11553</v>
      </c>
      <c r="M49" s="10">
        <f t="shared" si="54"/>
        <v>139</v>
      </c>
      <c r="N49" s="10">
        <f t="shared" si="5"/>
        <v>11692</v>
      </c>
      <c r="O49" s="11">
        <f t="shared" si="6"/>
        <v>1.1888470749230242</v>
      </c>
      <c r="P49" s="13">
        <v>1.8</v>
      </c>
      <c r="Q49" s="14">
        <f t="shared" si="7"/>
        <v>0.61115292507697583</v>
      </c>
      <c r="R49" s="14">
        <f ca="1">IFERROR(__xludf.DUMMYFUNCTION("IFERROR(
  AVERAGE(
    FILTER(
      $O$2:O49,
      $A$2:A49 &gt;= A49 - 30,
      $A$2:A49 &lt;= A49,
      $O$2:O49 &gt; 0
    )
  ),
"""")"),1.49070730091351)</f>
        <v>1.4907073009135099</v>
      </c>
      <c r="S49" s="14"/>
    </row>
    <row r="50" spans="1:19" ht="15.75" customHeight="1" x14ac:dyDescent="0.25">
      <c r="A50" s="9">
        <v>45949</v>
      </c>
      <c r="B50" s="10">
        <v>3972</v>
      </c>
      <c r="C50" s="10">
        <v>152</v>
      </c>
      <c r="D50" s="10">
        <f t="shared" si="0"/>
        <v>4124</v>
      </c>
      <c r="E50" s="11">
        <f t="shared" si="1"/>
        <v>3.6857419980601356</v>
      </c>
      <c r="F50" s="12"/>
      <c r="G50" s="10">
        <v>5393</v>
      </c>
      <c r="H50" s="10">
        <v>126</v>
      </c>
      <c r="I50" s="10">
        <f t="shared" si="2"/>
        <v>5519</v>
      </c>
      <c r="J50" s="11">
        <f t="shared" si="3"/>
        <v>2.2830222866461316</v>
      </c>
      <c r="K50" s="12"/>
      <c r="L50" s="10">
        <f t="shared" ref="L50:M50" si="55">B50+G50</f>
        <v>9365</v>
      </c>
      <c r="M50" s="10">
        <f t="shared" si="55"/>
        <v>278</v>
      </c>
      <c r="N50" s="10">
        <f t="shared" si="5"/>
        <v>9643</v>
      </c>
      <c r="O50" s="11">
        <f t="shared" si="6"/>
        <v>2.882920253033288</v>
      </c>
      <c r="P50" s="13">
        <v>1.8</v>
      </c>
      <c r="Q50" s="14">
        <f t="shared" si="7"/>
        <v>-1.082920253033288</v>
      </c>
      <c r="R50" s="14">
        <f ca="1">IFERROR(__xludf.DUMMYFUNCTION("IFERROR(
  AVERAGE(
    FILTER(
      $O$2:O50,
      $A$2:A50 &gt;= A50 - 30,
      $A$2:A50 &lt;= A50,
      $O$2:O50 &gt; 0
    )
  ),
"""")"),1.53301348419108)</f>
        <v>1.5330134841910801</v>
      </c>
      <c r="S50" s="14"/>
    </row>
    <row r="51" spans="1:19" ht="15.75" customHeight="1" x14ac:dyDescent="0.25">
      <c r="A51" s="9">
        <v>45950</v>
      </c>
      <c r="B51" s="10">
        <v>660</v>
      </c>
      <c r="C51" s="10">
        <v>45</v>
      </c>
      <c r="D51" s="10">
        <f t="shared" si="0"/>
        <v>705</v>
      </c>
      <c r="E51" s="11">
        <f t="shared" si="1"/>
        <v>6.3829787234042552</v>
      </c>
      <c r="F51" s="12"/>
      <c r="G51" s="10">
        <v>1565</v>
      </c>
      <c r="H51" s="10">
        <v>150</v>
      </c>
      <c r="I51" s="10">
        <f t="shared" si="2"/>
        <v>1715</v>
      </c>
      <c r="J51" s="11">
        <f t="shared" si="3"/>
        <v>8.7463556851311957</v>
      </c>
      <c r="K51" s="12"/>
      <c r="L51" s="10">
        <f t="shared" ref="L51:M51" si="56">B51+G51</f>
        <v>2225</v>
      </c>
      <c r="M51" s="10">
        <f t="shared" si="56"/>
        <v>195</v>
      </c>
      <c r="N51" s="10">
        <f t="shared" si="5"/>
        <v>2420</v>
      </c>
      <c r="O51" s="11">
        <f t="shared" si="6"/>
        <v>8.0578512396694215</v>
      </c>
      <c r="P51" s="13">
        <v>1.8</v>
      </c>
      <c r="Q51" s="14">
        <f t="shared" si="7"/>
        <v>-6.2578512396694217</v>
      </c>
      <c r="R51" s="14">
        <f ca="1">IFERROR(__xludf.DUMMYFUNCTION("IFERROR(
  AVERAGE(
    FILTER(
      $O$2:O51,
      $A$2:A51 &gt;= A51 - 30,
      $A$2:A51 &lt;= A51,
      $O$2:O51 &gt; 0
    )
  ),
"""")"),1.67509593937591)</f>
        <v>1.6750959393759099</v>
      </c>
      <c r="S51" s="14"/>
    </row>
    <row r="52" spans="1:19" ht="15.75" customHeight="1" x14ac:dyDescent="0.25">
      <c r="A52" s="9">
        <v>45951</v>
      </c>
      <c r="B52" s="10">
        <v>0</v>
      </c>
      <c r="C52" s="10">
        <v>0</v>
      </c>
      <c r="D52" s="10">
        <f t="shared" si="0"/>
        <v>0</v>
      </c>
      <c r="E52" s="11" t="e">
        <f t="shared" si="1"/>
        <v>#DIV/0!</v>
      </c>
      <c r="F52" s="12"/>
      <c r="G52" s="10">
        <v>0</v>
      </c>
      <c r="H52" s="10">
        <v>0</v>
      </c>
      <c r="I52" s="10">
        <f t="shared" si="2"/>
        <v>0</v>
      </c>
      <c r="J52" s="11" t="e">
        <f t="shared" si="3"/>
        <v>#DIV/0!</v>
      </c>
      <c r="K52" s="12"/>
      <c r="L52" s="10">
        <f t="shared" ref="L52:M52" si="57">B52+G52</f>
        <v>0</v>
      </c>
      <c r="M52" s="10">
        <f t="shared" si="57"/>
        <v>0</v>
      </c>
      <c r="N52" s="10">
        <f t="shared" si="5"/>
        <v>0</v>
      </c>
      <c r="O52" s="11" t="e">
        <f t="shared" si="6"/>
        <v>#DIV/0!</v>
      </c>
      <c r="P52" s="13">
        <v>1.8</v>
      </c>
      <c r="Q52" s="14" t="e">
        <f t="shared" si="7"/>
        <v>#DIV/0!</v>
      </c>
      <c r="R52" s="14">
        <f ca="1">IFERROR(__xludf.DUMMYFUNCTION("IFERROR(
  AVERAGE(
    FILTER(
      $O$2:O52,
      $A$2:A52 &gt;= A52 - 30,
      $A$2:A52 &lt;= A52,
      $O$2:O52 &gt; 0
    )
  ),
"""")"),1.66777517759287)</f>
        <v>1.66777517759287</v>
      </c>
      <c r="S52" s="14"/>
    </row>
    <row r="53" spans="1:19" ht="15.75" customHeight="1" x14ac:dyDescent="0.25">
      <c r="A53" s="9">
        <v>45952</v>
      </c>
      <c r="B53" s="10">
        <v>0</v>
      </c>
      <c r="C53" s="10">
        <v>0</v>
      </c>
      <c r="D53" s="10">
        <f t="shared" si="0"/>
        <v>0</v>
      </c>
      <c r="E53" s="11" t="e">
        <f t="shared" si="1"/>
        <v>#DIV/0!</v>
      </c>
      <c r="F53" s="12"/>
      <c r="G53" s="10">
        <v>0</v>
      </c>
      <c r="H53" s="10">
        <v>0</v>
      </c>
      <c r="I53" s="10">
        <f t="shared" si="2"/>
        <v>0</v>
      </c>
      <c r="J53" s="11" t="e">
        <f t="shared" si="3"/>
        <v>#DIV/0!</v>
      </c>
      <c r="K53" s="12"/>
      <c r="L53" s="10">
        <f t="shared" ref="L53:M53" si="58">B53+G53</f>
        <v>0</v>
      </c>
      <c r="M53" s="10">
        <f t="shared" si="58"/>
        <v>0</v>
      </c>
      <c r="N53" s="10">
        <f t="shared" si="5"/>
        <v>0</v>
      </c>
      <c r="O53" s="11" t="e">
        <f t="shared" si="6"/>
        <v>#DIV/0!</v>
      </c>
      <c r="P53" s="13">
        <v>1.8</v>
      </c>
      <c r="Q53" s="14" t="e">
        <f t="shared" si="7"/>
        <v>#DIV/0!</v>
      </c>
      <c r="R53" s="14">
        <f ca="1">IFERROR(__xludf.DUMMYFUNCTION("IFERROR(
  AVERAGE(
    FILTER(
      $O$2:O53,
      $A$2:A53 &gt;= A53 - 30,
      $A$2:A53 &lt;= A53,
      $O$2:O53 &gt; 0
    )
  ),
"""")"),1.65860529897682)</f>
        <v>1.6586052989768201</v>
      </c>
      <c r="S53" s="14"/>
    </row>
    <row r="54" spans="1:19" ht="15.75" customHeight="1" x14ac:dyDescent="0.25">
      <c r="A54" s="9">
        <v>45953</v>
      </c>
      <c r="B54" s="10">
        <v>740</v>
      </c>
      <c r="C54" s="10">
        <v>47</v>
      </c>
      <c r="D54" s="10">
        <f t="shared" si="0"/>
        <v>787</v>
      </c>
      <c r="E54" s="11">
        <f t="shared" si="1"/>
        <v>5.9720457433290974</v>
      </c>
      <c r="F54" s="12"/>
      <c r="G54" s="10">
        <v>1696</v>
      </c>
      <c r="H54" s="10">
        <v>150</v>
      </c>
      <c r="I54" s="10">
        <f t="shared" si="2"/>
        <v>1846</v>
      </c>
      <c r="J54" s="11">
        <f t="shared" si="3"/>
        <v>8.1256771397616472</v>
      </c>
      <c r="K54" s="12"/>
      <c r="L54" s="10">
        <f t="shared" ref="L54:M54" si="59">B54+G54</f>
        <v>2436</v>
      </c>
      <c r="M54" s="10">
        <f t="shared" si="59"/>
        <v>197</v>
      </c>
      <c r="N54" s="10">
        <f t="shared" si="5"/>
        <v>2633</v>
      </c>
      <c r="O54" s="11">
        <f t="shared" si="6"/>
        <v>7.4819597417394608</v>
      </c>
      <c r="P54" s="13">
        <v>1.8</v>
      </c>
      <c r="Q54" s="14">
        <f t="shared" si="7"/>
        <v>-5.6819597417394609</v>
      </c>
      <c r="R54" s="14">
        <f ca="1">IFERROR(__xludf.DUMMYFUNCTION("IFERROR(
  AVERAGE(
    FILTER(
      $O$2:O54,
      $A$2:A54 &gt;= A54 - 30,
      $A$2:A54 &lt;= A54,
      $O$2:O54 &gt; 0
    )
  ),
"""")"),1.86903931268179)</f>
        <v>1.8690393126817899</v>
      </c>
      <c r="S54" s="14"/>
    </row>
    <row r="55" spans="1:19" ht="15.75" customHeight="1" x14ac:dyDescent="0.25">
      <c r="A55" s="9">
        <v>45954</v>
      </c>
      <c r="B55" s="10">
        <v>3144</v>
      </c>
      <c r="C55" s="10">
        <v>37</v>
      </c>
      <c r="D55" s="10">
        <f t="shared" si="0"/>
        <v>3181</v>
      </c>
      <c r="E55" s="11">
        <f t="shared" si="1"/>
        <v>1.1631562401760454</v>
      </c>
      <c r="F55" s="12"/>
      <c r="G55" s="10">
        <v>3846</v>
      </c>
      <c r="H55" s="10">
        <v>46</v>
      </c>
      <c r="I55" s="10">
        <f t="shared" si="2"/>
        <v>3892</v>
      </c>
      <c r="J55" s="11">
        <f t="shared" si="3"/>
        <v>1.1819116135662897</v>
      </c>
      <c r="K55" s="12"/>
      <c r="L55" s="10">
        <f t="shared" ref="L55:M55" si="60">B55+G55</f>
        <v>6990</v>
      </c>
      <c r="M55" s="10">
        <f t="shared" si="60"/>
        <v>83</v>
      </c>
      <c r="N55" s="10">
        <f t="shared" si="5"/>
        <v>7073</v>
      </c>
      <c r="O55" s="11">
        <f t="shared" si="6"/>
        <v>1.1734766011593383</v>
      </c>
      <c r="P55" s="13">
        <v>1.8</v>
      </c>
      <c r="Q55" s="14">
        <f t="shared" si="7"/>
        <v>0.62652339884066177</v>
      </c>
      <c r="R55" s="14">
        <f ca="1">IFERROR(__xludf.DUMMYFUNCTION("IFERROR(
  AVERAGE(
    FILTER(
      $O$2:O55,
      $A$2:A55 &gt;= A55 - 30,
      $A$2:A55 &lt;= A55,
      $O$2:O55 &gt; 0
    )
  ),
"""")"),1.86488175957213)</f>
        <v>1.8648817595721301</v>
      </c>
      <c r="S55" s="14"/>
    </row>
    <row r="56" spans="1:19" ht="15.75" customHeight="1" x14ac:dyDescent="0.25">
      <c r="A56" s="9">
        <v>45955</v>
      </c>
      <c r="B56" s="10">
        <v>3634</v>
      </c>
      <c r="C56" s="10">
        <v>84</v>
      </c>
      <c r="D56" s="10">
        <f t="shared" si="0"/>
        <v>3718</v>
      </c>
      <c r="E56" s="11">
        <f t="shared" si="1"/>
        <v>2.2592791823561056</v>
      </c>
      <c r="F56" s="12"/>
      <c r="G56" s="10">
        <v>4122</v>
      </c>
      <c r="H56" s="10">
        <v>15</v>
      </c>
      <c r="I56" s="10">
        <f t="shared" si="2"/>
        <v>4137</v>
      </c>
      <c r="J56" s="11">
        <f t="shared" si="3"/>
        <v>0.36258158085569253</v>
      </c>
      <c r="K56" s="12"/>
      <c r="L56" s="10">
        <f t="shared" ref="L56:M56" si="61">B56+G56</f>
        <v>7756</v>
      </c>
      <c r="M56" s="10">
        <f t="shared" si="61"/>
        <v>99</v>
      </c>
      <c r="N56" s="10">
        <f t="shared" si="5"/>
        <v>7855</v>
      </c>
      <c r="O56" s="11">
        <f t="shared" si="6"/>
        <v>1.2603437301082114</v>
      </c>
      <c r="P56" s="13">
        <v>1.8</v>
      </c>
      <c r="Q56" s="14">
        <f t="shared" si="7"/>
        <v>0.53965626989178861</v>
      </c>
      <c r="R56" s="14">
        <f ca="1">IFERROR(__xludf.DUMMYFUNCTION("IFERROR(
  AVERAGE(
    FILTER(
      $O$2:O56,
      $A$2:A56 &gt;= A56 - 30,
      $A$2:A56 &lt;= A56,
      $O$2:O56 &gt; 0
    )
  ),
"""")"),1.79658934906773)</f>
        <v>1.79658934906773</v>
      </c>
      <c r="S56" s="14"/>
    </row>
    <row r="57" spans="1:19" ht="15.75" customHeight="1" x14ac:dyDescent="0.25">
      <c r="A57" s="9">
        <v>45956</v>
      </c>
      <c r="B57" s="10">
        <v>5898</v>
      </c>
      <c r="C57" s="10">
        <v>61</v>
      </c>
      <c r="D57" s="10">
        <f t="shared" si="0"/>
        <v>5959</v>
      </c>
      <c r="E57" s="11">
        <f t="shared" si="1"/>
        <v>1.0236616882027185</v>
      </c>
      <c r="F57" s="12"/>
      <c r="G57" s="10">
        <v>3908</v>
      </c>
      <c r="H57" s="10">
        <v>40</v>
      </c>
      <c r="I57" s="10">
        <f t="shared" si="2"/>
        <v>3948</v>
      </c>
      <c r="J57" s="11">
        <f t="shared" si="3"/>
        <v>1.0131712259371835</v>
      </c>
      <c r="K57" s="12"/>
      <c r="L57" s="10">
        <f t="shared" ref="L57:M57" si="62">B57+G57</f>
        <v>9806</v>
      </c>
      <c r="M57" s="10">
        <f t="shared" si="62"/>
        <v>101</v>
      </c>
      <c r="N57" s="10">
        <f t="shared" si="5"/>
        <v>9907</v>
      </c>
      <c r="O57" s="11">
        <f t="shared" si="6"/>
        <v>1.0194811749268196</v>
      </c>
      <c r="P57" s="13">
        <v>1.8</v>
      </c>
      <c r="Q57" s="14">
        <f t="shared" si="7"/>
        <v>0.78051882507318049</v>
      </c>
      <c r="R57" s="14">
        <f ca="1">IFERROR(__xludf.DUMMYFUNCTION("IFERROR(
  AVERAGE(
    FILTER(
      $O$2:O57,
      $A$2:A57 &gt;= A57 - 30,
      $A$2:A57 &lt;= A57,
      $O$2:O57 &gt; 0
    )
  ),
"""")"),1.77517399611098)</f>
        <v>1.77517399611098</v>
      </c>
      <c r="S57" s="14"/>
    </row>
    <row r="58" spans="1:19" ht="15.75" customHeight="1" x14ac:dyDescent="0.25">
      <c r="A58" s="9">
        <v>45957</v>
      </c>
      <c r="B58" s="10">
        <v>5396</v>
      </c>
      <c r="C58" s="10">
        <v>195</v>
      </c>
      <c r="D58" s="10">
        <f t="shared" si="0"/>
        <v>5591</v>
      </c>
      <c r="E58" s="11">
        <f t="shared" si="1"/>
        <v>3.4877481666964769</v>
      </c>
      <c r="F58" s="12"/>
      <c r="G58" s="10">
        <v>3816</v>
      </c>
      <c r="H58" s="10">
        <v>10</v>
      </c>
      <c r="I58" s="10">
        <f t="shared" si="2"/>
        <v>3826</v>
      </c>
      <c r="J58" s="11">
        <f t="shared" si="3"/>
        <v>0.26136957658128596</v>
      </c>
      <c r="K58" s="12"/>
      <c r="L58" s="10">
        <f t="shared" ref="L58:M58" si="63">B58+G58</f>
        <v>9212</v>
      </c>
      <c r="M58" s="10">
        <f t="shared" si="63"/>
        <v>205</v>
      </c>
      <c r="N58" s="10">
        <f t="shared" si="5"/>
        <v>9417</v>
      </c>
      <c r="O58" s="11">
        <f t="shared" si="6"/>
        <v>2.1769140915365828</v>
      </c>
      <c r="P58" s="13">
        <v>1.8</v>
      </c>
      <c r="Q58" s="14">
        <f t="shared" si="7"/>
        <v>-0.37691409153658273</v>
      </c>
      <c r="R58" s="14">
        <f ca="1">IFERROR(__xludf.DUMMYFUNCTION("IFERROR(
  AVERAGE(
    FILTER(
      $O$2:O58,
      $A$2:A58 &gt;= A58 - 30,
      $A$2:A58 &lt;= A58,
      $O$2:O58 &gt; 0
    )
  ),
"""")"),1.76715683496721)</f>
        <v>1.76715683496721</v>
      </c>
      <c r="S58" s="14"/>
    </row>
    <row r="59" spans="1:19" ht="15.75" customHeight="1" x14ac:dyDescent="0.25">
      <c r="A59" s="9">
        <v>45958</v>
      </c>
      <c r="B59" s="10">
        <v>5889</v>
      </c>
      <c r="C59" s="10">
        <v>116</v>
      </c>
      <c r="D59" s="10">
        <f t="shared" si="0"/>
        <v>6005</v>
      </c>
      <c r="E59" s="11">
        <f t="shared" si="1"/>
        <v>1.9317235636969192</v>
      </c>
      <c r="F59" s="12"/>
      <c r="G59" s="10">
        <v>4174</v>
      </c>
      <c r="H59" s="10">
        <v>36</v>
      </c>
      <c r="I59" s="10">
        <f t="shared" si="2"/>
        <v>4210</v>
      </c>
      <c r="J59" s="11">
        <f t="shared" si="3"/>
        <v>0.85510688836104509</v>
      </c>
      <c r="K59" s="12"/>
      <c r="L59" s="10">
        <f t="shared" ref="L59:M59" si="64">B59+G59</f>
        <v>10063</v>
      </c>
      <c r="M59" s="10">
        <f t="shared" si="64"/>
        <v>152</v>
      </c>
      <c r="N59" s="10">
        <f t="shared" si="5"/>
        <v>10215</v>
      </c>
      <c r="O59" s="11">
        <f t="shared" si="6"/>
        <v>1.4880078316201664</v>
      </c>
      <c r="P59" s="13">
        <v>1.8</v>
      </c>
      <c r="Q59" s="14">
        <f t="shared" si="7"/>
        <v>0.31199216837983368</v>
      </c>
      <c r="R59" s="14">
        <f ca="1">IFERROR(__xludf.DUMMYFUNCTION("IFERROR(
  AVERAGE(
    FILTER(
      $O$2:O59,
      $A$2:A59 &gt;= A59 - 30,
      $A$2:A59 &lt;= A59,
      $O$2:O59 &gt; 0
    )
  ),
"""")"),1.78800295773944)</f>
        <v>1.7880029577394401</v>
      </c>
      <c r="S59" s="14"/>
    </row>
    <row r="60" spans="1:19" ht="15.75" customHeight="1" x14ac:dyDescent="0.25">
      <c r="A60" s="9">
        <v>45959</v>
      </c>
      <c r="B60" s="10">
        <v>5536</v>
      </c>
      <c r="C60" s="10">
        <v>62</v>
      </c>
      <c r="D60" s="10">
        <f t="shared" si="0"/>
        <v>5598</v>
      </c>
      <c r="E60" s="11">
        <f t="shared" si="1"/>
        <v>1.1075384065737763</v>
      </c>
      <c r="F60" s="12"/>
      <c r="G60" s="10">
        <v>3918</v>
      </c>
      <c r="H60" s="10">
        <v>0</v>
      </c>
      <c r="I60" s="10">
        <f t="shared" si="2"/>
        <v>3918</v>
      </c>
      <c r="J60" s="11">
        <f t="shared" si="3"/>
        <v>0</v>
      </c>
      <c r="K60" s="12"/>
      <c r="L60" s="10">
        <f t="shared" ref="L60:M60" si="65">B60+G60</f>
        <v>9454</v>
      </c>
      <c r="M60" s="10">
        <f t="shared" si="65"/>
        <v>62</v>
      </c>
      <c r="N60" s="10">
        <f t="shared" si="5"/>
        <v>9516</v>
      </c>
      <c r="O60" s="11">
        <f t="shared" si="6"/>
        <v>0.65153425809163512</v>
      </c>
      <c r="P60" s="13">
        <v>1.8</v>
      </c>
      <c r="Q60" s="14">
        <f t="shared" si="7"/>
        <v>1.1484657419083648</v>
      </c>
      <c r="R60" s="14">
        <f ca="1">IFERROR(__xludf.DUMMYFUNCTION("IFERROR(
  AVERAGE(
    FILTER(
      $O$2:O60,
      $A$2:A60 &gt;= A60 - 30,
      $A$2:A60 &lt;= A60,
      $O$2:O60 &gt; 0
    )
  ),
"""")"),1.7878301758704)</f>
        <v>1.7878301758704001</v>
      </c>
      <c r="S60" s="14"/>
    </row>
    <row r="61" spans="1:19" ht="15.75" customHeight="1" x14ac:dyDescent="0.25">
      <c r="A61" s="9">
        <v>45960</v>
      </c>
      <c r="B61" s="10">
        <v>5224</v>
      </c>
      <c r="C61" s="10">
        <v>65</v>
      </c>
      <c r="D61" s="10">
        <f t="shared" si="0"/>
        <v>5289</v>
      </c>
      <c r="E61" s="11">
        <f t="shared" si="1"/>
        <v>1.2289657780298733</v>
      </c>
      <c r="F61" s="12"/>
      <c r="G61" s="10">
        <v>4226</v>
      </c>
      <c r="H61" s="10">
        <v>135</v>
      </c>
      <c r="I61" s="10">
        <f t="shared" si="2"/>
        <v>4361</v>
      </c>
      <c r="J61" s="11">
        <f t="shared" si="3"/>
        <v>3.0956202705801421</v>
      </c>
      <c r="K61" s="12"/>
      <c r="L61" s="10">
        <f t="shared" ref="L61:M61" si="66">B61+G61</f>
        <v>9450</v>
      </c>
      <c r="M61" s="10">
        <f t="shared" si="66"/>
        <v>200</v>
      </c>
      <c r="N61" s="10">
        <f t="shared" si="5"/>
        <v>9650</v>
      </c>
      <c r="O61" s="11">
        <f t="shared" si="6"/>
        <v>2.0725388601036268</v>
      </c>
      <c r="P61" s="13">
        <v>1.8</v>
      </c>
      <c r="Q61" s="14">
        <f t="shared" si="7"/>
        <v>-0.27253886010362671</v>
      </c>
      <c r="R61" s="14">
        <f ca="1">IFERROR(__xludf.DUMMYFUNCTION("IFERROR(
  AVERAGE(
    FILTER(
      $O$2:O61,
      $A$2:A61 &gt;= A61 - 30,
      $A$2:A61 &lt;= A61,
      $O$2:O61 &gt; 0
    )
  ),
"""")"),1.79996204144508)</f>
        <v>1.7999620414450801</v>
      </c>
      <c r="S61" s="14"/>
    </row>
    <row r="62" spans="1:19" ht="15.75" customHeight="1" x14ac:dyDescent="0.25">
      <c r="A62" s="9">
        <v>45961</v>
      </c>
      <c r="B62" s="10">
        <v>5764</v>
      </c>
      <c r="C62" s="10">
        <v>71</v>
      </c>
      <c r="D62" s="10">
        <f t="shared" si="0"/>
        <v>5835</v>
      </c>
      <c r="E62" s="11">
        <f t="shared" si="1"/>
        <v>1.2167952013710368</v>
      </c>
      <c r="F62" s="12"/>
      <c r="G62" s="10">
        <v>5368</v>
      </c>
      <c r="H62" s="10">
        <v>74</v>
      </c>
      <c r="I62" s="10">
        <f t="shared" si="2"/>
        <v>5442</v>
      </c>
      <c r="J62" s="11">
        <f t="shared" si="3"/>
        <v>1.3597941933112825</v>
      </c>
      <c r="K62" s="12"/>
      <c r="L62" s="10">
        <f t="shared" ref="L62:M62" si="67">B62+G62</f>
        <v>11132</v>
      </c>
      <c r="M62" s="10">
        <f t="shared" si="67"/>
        <v>145</v>
      </c>
      <c r="N62" s="10">
        <f t="shared" si="5"/>
        <v>11277</v>
      </c>
      <c r="O62" s="11">
        <f t="shared" si="6"/>
        <v>1.2858029617806155</v>
      </c>
      <c r="P62" s="13">
        <v>1.8</v>
      </c>
      <c r="Q62" s="14">
        <f t="shared" si="7"/>
        <v>0.51419703821938456</v>
      </c>
      <c r="R62" s="14">
        <f ca="1">IFERROR(__xludf.DUMMYFUNCTION("IFERROR(
  AVERAGE(
    FILTER(
      $O$2:O62,
      $A$2:A62 &gt;= A62 - 30,
      $A$2:A62 &lt;= A62,
      $O$2:O62 &gt; 0
    )
  ),
"""")"),1.7830402364976)</f>
        <v>1.7830402364975999</v>
      </c>
      <c r="S62" s="14"/>
    </row>
    <row r="63" spans="1:19" ht="15.75" customHeight="1" x14ac:dyDescent="0.25">
      <c r="A63" s="9">
        <v>45962</v>
      </c>
      <c r="B63" s="10">
        <v>5310</v>
      </c>
      <c r="C63" s="10">
        <v>208</v>
      </c>
      <c r="D63" s="10">
        <f t="shared" si="0"/>
        <v>5518</v>
      </c>
      <c r="E63" s="11">
        <f t="shared" si="1"/>
        <v>3.7694816962667632</v>
      </c>
      <c r="F63" s="12"/>
      <c r="G63" s="10">
        <f>3804+2531</f>
        <v>6335</v>
      </c>
      <c r="H63" s="10">
        <v>54</v>
      </c>
      <c r="I63" s="10">
        <f t="shared" si="2"/>
        <v>6389</v>
      </c>
      <c r="J63" s="11">
        <f t="shared" si="3"/>
        <v>0.84520269212709342</v>
      </c>
      <c r="K63" s="12"/>
      <c r="L63" s="10">
        <f t="shared" ref="L63:M63" si="68">B63+G63</f>
        <v>11645</v>
      </c>
      <c r="M63" s="10">
        <f t="shared" si="68"/>
        <v>262</v>
      </c>
      <c r="N63" s="10">
        <f t="shared" si="5"/>
        <v>11907</v>
      </c>
      <c r="O63" s="11">
        <f t="shared" si="6"/>
        <v>2.2003863273704547</v>
      </c>
      <c r="P63" s="13">
        <v>1.8</v>
      </c>
      <c r="Q63" s="14">
        <f t="shared" si="7"/>
        <v>-0.40038632737045465</v>
      </c>
      <c r="R63" s="14">
        <f ca="1">IFERROR(__xludf.DUMMYFUNCTION("IFERROR(
  AVERAGE(
    FILTER(
      $O$2:O63,
      $A$2:A63 &gt;= A63 - 30,
      $A$2:A63 &lt;= A63,
      $O$2:O63 &gt; 0
    )
  ),
"""")"),1.79080559814159)</f>
        <v>1.79080559814159</v>
      </c>
      <c r="S63" s="14"/>
    </row>
    <row r="64" spans="1:19" ht="15.75" customHeight="1" x14ac:dyDescent="0.25">
      <c r="A64" s="9">
        <v>45963</v>
      </c>
      <c r="B64" s="10">
        <v>4498</v>
      </c>
      <c r="C64" s="10">
        <v>208</v>
      </c>
      <c r="D64" s="10">
        <f t="shared" si="0"/>
        <v>4706</v>
      </c>
      <c r="E64" s="11">
        <f t="shared" si="1"/>
        <v>4.4198895027624303</v>
      </c>
      <c r="F64" s="12"/>
      <c r="G64" s="10">
        <v>6847</v>
      </c>
      <c r="H64" s="10">
        <v>20</v>
      </c>
      <c r="I64" s="10">
        <f t="shared" si="2"/>
        <v>6867</v>
      </c>
      <c r="J64" s="11">
        <f t="shared" si="3"/>
        <v>0.29124799767001602</v>
      </c>
      <c r="K64" s="12"/>
      <c r="L64" s="10">
        <f t="shared" ref="L64:M64" si="69">B64+G64</f>
        <v>11345</v>
      </c>
      <c r="M64" s="10">
        <f t="shared" si="69"/>
        <v>228</v>
      </c>
      <c r="N64" s="10">
        <f t="shared" si="5"/>
        <v>11573</v>
      </c>
      <c r="O64" s="11">
        <f t="shared" si="6"/>
        <v>1.9701028255422102</v>
      </c>
      <c r="P64" s="13">
        <v>1.8</v>
      </c>
      <c r="Q64" s="14">
        <f t="shared" si="7"/>
        <v>-0.17010282554221012</v>
      </c>
      <c r="R64" s="14">
        <f ca="1">IFERROR(__xludf.DUMMYFUNCTION("IFERROR(
  AVERAGE(
    FILTER(
      $O$2:O64,
      $A$2:A64 &gt;= A64 - 30,
      $A$2:A64 &lt;= A64,
      $O$2:O64 &gt; 0
    )
  ),
"""")"),1.81195817928731)</f>
        <v>1.8119581792873101</v>
      </c>
      <c r="S64" s="14"/>
    </row>
    <row r="65" spans="1:19" ht="15.75" customHeight="1" x14ac:dyDescent="0.25">
      <c r="A65" s="9">
        <v>45964</v>
      </c>
      <c r="B65" s="10">
        <v>2528</v>
      </c>
      <c r="C65" s="10">
        <v>48</v>
      </c>
      <c r="D65" s="10">
        <f t="shared" si="0"/>
        <v>2576</v>
      </c>
      <c r="E65" s="11">
        <f t="shared" si="1"/>
        <v>1.8633540372670807</v>
      </c>
      <c r="F65" s="12"/>
      <c r="G65" s="10">
        <v>5616</v>
      </c>
      <c r="H65" s="10">
        <v>8</v>
      </c>
      <c r="I65" s="10">
        <f t="shared" si="2"/>
        <v>5624</v>
      </c>
      <c r="J65" s="11">
        <f t="shared" si="3"/>
        <v>0.14224751066856328</v>
      </c>
      <c r="K65" s="12"/>
      <c r="L65" s="10">
        <f t="shared" ref="L65:M65" si="70">B65+G65</f>
        <v>8144</v>
      </c>
      <c r="M65" s="10">
        <f t="shared" si="70"/>
        <v>56</v>
      </c>
      <c r="N65" s="10">
        <f t="shared" si="5"/>
        <v>8200</v>
      </c>
      <c r="O65" s="11">
        <f t="shared" si="6"/>
        <v>0.68292682926829273</v>
      </c>
      <c r="P65" s="13">
        <v>1.8</v>
      </c>
      <c r="Q65" s="14">
        <f t="shared" si="7"/>
        <v>1.1170731707317074</v>
      </c>
      <c r="R65" s="14">
        <f ca="1">IFERROR(__xludf.DUMMYFUNCTION("IFERROR(
  AVERAGE(
    FILTER(
      $O$2:O65,
      $A$2:A65 &gt;= A65 - 30,
      $A$2:A65 &lt;= A65,
      $O$2:O65 &gt; 0
    )
  ),
"""")"),1.81403733567621)</f>
        <v>1.8140373356762101</v>
      </c>
      <c r="S65" s="14"/>
    </row>
    <row r="66" spans="1:19" ht="15.75" customHeight="1" x14ac:dyDescent="0.25">
      <c r="A66" s="9">
        <v>45965</v>
      </c>
      <c r="B66" s="10">
        <v>3926</v>
      </c>
      <c r="C66" s="10">
        <v>22</v>
      </c>
      <c r="D66" s="10">
        <f t="shared" si="0"/>
        <v>3948</v>
      </c>
      <c r="E66" s="11">
        <f t="shared" si="1"/>
        <v>0.55724417426545092</v>
      </c>
      <c r="F66" s="12"/>
      <c r="G66" s="10">
        <v>5714</v>
      </c>
      <c r="H66" s="10">
        <v>23</v>
      </c>
      <c r="I66" s="10">
        <f t="shared" si="2"/>
        <v>5737</v>
      </c>
      <c r="J66" s="11">
        <f t="shared" si="3"/>
        <v>0.40090639707164027</v>
      </c>
      <c r="K66" s="12"/>
      <c r="L66" s="10">
        <f t="shared" ref="L66:M66" si="71">B66+G66</f>
        <v>9640</v>
      </c>
      <c r="M66" s="10">
        <f t="shared" si="71"/>
        <v>45</v>
      </c>
      <c r="N66" s="10">
        <f t="shared" si="5"/>
        <v>9685</v>
      </c>
      <c r="O66" s="11">
        <f t="shared" si="6"/>
        <v>0.46463603510583379</v>
      </c>
      <c r="P66" s="13">
        <v>1.8</v>
      </c>
      <c r="Q66" s="14">
        <f t="shared" si="7"/>
        <v>1.3353639648941662</v>
      </c>
      <c r="R66" s="14">
        <f ca="1">IFERROR(__xludf.DUMMYFUNCTION("IFERROR(
  AVERAGE(
    FILTER(
      $O$2:O66,
      $A$2:A66 &gt;= A66 - 30,
      $A$2:A66 &lt;= A66,
      $O$2:O66 &gt; 0
    )
  ),
"""")"),1.78497783390805)</f>
        <v>1.78497783390805</v>
      </c>
      <c r="S66" s="14"/>
    </row>
    <row r="67" spans="1:19" ht="15.75" customHeight="1" x14ac:dyDescent="0.25">
      <c r="A67" s="9">
        <v>45966</v>
      </c>
      <c r="B67" s="10">
        <v>6214</v>
      </c>
      <c r="C67" s="10">
        <v>17</v>
      </c>
      <c r="D67" s="10">
        <f t="shared" si="0"/>
        <v>6231</v>
      </c>
      <c r="E67" s="11">
        <f t="shared" si="1"/>
        <v>0.27282940138019579</v>
      </c>
      <c r="F67" s="12"/>
      <c r="G67" s="10">
        <v>4587</v>
      </c>
      <c r="H67" s="10">
        <v>164</v>
      </c>
      <c r="I67" s="10">
        <f t="shared" si="2"/>
        <v>4751</v>
      </c>
      <c r="J67" s="11">
        <f t="shared" si="3"/>
        <v>3.4519048621342878</v>
      </c>
      <c r="K67" s="12"/>
      <c r="L67" s="10">
        <f t="shared" ref="L67:M67" si="72">B67+G67</f>
        <v>10801</v>
      </c>
      <c r="M67" s="10">
        <f t="shared" si="72"/>
        <v>181</v>
      </c>
      <c r="N67" s="10">
        <f t="shared" si="5"/>
        <v>10982</v>
      </c>
      <c r="O67" s="11">
        <f t="shared" si="6"/>
        <v>1.6481515206701878</v>
      </c>
      <c r="P67" s="13">
        <v>1.8</v>
      </c>
      <c r="Q67" s="14">
        <f t="shared" si="7"/>
        <v>0.15184847932981227</v>
      </c>
      <c r="R67" s="14">
        <f ca="1">IFERROR(__xludf.DUMMYFUNCTION("IFERROR(
  AVERAGE(
    FILTER(
      $O$2:O67,
      $A$2:A67 &gt;= A67 - 30,
      $A$2:A67 &lt;= A67,
      $O$2:O67 &gt; 0
    )
  ),
"""")"),1.8014983506607)</f>
        <v>1.8014983506607001</v>
      </c>
      <c r="S67" s="14"/>
    </row>
    <row r="68" spans="1:19" ht="15.75" customHeight="1" x14ac:dyDescent="0.25">
      <c r="A68" s="9">
        <v>45967</v>
      </c>
      <c r="B68" s="10">
        <v>6052</v>
      </c>
      <c r="C68" s="10">
        <v>74</v>
      </c>
      <c r="D68" s="10">
        <f t="shared" si="0"/>
        <v>6126</v>
      </c>
      <c r="E68" s="11">
        <f t="shared" si="1"/>
        <v>1.2079660463597781</v>
      </c>
      <c r="F68" s="12"/>
      <c r="G68" s="10">
        <v>6032</v>
      </c>
      <c r="H68" s="10">
        <v>26</v>
      </c>
      <c r="I68" s="10">
        <f t="shared" si="2"/>
        <v>6058</v>
      </c>
      <c r="J68" s="11">
        <f t="shared" si="3"/>
        <v>0.42918454935622319</v>
      </c>
      <c r="K68" s="12"/>
      <c r="L68" s="10">
        <f t="shared" ref="L68:M68" si="73">B68+G68</f>
        <v>12084</v>
      </c>
      <c r="M68" s="10">
        <f t="shared" si="73"/>
        <v>100</v>
      </c>
      <c r="N68" s="10">
        <f t="shared" si="5"/>
        <v>12184</v>
      </c>
      <c r="O68" s="11">
        <f t="shared" si="6"/>
        <v>0.82074852265265918</v>
      </c>
      <c r="P68" s="13">
        <v>1.8</v>
      </c>
      <c r="Q68" s="14">
        <f t="shared" si="7"/>
        <v>0.97925147734734086</v>
      </c>
      <c r="R68" s="14">
        <f ca="1">IFERROR(__xludf.DUMMYFUNCTION("IFERROR(
  AVERAGE(
    FILTER(
      $O$2:O68,
      $A$2:A68 &gt;= A68 - 30,
      $A$2:A68 &lt;= A68,
      $O$2:O68 &gt; 0
    )
  ),
"""")"),1.7977117751172)</f>
        <v>1.7977117751172</v>
      </c>
      <c r="S68" s="14"/>
    </row>
    <row r="69" spans="1:19" ht="15.75" customHeight="1" x14ac:dyDescent="0.25">
      <c r="A69" s="9">
        <v>45968</v>
      </c>
      <c r="B69" s="10">
        <v>4808</v>
      </c>
      <c r="C69" s="10">
        <v>66</v>
      </c>
      <c r="D69" s="10">
        <f t="shared" si="0"/>
        <v>4874</v>
      </c>
      <c r="E69" s="11">
        <f t="shared" si="1"/>
        <v>1.3541239228559705</v>
      </c>
      <c r="F69" s="12"/>
      <c r="G69" s="10">
        <v>5236</v>
      </c>
      <c r="H69" s="10">
        <v>32</v>
      </c>
      <c r="I69" s="10">
        <f t="shared" si="2"/>
        <v>5268</v>
      </c>
      <c r="J69" s="11">
        <f t="shared" si="3"/>
        <v>0.60744115413819288</v>
      </c>
      <c r="K69" s="12"/>
      <c r="L69" s="10">
        <f t="shared" ref="L69:M69" si="74">B69+G69</f>
        <v>10044</v>
      </c>
      <c r="M69" s="10">
        <f t="shared" si="74"/>
        <v>98</v>
      </c>
      <c r="N69" s="10">
        <f t="shared" si="5"/>
        <v>10142</v>
      </c>
      <c r="O69" s="11">
        <f t="shared" si="6"/>
        <v>0.96627884046539148</v>
      </c>
      <c r="P69" s="13">
        <v>1.8</v>
      </c>
      <c r="Q69" s="14">
        <f t="shared" si="7"/>
        <v>0.83372115953460857</v>
      </c>
      <c r="R69" s="14">
        <f ca="1">IFERROR(__xludf.DUMMYFUNCTION("IFERROR(
  AVERAGE(
    FILTER(
      $O$2:O69,
      $A$2:A69 &gt;= A69 - 30,
      $A$2:A69 &lt;= A69,
      $O$2:O69 &gt; 0
    )
  ),
"""")"),1.79660381744339)</f>
        <v>1.79660381744339</v>
      </c>
      <c r="S69" s="14"/>
    </row>
    <row r="70" spans="1:19" ht="15.75" customHeight="1" x14ac:dyDescent="0.25">
      <c r="A70" s="9">
        <v>45969</v>
      </c>
      <c r="B70" s="10">
        <v>5218</v>
      </c>
      <c r="C70" s="10">
        <v>129</v>
      </c>
      <c r="D70" s="10">
        <f t="shared" si="0"/>
        <v>5347</v>
      </c>
      <c r="E70" s="11">
        <f t="shared" si="1"/>
        <v>2.412567795025248</v>
      </c>
      <c r="F70" s="12"/>
      <c r="G70" s="10">
        <v>5307</v>
      </c>
      <c r="H70" s="10">
        <v>64</v>
      </c>
      <c r="I70" s="10">
        <f t="shared" si="2"/>
        <v>5371</v>
      </c>
      <c r="J70" s="11">
        <f t="shared" si="3"/>
        <v>1.1915844349283187</v>
      </c>
      <c r="K70" s="12"/>
      <c r="L70" s="10">
        <f t="shared" ref="L70:M70" si="75">B70+G70</f>
        <v>10525</v>
      </c>
      <c r="M70" s="10">
        <f t="shared" si="75"/>
        <v>193</v>
      </c>
      <c r="N70" s="10">
        <f t="shared" si="5"/>
        <v>10718</v>
      </c>
      <c r="O70" s="11">
        <f t="shared" si="6"/>
        <v>1.8007090875163276</v>
      </c>
      <c r="P70" s="13">
        <v>1.8</v>
      </c>
      <c r="Q70" s="14">
        <f t="shared" si="7"/>
        <v>-7.0908751632758893E-4</v>
      </c>
      <c r="R70" s="14">
        <f ca="1">IFERROR(__xludf.DUMMYFUNCTION("IFERROR(
  AVERAGE(
    FILTER(
      $O$2:O70,
      $A$2:A70 &gt;= A70 - 30,
      $A$2:A70 &lt;= A70,
      $O$2:O70 &gt; 0
    )
  ),
"""")"),1.82709067273213)</f>
        <v>1.8270906727321301</v>
      </c>
      <c r="S70" s="14"/>
    </row>
    <row r="71" spans="1:19" ht="15.75" customHeight="1" x14ac:dyDescent="0.25">
      <c r="A71" s="9">
        <v>45970</v>
      </c>
      <c r="B71" s="10">
        <v>6310</v>
      </c>
      <c r="C71" s="10">
        <v>106</v>
      </c>
      <c r="D71" s="10">
        <f t="shared" si="0"/>
        <v>6416</v>
      </c>
      <c r="E71" s="11">
        <f t="shared" si="1"/>
        <v>1.6521197007481299</v>
      </c>
      <c r="F71" s="12"/>
      <c r="G71" s="10">
        <v>5392</v>
      </c>
      <c r="H71" s="10">
        <v>104</v>
      </c>
      <c r="I71" s="10">
        <f t="shared" si="2"/>
        <v>5496</v>
      </c>
      <c r="J71" s="11">
        <f t="shared" si="3"/>
        <v>1.8922852983988354</v>
      </c>
      <c r="K71" s="12"/>
      <c r="L71" s="10">
        <f t="shared" ref="L71:M71" si="76">B71+G71</f>
        <v>11702</v>
      </c>
      <c r="M71" s="10">
        <f t="shared" si="76"/>
        <v>210</v>
      </c>
      <c r="N71" s="10">
        <f t="shared" si="5"/>
        <v>11912</v>
      </c>
      <c r="O71" s="11">
        <f t="shared" si="6"/>
        <v>1.7629281396910677</v>
      </c>
      <c r="P71" s="13">
        <v>1.8</v>
      </c>
      <c r="Q71" s="14">
        <f t="shared" si="7"/>
        <v>3.7071860308932392E-2</v>
      </c>
      <c r="R71" s="14">
        <f ca="1">IFERROR(__xludf.DUMMYFUNCTION("IFERROR(
  AVERAGE(
    FILTER(
      $O$2:O71,
      $A$2:A71 &gt;= A71 - 30,
      $A$2:A71 &lt;= A71,
      $O$2:O71 &gt; 0
    )
  ),
"""")"),1.85954706765475)</f>
        <v>1.8595470676547501</v>
      </c>
      <c r="S71" s="14"/>
    </row>
    <row r="72" spans="1:19" ht="15.75" customHeight="1" x14ac:dyDescent="0.25">
      <c r="A72" s="9">
        <v>45971</v>
      </c>
      <c r="B72" s="10">
        <v>3384</v>
      </c>
      <c r="C72" s="10">
        <v>45</v>
      </c>
      <c r="D72" s="10">
        <f t="shared" si="0"/>
        <v>3429</v>
      </c>
      <c r="E72" s="11">
        <f t="shared" si="1"/>
        <v>1.3123359580052494</v>
      </c>
      <c r="F72" s="12"/>
      <c r="G72" s="10">
        <v>5465</v>
      </c>
      <c r="H72" s="10">
        <v>143</v>
      </c>
      <c r="I72" s="10">
        <f t="shared" si="2"/>
        <v>5608</v>
      </c>
      <c r="J72" s="11">
        <f t="shared" si="3"/>
        <v>2.5499286733238233</v>
      </c>
      <c r="K72" s="12"/>
      <c r="L72" s="10">
        <f t="shared" ref="L72:M72" si="77">B72+G72</f>
        <v>8849</v>
      </c>
      <c r="M72" s="10">
        <f t="shared" si="77"/>
        <v>188</v>
      </c>
      <c r="N72" s="10">
        <f t="shared" si="5"/>
        <v>9037</v>
      </c>
      <c r="O72" s="11">
        <f t="shared" si="6"/>
        <v>2.0803363948212903</v>
      </c>
      <c r="P72" s="13">
        <v>1.8</v>
      </c>
      <c r="Q72" s="14">
        <f t="shared" si="7"/>
        <v>-0.28033639482129025</v>
      </c>
      <c r="R72" s="14">
        <f ca="1">IFERROR(__xludf.DUMMYFUNCTION("IFERROR(
  AVERAGE(
    FILTER(
      $O$2:O72,
      $A$2:A72 &gt;= A72 - 30,
      $A$2:A72 &lt;= A72,
      $O$2:O72 &gt; 0
    )
  ),
"""")"),1.91173839437949)</f>
        <v>1.9117383943794899</v>
      </c>
      <c r="S72" s="14"/>
    </row>
    <row r="73" spans="1:19" ht="15.75" customHeight="1" x14ac:dyDescent="0.25">
      <c r="A73" s="9">
        <v>45972</v>
      </c>
      <c r="B73" s="10">
        <v>710</v>
      </c>
      <c r="C73" s="10">
        <v>30</v>
      </c>
      <c r="D73" s="10">
        <f t="shared" si="0"/>
        <v>740</v>
      </c>
      <c r="E73" s="11">
        <f t="shared" si="1"/>
        <v>4.0540540540540535</v>
      </c>
      <c r="F73" s="12"/>
      <c r="G73" s="10">
        <v>3828</v>
      </c>
      <c r="H73" s="10">
        <v>132</v>
      </c>
      <c r="I73" s="10">
        <f t="shared" si="2"/>
        <v>3960</v>
      </c>
      <c r="J73" s="11">
        <f t="shared" si="3"/>
        <v>3.333333333333333</v>
      </c>
      <c r="K73" s="12"/>
      <c r="L73" s="10">
        <f t="shared" ref="L73:M73" si="78">B73+G73</f>
        <v>4538</v>
      </c>
      <c r="M73" s="10">
        <f t="shared" si="78"/>
        <v>162</v>
      </c>
      <c r="N73" s="10">
        <f t="shared" si="5"/>
        <v>4700</v>
      </c>
      <c r="O73" s="11">
        <f t="shared" si="6"/>
        <v>3.4468085106382977</v>
      </c>
      <c r="P73" s="13">
        <v>1.8</v>
      </c>
      <c r="Q73" s="14">
        <f t="shared" si="7"/>
        <v>-1.6468085106382977</v>
      </c>
      <c r="R73" s="14">
        <f ca="1">IFERROR(__xludf.DUMMYFUNCTION("IFERROR(
  AVERAGE(
    FILTER(
      $O$2:O73,
      $A$2:A73 &gt;= A73 - 30,
      $A$2:A73 &lt;= A73,
      $O$2:O73 &gt; 0
    )
  ),
"""")"),1.9658025571864)</f>
        <v>1.9658025571864</v>
      </c>
      <c r="S73" s="14"/>
    </row>
    <row r="74" spans="1:19" ht="15.75" customHeight="1" x14ac:dyDescent="0.25">
      <c r="A74" s="9">
        <v>45973</v>
      </c>
      <c r="B74" s="10">
        <v>1282</v>
      </c>
      <c r="C74" s="10">
        <v>21</v>
      </c>
      <c r="D74" s="10">
        <f t="shared" si="0"/>
        <v>1303</v>
      </c>
      <c r="E74" s="11">
        <f t="shared" si="1"/>
        <v>1.6116653875671527</v>
      </c>
      <c r="F74" s="12"/>
      <c r="G74" s="10">
        <v>4362</v>
      </c>
      <c r="H74" s="10">
        <v>14</v>
      </c>
      <c r="I74" s="10">
        <f t="shared" si="2"/>
        <v>4376</v>
      </c>
      <c r="J74" s="11">
        <f t="shared" si="3"/>
        <v>0.31992687385740404</v>
      </c>
      <c r="K74" s="12"/>
      <c r="L74" s="10">
        <f t="shared" ref="L74:M74" si="79">B74+G74</f>
        <v>5644</v>
      </c>
      <c r="M74" s="10">
        <f t="shared" si="79"/>
        <v>35</v>
      </c>
      <c r="N74" s="10">
        <f t="shared" si="5"/>
        <v>5679</v>
      </c>
      <c r="O74" s="11">
        <f t="shared" si="6"/>
        <v>0.61630568762106008</v>
      </c>
      <c r="P74" s="13">
        <v>1.8</v>
      </c>
      <c r="Q74" s="14">
        <f t="shared" si="7"/>
        <v>1.1836943123789401</v>
      </c>
      <c r="R74" s="14">
        <f ca="1">IFERROR(__xludf.DUMMYFUNCTION("IFERROR(
  AVERAGE(
    FILTER(
      $O$2:O74,
      $A$2:A74 &gt;= A74 - 30,
      $A$2:A74 &lt;= A74,
      $O$2:O74 &gt; 0
    )
  ),
"""")"),1.955626516621)</f>
        <v>1.9556265166210001</v>
      </c>
      <c r="S74" s="14"/>
    </row>
    <row r="75" spans="1:19" ht="15.75" customHeight="1" x14ac:dyDescent="0.25">
      <c r="A75" s="9">
        <v>45974</v>
      </c>
      <c r="B75" s="10">
        <v>4566</v>
      </c>
      <c r="C75" s="10">
        <v>140</v>
      </c>
      <c r="D75" s="10">
        <f t="shared" si="0"/>
        <v>4706</v>
      </c>
      <c r="E75" s="11">
        <f t="shared" si="1"/>
        <v>2.9749256268593283</v>
      </c>
      <c r="F75" s="12"/>
      <c r="G75" s="10">
        <v>3996</v>
      </c>
      <c r="H75" s="10">
        <v>0</v>
      </c>
      <c r="I75" s="10">
        <f t="shared" si="2"/>
        <v>3996</v>
      </c>
      <c r="J75" s="11">
        <f t="shared" si="3"/>
        <v>0</v>
      </c>
      <c r="K75" s="12"/>
      <c r="L75" s="10">
        <f t="shared" ref="L75:M75" si="80">B75+G75</f>
        <v>8562</v>
      </c>
      <c r="M75" s="10">
        <f t="shared" si="80"/>
        <v>140</v>
      </c>
      <c r="N75" s="10">
        <f t="shared" si="5"/>
        <v>8702</v>
      </c>
      <c r="O75" s="11">
        <f t="shared" si="6"/>
        <v>1.6088255573431396</v>
      </c>
      <c r="P75" s="13">
        <v>1.8</v>
      </c>
      <c r="Q75" s="14">
        <f t="shared" si="7"/>
        <v>0.19117444265686045</v>
      </c>
      <c r="R75" s="14">
        <f ca="1">IFERROR(__xludf.DUMMYFUNCTION("IFERROR(
  AVERAGE(
    FILTER(
      $O$2:O75,
      $A$2:A75 &gt;= A75 - 30,
      $A$2:A75 &lt;= A75,
      $O$2:O75 &gt; 0
    )
  ),
"""")"),1.9720423306722)</f>
        <v>1.9720423306721999</v>
      </c>
      <c r="S75" s="14"/>
    </row>
    <row r="76" spans="1:19" ht="15.75" customHeight="1" x14ac:dyDescent="0.25">
      <c r="A76" s="9">
        <v>45975</v>
      </c>
      <c r="B76" s="10">
        <v>6150</v>
      </c>
      <c r="C76" s="10">
        <v>105</v>
      </c>
      <c r="D76" s="10">
        <f t="shared" si="0"/>
        <v>6255</v>
      </c>
      <c r="E76" s="11">
        <f t="shared" si="1"/>
        <v>1.6786570743405276</v>
      </c>
      <c r="F76" s="12"/>
      <c r="G76" s="10">
        <v>3684</v>
      </c>
      <c r="H76" s="10">
        <v>46</v>
      </c>
      <c r="I76" s="10">
        <f t="shared" si="2"/>
        <v>3730</v>
      </c>
      <c r="J76" s="11">
        <f t="shared" si="3"/>
        <v>1.2332439678284184</v>
      </c>
      <c r="K76" s="12"/>
      <c r="L76" s="10">
        <f t="shared" ref="L76:M76" si="81">B76+G76</f>
        <v>9834</v>
      </c>
      <c r="M76" s="10">
        <f t="shared" si="81"/>
        <v>151</v>
      </c>
      <c r="N76" s="10">
        <f t="shared" si="5"/>
        <v>9985</v>
      </c>
      <c r="O76" s="11">
        <f t="shared" si="6"/>
        <v>1.5122684026039059</v>
      </c>
      <c r="P76" s="13">
        <v>1.8</v>
      </c>
      <c r="Q76" s="14">
        <f t="shared" si="7"/>
        <v>0.28773159739609411</v>
      </c>
      <c r="R76" s="14">
        <f ca="1">IFERROR(__xludf.DUMMYFUNCTION("IFERROR(
  AVERAGE(
    FILTER(
      $O$2:O76,
      $A$2:A76 &gt;= A76 - 30,
      $A$2:A76 &lt;= A76,
      $O$2:O76 &gt; 0
    )
  ),
"""")"),1.94627681113086)</f>
        <v>1.9462768111308599</v>
      </c>
      <c r="S76" s="14"/>
    </row>
    <row r="77" spans="1:19" ht="15.75" customHeight="1" x14ac:dyDescent="0.25">
      <c r="A77" s="9">
        <v>45976</v>
      </c>
      <c r="B77" s="10">
        <v>5992</v>
      </c>
      <c r="C77" s="10">
        <v>110</v>
      </c>
      <c r="D77" s="10">
        <f t="shared" si="0"/>
        <v>6102</v>
      </c>
      <c r="E77" s="11">
        <f t="shared" si="1"/>
        <v>1.8026876433956078</v>
      </c>
      <c r="F77" s="12"/>
      <c r="G77" s="10">
        <v>4278</v>
      </c>
      <c r="H77" s="10">
        <v>78</v>
      </c>
      <c r="I77" s="10">
        <f t="shared" si="2"/>
        <v>4356</v>
      </c>
      <c r="J77" s="11">
        <f t="shared" si="3"/>
        <v>1.7906336088154269</v>
      </c>
      <c r="K77" s="12"/>
      <c r="L77" s="10">
        <f t="shared" ref="L77:M77" si="82">B77+G77</f>
        <v>10270</v>
      </c>
      <c r="M77" s="10">
        <f t="shared" si="82"/>
        <v>188</v>
      </c>
      <c r="N77" s="10">
        <f t="shared" si="5"/>
        <v>10458</v>
      </c>
      <c r="O77" s="11">
        <f t="shared" si="6"/>
        <v>1.7976668579078219</v>
      </c>
      <c r="P77" s="13">
        <v>1.8</v>
      </c>
      <c r="Q77" s="14">
        <f t="shared" si="7"/>
        <v>2.3331420921781643E-3</v>
      </c>
      <c r="R77" s="14">
        <f ca="1">IFERROR(__xludf.DUMMYFUNCTION("IFERROR(
  AVERAGE(
    FILTER(
      $O$2:O77,
      $A$2:A77 &gt;= A77 - 30,
      $A$2:A77 &lt;= A77,
      $O$2:O77 &gt; 0
    )
  ),
"""")"),1.9665687694157)</f>
        <v>1.9665687694156999</v>
      </c>
      <c r="S77" s="14"/>
    </row>
    <row r="78" spans="1:19" ht="15.75" customHeight="1" x14ac:dyDescent="0.25">
      <c r="A78" s="9">
        <v>45977</v>
      </c>
      <c r="B78" s="10">
        <v>5618</v>
      </c>
      <c r="C78" s="10">
        <v>75</v>
      </c>
      <c r="D78" s="10">
        <f t="shared" si="0"/>
        <v>5693</v>
      </c>
      <c r="E78" s="11">
        <f t="shared" si="1"/>
        <v>1.3174073423502548</v>
      </c>
      <c r="F78" s="12"/>
      <c r="G78" s="10">
        <v>4138</v>
      </c>
      <c r="H78" s="10">
        <v>10</v>
      </c>
      <c r="I78" s="10">
        <f t="shared" si="2"/>
        <v>4148</v>
      </c>
      <c r="J78" s="11">
        <f t="shared" si="3"/>
        <v>0.24108003857280619</v>
      </c>
      <c r="K78" s="12"/>
      <c r="L78" s="10">
        <f t="shared" ref="L78:M78" si="83">B78+G78</f>
        <v>9756</v>
      </c>
      <c r="M78" s="10">
        <f t="shared" si="83"/>
        <v>85</v>
      </c>
      <c r="N78" s="10">
        <f t="shared" si="5"/>
        <v>9841</v>
      </c>
      <c r="O78" s="11">
        <f t="shared" si="6"/>
        <v>0.86373336043085058</v>
      </c>
      <c r="P78" s="13">
        <v>1.8</v>
      </c>
      <c r="Q78" s="14">
        <f t="shared" si="7"/>
        <v>0.93626663956914946</v>
      </c>
      <c r="R78" s="14">
        <f ca="1">IFERROR(__xludf.DUMMYFUNCTION("IFERROR(
  AVERAGE(
    FILTER(
      $O$2:O78,
      $A$2:A78 &gt;= A78 - 30,
      $A$2:A78 &lt;= A78,
      $O$2:O78 &gt; 0
    )
  ),
"""")"),1.94809013013353)</f>
        <v>1.9480901301335301</v>
      </c>
      <c r="S78" s="14"/>
    </row>
    <row r="79" spans="1:19" ht="15.75" customHeight="1" x14ac:dyDescent="0.25">
      <c r="A79" s="9">
        <v>45978</v>
      </c>
      <c r="B79" s="10">
        <v>6114</v>
      </c>
      <c r="C79" s="10">
        <v>122</v>
      </c>
      <c r="D79" s="10">
        <f t="shared" si="0"/>
        <v>6236</v>
      </c>
      <c r="E79" s="11">
        <f t="shared" si="1"/>
        <v>1.9563822963438102</v>
      </c>
      <c r="F79" s="12"/>
      <c r="G79" s="10">
        <v>3978</v>
      </c>
      <c r="H79" s="10">
        <v>76</v>
      </c>
      <c r="I79" s="10">
        <f t="shared" si="2"/>
        <v>4054</v>
      </c>
      <c r="J79" s="11">
        <f t="shared" si="3"/>
        <v>1.8746916625555008</v>
      </c>
      <c r="K79" s="12"/>
      <c r="L79" s="10">
        <f t="shared" ref="L79:M79" si="84">B79+G79</f>
        <v>10092</v>
      </c>
      <c r="M79" s="10">
        <f t="shared" si="84"/>
        <v>198</v>
      </c>
      <c r="N79" s="10">
        <f t="shared" si="5"/>
        <v>10290</v>
      </c>
      <c r="O79" s="11">
        <f t="shared" si="6"/>
        <v>1.9241982507288629</v>
      </c>
      <c r="P79" s="13">
        <v>1.8</v>
      </c>
      <c r="Q79" s="14">
        <f t="shared" si="7"/>
        <v>-0.12419825072886281</v>
      </c>
      <c r="R79" s="14">
        <f ca="1">IFERROR(__xludf.DUMMYFUNCTION("IFERROR(
  AVERAGE(
    FILTER(
      $O$2:O79,
      $A$2:A79 &gt;= A79 - 30,
      $A$2:A79 &lt;= A79,
      $O$2:O79 &gt; 0
    )
  ),
"""")"),1.96229961962309)</f>
        <v>1.96229961962309</v>
      </c>
      <c r="S79" s="14"/>
    </row>
    <row r="80" spans="1:19" ht="15.75" customHeight="1" x14ac:dyDescent="0.25">
      <c r="A80" s="9">
        <v>45979</v>
      </c>
      <c r="B80" s="10">
        <v>5740</v>
      </c>
      <c r="C80" s="10">
        <v>72</v>
      </c>
      <c r="D80" s="10">
        <f t="shared" si="0"/>
        <v>5812</v>
      </c>
      <c r="E80" s="11">
        <f t="shared" si="1"/>
        <v>1.2388162422573985</v>
      </c>
      <c r="F80" s="12"/>
      <c r="G80" s="10">
        <v>3984</v>
      </c>
      <c r="H80" s="10">
        <v>56</v>
      </c>
      <c r="I80" s="10">
        <f t="shared" si="2"/>
        <v>4040</v>
      </c>
      <c r="J80" s="11">
        <f t="shared" si="3"/>
        <v>1.3861386138613863</v>
      </c>
      <c r="K80" s="12"/>
      <c r="L80" s="10">
        <f t="shared" ref="L80:M80" si="85">B80+G80</f>
        <v>9724</v>
      </c>
      <c r="M80" s="10">
        <f t="shared" si="85"/>
        <v>128</v>
      </c>
      <c r="N80" s="10">
        <f t="shared" si="5"/>
        <v>9852</v>
      </c>
      <c r="O80" s="11">
        <f t="shared" si="6"/>
        <v>1.2992285830288266</v>
      </c>
      <c r="P80" s="13">
        <v>1.8</v>
      </c>
      <c r="Q80" s="14">
        <f t="shared" si="7"/>
        <v>0.50077141697117344</v>
      </c>
      <c r="R80" s="14">
        <f ca="1">IFERROR(__xludf.DUMMYFUNCTION("IFERROR(
  AVERAGE(
    FILTER(
      $O$2:O80,
      $A$2:A80 &gt;= A80 - 30,
      $A$2:A80 &lt;= A80,
      $O$2:O80 &gt; 0
    )
  ),
"""")"),1.96610587852329)</f>
        <v>1.9661058785232901</v>
      </c>
      <c r="S80" s="14"/>
    </row>
    <row r="81" spans="1:19" ht="15.75" customHeight="1" x14ac:dyDescent="0.25">
      <c r="A81" s="9">
        <v>45980</v>
      </c>
      <c r="B81" s="10">
        <v>6020</v>
      </c>
      <c r="C81" s="10">
        <v>83</v>
      </c>
      <c r="D81" s="10">
        <f t="shared" si="0"/>
        <v>6103</v>
      </c>
      <c r="E81" s="11">
        <f t="shared" si="1"/>
        <v>1.3599868916926101</v>
      </c>
      <c r="F81" s="12"/>
      <c r="G81" s="10">
        <v>2374</v>
      </c>
      <c r="H81" s="10">
        <v>246</v>
      </c>
      <c r="I81" s="10">
        <f t="shared" si="2"/>
        <v>2620</v>
      </c>
      <c r="J81" s="11">
        <f t="shared" si="3"/>
        <v>9.3893129770992374</v>
      </c>
      <c r="K81" s="12"/>
      <c r="L81" s="10">
        <f t="shared" ref="L81:M81" si="86">B81+G81</f>
        <v>8394</v>
      </c>
      <c r="M81" s="10">
        <f t="shared" si="86"/>
        <v>329</v>
      </c>
      <c r="N81" s="10">
        <f t="shared" si="5"/>
        <v>8723</v>
      </c>
      <c r="O81" s="11">
        <f t="shared" si="6"/>
        <v>3.771638197867706</v>
      </c>
      <c r="P81" s="13">
        <v>1.8</v>
      </c>
      <c r="Q81" s="14">
        <f t="shared" si="7"/>
        <v>-1.971638197867706</v>
      </c>
      <c r="R81" s="14">
        <f ca="1">IFERROR(__xludf.DUMMYFUNCTION("IFERROR(
  AVERAGE(
    FILTER(
      $O$2:O81,
      $A$2:A81 &gt;= A81 - 30,
      $A$2:A81 &lt;= A81,
      $O$2:O81 &gt; 0
    )
  ),
"""")"),1.99675132489689)</f>
        <v>1.99675132489689</v>
      </c>
      <c r="S81" s="14"/>
    </row>
    <row r="82" spans="1:19" ht="15.75" customHeight="1" x14ac:dyDescent="0.25">
      <c r="A82" s="9">
        <v>45981</v>
      </c>
      <c r="B82" s="10">
        <v>6948</v>
      </c>
      <c r="C82" s="10">
        <v>46</v>
      </c>
      <c r="D82" s="10">
        <f t="shared" si="0"/>
        <v>6994</v>
      </c>
      <c r="E82" s="11">
        <f t="shared" si="1"/>
        <v>0.65770660566199601</v>
      </c>
      <c r="F82" s="12"/>
      <c r="G82" s="10">
        <v>0</v>
      </c>
      <c r="H82" s="10">
        <v>0</v>
      </c>
      <c r="I82" s="10">
        <f t="shared" si="2"/>
        <v>0</v>
      </c>
      <c r="J82" s="11" t="e">
        <f t="shared" si="3"/>
        <v>#DIV/0!</v>
      </c>
      <c r="K82" s="12"/>
      <c r="L82" s="10">
        <f t="shared" ref="L82:M82" si="87">B82+G82</f>
        <v>6948</v>
      </c>
      <c r="M82" s="10">
        <f t="shared" si="87"/>
        <v>46</v>
      </c>
      <c r="N82" s="10">
        <f t="shared" si="5"/>
        <v>6994</v>
      </c>
      <c r="O82" s="11">
        <f t="shared" si="6"/>
        <v>0.65770660566199601</v>
      </c>
      <c r="P82" s="13">
        <v>1.8</v>
      </c>
      <c r="Q82" s="14">
        <f t="shared" si="7"/>
        <v>1.142293394338004</v>
      </c>
      <c r="R82" s="14">
        <f ca="1">IFERROR(__xludf.DUMMYFUNCTION("IFERROR(
  AVERAGE(
    FILTER(
      $O$2:O82,
      $A$2:A82 &gt;= A82 - 30,
      $A$2:A82 &lt;= A82,
      $O$2:O82 &gt; 0
    )
  ),
"""")"),1.74157392372422)</f>
        <v>1.74157392372422</v>
      </c>
      <c r="S82" s="14"/>
    </row>
    <row r="83" spans="1:19" ht="15.75" customHeight="1" x14ac:dyDescent="0.25">
      <c r="A83" s="9">
        <v>45982</v>
      </c>
      <c r="B83" s="10">
        <v>6174</v>
      </c>
      <c r="C83" s="10">
        <v>94</v>
      </c>
      <c r="D83" s="10">
        <f t="shared" si="0"/>
        <v>6268</v>
      </c>
      <c r="E83" s="11">
        <f t="shared" si="1"/>
        <v>1.4996809189534142</v>
      </c>
      <c r="F83" s="12"/>
      <c r="G83" s="10">
        <v>1558</v>
      </c>
      <c r="H83" s="10">
        <v>85</v>
      </c>
      <c r="I83" s="10">
        <f t="shared" si="2"/>
        <v>1643</v>
      </c>
      <c r="J83" s="11">
        <f t="shared" si="3"/>
        <v>5.1734631771150337</v>
      </c>
      <c r="K83" s="12"/>
      <c r="L83" s="10">
        <f t="shared" ref="L83:M83" si="88">B83+G83</f>
        <v>7732</v>
      </c>
      <c r="M83" s="10">
        <f t="shared" si="88"/>
        <v>179</v>
      </c>
      <c r="N83" s="10">
        <f t="shared" si="5"/>
        <v>7911</v>
      </c>
      <c r="O83" s="11">
        <f t="shared" si="6"/>
        <v>2.2626722285425358</v>
      </c>
      <c r="P83" s="13">
        <v>1.8</v>
      </c>
      <c r="Q83" s="14">
        <f t="shared" si="7"/>
        <v>-0.46267222854253576</v>
      </c>
      <c r="R83" s="14">
        <f ca="1">IFERROR(__xludf.DUMMYFUNCTION("IFERROR(
  AVERAGE(
    FILTER(
      $O$2:O83,
      $A$2:A83 &gt;= A83 - 30,
      $A$2:A83 &lt;= A83,
      $O$2:O83 &gt; 0
    )
  ),
"""")"),1.75894386721817)</f>
        <v>1.7589438672181701</v>
      </c>
      <c r="S83" s="14"/>
    </row>
    <row r="84" spans="1:19" ht="15.75" customHeight="1" x14ac:dyDescent="0.25">
      <c r="A84" s="9">
        <v>45983</v>
      </c>
      <c r="B84" s="10">
        <v>5606</v>
      </c>
      <c r="C84" s="10">
        <v>38</v>
      </c>
      <c r="D84" s="10">
        <f t="shared" si="0"/>
        <v>5644</v>
      </c>
      <c r="E84" s="11">
        <f t="shared" si="1"/>
        <v>0.6732813607370659</v>
      </c>
      <c r="F84" s="12"/>
      <c r="G84" s="10">
        <v>3854</v>
      </c>
      <c r="H84" s="10">
        <v>12</v>
      </c>
      <c r="I84" s="10">
        <f t="shared" si="2"/>
        <v>3866</v>
      </c>
      <c r="J84" s="11">
        <f t="shared" si="3"/>
        <v>0.31039834454216247</v>
      </c>
      <c r="K84" s="12"/>
      <c r="L84" s="10">
        <f t="shared" ref="L84:M84" si="89">B84+G84</f>
        <v>9460</v>
      </c>
      <c r="M84" s="10">
        <f t="shared" si="89"/>
        <v>50</v>
      </c>
      <c r="N84" s="10">
        <f t="shared" si="5"/>
        <v>9510</v>
      </c>
      <c r="O84" s="11">
        <f t="shared" si="6"/>
        <v>0.52576235541535232</v>
      </c>
      <c r="P84" s="13">
        <v>1.8</v>
      </c>
      <c r="Q84" s="14">
        <f t="shared" si="7"/>
        <v>1.2742376445846477</v>
      </c>
      <c r="R84" s="14">
        <f ca="1">IFERROR(__xludf.DUMMYFUNCTION("IFERROR(
  AVERAGE(
    FILTER(
      $O$2:O84,
      $A$2:A84 &gt;= A84 - 30,
      $A$2:A84 &lt;= A84,
      $O$2:O84 &gt; 0
    )
  ),
"""")"),1.71916381845033)</f>
        <v>1.71916381845033</v>
      </c>
      <c r="S84" s="14"/>
    </row>
    <row r="85" spans="1:19" ht="15.75" customHeight="1" x14ac:dyDescent="0.25">
      <c r="A85" s="9">
        <v>45984</v>
      </c>
      <c r="B85" s="10">
        <v>6674</v>
      </c>
      <c r="C85" s="10">
        <v>64</v>
      </c>
      <c r="D85" s="10">
        <f t="shared" si="0"/>
        <v>6738</v>
      </c>
      <c r="E85" s="11">
        <f t="shared" si="1"/>
        <v>0.94983674680914221</v>
      </c>
      <c r="F85" s="12"/>
      <c r="G85" s="10">
        <v>3992</v>
      </c>
      <c r="H85" s="10">
        <v>45</v>
      </c>
      <c r="I85" s="10">
        <f t="shared" si="2"/>
        <v>4037</v>
      </c>
      <c r="J85" s="11">
        <f t="shared" si="3"/>
        <v>1.1146891255883082</v>
      </c>
      <c r="K85" s="12"/>
      <c r="L85" s="10">
        <f t="shared" ref="L85:M85" si="90">B85+G85</f>
        <v>10666</v>
      </c>
      <c r="M85" s="10">
        <f t="shared" si="90"/>
        <v>109</v>
      </c>
      <c r="N85" s="10">
        <f t="shared" si="5"/>
        <v>10775</v>
      </c>
      <c r="O85" s="11">
        <f t="shared" si="6"/>
        <v>1.011600928074246</v>
      </c>
      <c r="P85" s="13">
        <v>1.8</v>
      </c>
      <c r="Q85" s="14">
        <f t="shared" si="7"/>
        <v>0.78839907192575409</v>
      </c>
      <c r="R85" s="14">
        <f ca="1">IFERROR(__xludf.DUMMYFUNCTION("IFERROR(
  AVERAGE(
    FILTER(
      $O$2:O85,
      $A$2:A85 &gt;= A85 - 30,
      $A$2:A85 &lt;= A85,
      $O$2:O85 &gt; 0
    )
  ),
"""")"),1.51044256639662)</f>
        <v>1.5104425663966199</v>
      </c>
      <c r="S85" s="14"/>
    </row>
    <row r="86" spans="1:19" ht="15.75" customHeight="1" x14ac:dyDescent="0.25">
      <c r="A86" s="9">
        <v>45985</v>
      </c>
      <c r="B86" s="10">
        <v>6934</v>
      </c>
      <c r="C86" s="10">
        <v>28</v>
      </c>
      <c r="D86" s="10">
        <f t="shared" si="0"/>
        <v>6962</v>
      </c>
      <c r="E86" s="11">
        <f t="shared" si="1"/>
        <v>0.40218328066647513</v>
      </c>
      <c r="F86" s="12"/>
      <c r="G86" s="10">
        <v>4329</v>
      </c>
      <c r="H86" s="10">
        <v>217</v>
      </c>
      <c r="I86" s="10">
        <f t="shared" si="2"/>
        <v>4546</v>
      </c>
      <c r="J86" s="11">
        <f t="shared" si="3"/>
        <v>4.7734271887373518</v>
      </c>
      <c r="K86" s="12"/>
      <c r="L86" s="10">
        <f t="shared" ref="L86:M86" si="91">B86+G86</f>
        <v>11263</v>
      </c>
      <c r="M86" s="10">
        <f t="shared" si="91"/>
        <v>245</v>
      </c>
      <c r="N86" s="10">
        <f t="shared" si="5"/>
        <v>11508</v>
      </c>
      <c r="O86" s="11">
        <f t="shared" si="6"/>
        <v>2.1289537712895377</v>
      </c>
      <c r="P86" s="13">
        <v>1.8</v>
      </c>
      <c r="Q86" s="14">
        <f t="shared" si="7"/>
        <v>-0.32895377128953762</v>
      </c>
      <c r="R86" s="14">
        <f ca="1">IFERROR(__xludf.DUMMYFUNCTION("IFERROR(
  AVERAGE(
    FILTER(
      $O$2:O86,
      $A$2:A86 &gt;= A86 - 30,
      $A$2:A86 &lt;= A86,
      $O$2:O86 &gt; 0
    )
  ),
"""")"),1.54126441059437)</f>
        <v>1.54126441059437</v>
      </c>
      <c r="S86" s="14"/>
    </row>
    <row r="87" spans="1:19" ht="15.75" customHeight="1" x14ac:dyDescent="0.25">
      <c r="A87" s="9">
        <v>45986</v>
      </c>
      <c r="B87" s="10">
        <v>6607</v>
      </c>
      <c r="C87" s="10">
        <v>79</v>
      </c>
      <c r="D87" s="10">
        <f t="shared" si="0"/>
        <v>6686</v>
      </c>
      <c r="E87" s="11">
        <f t="shared" si="1"/>
        <v>1.1815734370326054</v>
      </c>
      <c r="F87" s="12"/>
      <c r="G87" s="10">
        <v>5960</v>
      </c>
      <c r="H87" s="10">
        <v>80</v>
      </c>
      <c r="I87" s="10">
        <f t="shared" si="2"/>
        <v>6040</v>
      </c>
      <c r="J87" s="11">
        <f t="shared" si="3"/>
        <v>1.3245033112582782</v>
      </c>
      <c r="K87" s="12"/>
      <c r="L87" s="10">
        <f t="shared" ref="L87:M87" si="92">B87+G87</f>
        <v>12567</v>
      </c>
      <c r="M87" s="10">
        <f t="shared" si="92"/>
        <v>159</v>
      </c>
      <c r="N87" s="10">
        <f t="shared" si="5"/>
        <v>12726</v>
      </c>
      <c r="O87" s="11">
        <f t="shared" si="6"/>
        <v>1.2494106553512494</v>
      </c>
      <c r="P87" s="13">
        <v>1.8</v>
      </c>
      <c r="Q87" s="14">
        <f t="shared" si="7"/>
        <v>0.55058934464875064</v>
      </c>
      <c r="R87" s="14">
        <f ca="1">IFERROR(__xludf.DUMMYFUNCTION("IFERROR(
  AVERAGE(
    FILTER(
      $O$2:O87,
      $A$2:A87 &gt;= A87 - 30,
      $A$2:A87 &lt;= A87,
      $O$2:O87 &gt; 0
    )
  ),
"""")"),1.5409117307635)</f>
        <v>1.5409117307635001</v>
      </c>
      <c r="S87" s="14"/>
    </row>
    <row r="88" spans="1:19" ht="15.75" customHeight="1" x14ac:dyDescent="0.25">
      <c r="A88" s="9">
        <v>45987</v>
      </c>
      <c r="B88" s="10">
        <v>4770</v>
      </c>
      <c r="C88" s="10">
        <v>113</v>
      </c>
      <c r="D88" s="10">
        <f t="shared" si="0"/>
        <v>4883</v>
      </c>
      <c r="E88" s="11">
        <f t="shared" si="1"/>
        <v>2.314151136596355</v>
      </c>
      <c r="F88" s="12"/>
      <c r="G88" s="10">
        <v>5717</v>
      </c>
      <c r="H88" s="10">
        <v>60</v>
      </c>
      <c r="I88" s="10">
        <f t="shared" si="2"/>
        <v>5777</v>
      </c>
      <c r="J88" s="11">
        <f t="shared" si="3"/>
        <v>1.0386013501817553</v>
      </c>
      <c r="K88" s="12"/>
      <c r="L88" s="10">
        <f t="shared" ref="L88:M88" si="93">B88+G88</f>
        <v>10487</v>
      </c>
      <c r="M88" s="10">
        <f t="shared" si="93"/>
        <v>173</v>
      </c>
      <c r="N88" s="10">
        <f t="shared" si="5"/>
        <v>10660</v>
      </c>
      <c r="O88" s="11">
        <f t="shared" si="6"/>
        <v>1.6228893058161351</v>
      </c>
      <c r="P88" s="13">
        <v>1.8</v>
      </c>
      <c r="Q88" s="14">
        <f t="shared" si="7"/>
        <v>0.17711069418386494</v>
      </c>
      <c r="R88" s="14">
        <f ca="1">IFERROR(__xludf.DUMMYFUNCTION("IFERROR(
  AVERAGE(
    FILTER(
      $O$2:O88,
      $A$2:A88 &gt;= A88 - 30,
      $A$2:A88 &lt;= A88,
      $O$2:O88 &gt; 0
    )
  ),
"""")"),1.56037650917928)</f>
        <v>1.5603765091792801</v>
      </c>
      <c r="S88" s="14"/>
    </row>
    <row r="89" spans="1:19" ht="15.75" customHeight="1" x14ac:dyDescent="0.25">
      <c r="A89" s="9">
        <v>45988</v>
      </c>
      <c r="B89" s="10">
        <v>5098</v>
      </c>
      <c r="C89" s="10">
        <v>48</v>
      </c>
      <c r="D89" s="10">
        <f t="shared" si="0"/>
        <v>5146</v>
      </c>
      <c r="E89" s="11">
        <f t="shared" si="1"/>
        <v>0.93276331130975509</v>
      </c>
      <c r="F89" s="12"/>
      <c r="G89" s="10">
        <v>5236</v>
      </c>
      <c r="H89" s="10">
        <v>46</v>
      </c>
      <c r="I89" s="10">
        <f t="shared" si="2"/>
        <v>5282</v>
      </c>
      <c r="J89" s="11">
        <f t="shared" si="3"/>
        <v>0.87088224157516092</v>
      </c>
      <c r="K89" s="12"/>
      <c r="L89" s="10">
        <f t="shared" ref="L89:M89" si="94">B89+G89</f>
        <v>10334</v>
      </c>
      <c r="M89" s="10">
        <f t="shared" si="94"/>
        <v>94</v>
      </c>
      <c r="N89" s="10">
        <f t="shared" si="5"/>
        <v>10428</v>
      </c>
      <c r="O89" s="11">
        <f t="shared" si="6"/>
        <v>0.90141925584963556</v>
      </c>
      <c r="P89" s="13">
        <v>1.8</v>
      </c>
      <c r="Q89" s="14">
        <f t="shared" si="7"/>
        <v>0.89858074415036449</v>
      </c>
      <c r="R89" s="14">
        <f ca="1">IFERROR(__xludf.DUMMYFUNCTION("IFERROR(
  AVERAGE(
    FILTER(
      $O$2:O89,
      $A$2:A89 &gt;= A89 - 30,
      $A$2:A89 &lt;= A89,
      $O$2:O89 &gt; 0
    )
  ),
"""")"),1.5192315144797)</f>
        <v>1.5192315144797</v>
      </c>
      <c r="S89" s="14"/>
    </row>
    <row r="90" spans="1:19" ht="15.75" customHeight="1" x14ac:dyDescent="0.25">
      <c r="A90" s="9">
        <v>45989</v>
      </c>
      <c r="B90" s="10">
        <v>6178</v>
      </c>
      <c r="C90" s="10">
        <v>47</v>
      </c>
      <c r="D90" s="10">
        <f t="shared" si="0"/>
        <v>6225</v>
      </c>
      <c r="E90" s="11">
        <f t="shared" si="1"/>
        <v>0.75502008032128509</v>
      </c>
      <c r="F90" s="12"/>
      <c r="G90" s="10">
        <v>5864</v>
      </c>
      <c r="H90" s="10">
        <v>82</v>
      </c>
      <c r="I90" s="10">
        <f t="shared" si="2"/>
        <v>5946</v>
      </c>
      <c r="J90" s="11">
        <f t="shared" si="3"/>
        <v>1.3790783720147999</v>
      </c>
      <c r="K90" s="12"/>
      <c r="L90" s="10">
        <f t="shared" ref="L90:M90" si="95">B90+G90</f>
        <v>12042</v>
      </c>
      <c r="M90" s="10">
        <f t="shared" si="95"/>
        <v>129</v>
      </c>
      <c r="N90" s="10">
        <f t="shared" si="5"/>
        <v>12171</v>
      </c>
      <c r="O90" s="11">
        <f t="shared" si="6"/>
        <v>1.0598964752280011</v>
      </c>
      <c r="P90" s="13">
        <v>1.8</v>
      </c>
      <c r="Q90" s="14">
        <f t="shared" si="7"/>
        <v>0.74010352477199892</v>
      </c>
      <c r="R90" s="14">
        <f ca="1">IFERROR(__xludf.DUMMYFUNCTION("IFERROR(
  AVERAGE(
    FILTER(
      $O$2:O90,
      $A$2:A90 &gt;= A90 - 30,
      $A$2:A90 &lt;= A90,
      $O$2:O90 &gt; 0
    )
  ),
"""")"),1.50542147072512)</f>
        <v>1.5054214707251199</v>
      </c>
      <c r="S90" s="14"/>
    </row>
    <row r="91" spans="1:19" ht="15.75" customHeight="1" x14ac:dyDescent="0.25">
      <c r="A91" s="9">
        <v>45990</v>
      </c>
      <c r="B91" s="10">
        <v>6130</v>
      </c>
      <c r="C91" s="10">
        <v>58</v>
      </c>
      <c r="D91" s="10">
        <f t="shared" si="0"/>
        <v>6188</v>
      </c>
      <c r="E91" s="11">
        <f t="shared" si="1"/>
        <v>0.93729799612152553</v>
      </c>
      <c r="F91" s="12"/>
      <c r="G91" s="10">
        <v>5520</v>
      </c>
      <c r="H91" s="10">
        <v>131</v>
      </c>
      <c r="I91" s="10">
        <f t="shared" si="2"/>
        <v>5651</v>
      </c>
      <c r="J91" s="11">
        <f t="shared" si="3"/>
        <v>2.3181737745531765</v>
      </c>
      <c r="K91" s="12"/>
      <c r="L91" s="10">
        <f t="shared" ref="L91:M91" si="96">B91+G91</f>
        <v>11650</v>
      </c>
      <c r="M91" s="10">
        <f t="shared" si="96"/>
        <v>189</v>
      </c>
      <c r="N91" s="10">
        <f t="shared" si="5"/>
        <v>11839</v>
      </c>
      <c r="O91" s="11">
        <f t="shared" si="6"/>
        <v>1.5964186164371992</v>
      </c>
      <c r="P91" s="13">
        <v>1.8</v>
      </c>
      <c r="Q91" s="14">
        <f t="shared" si="7"/>
        <v>0.20358138356280087</v>
      </c>
      <c r="R91" s="14">
        <f ca="1">IFERROR(__xludf.DUMMYFUNCTION("IFERROR(
  AVERAGE(
    FILTER(
      $O$2:O91,
      $A$2:A91 &gt;= A91 - 30,
      $A$2:A91 &lt;= A91,
      $O$2:O91 &gt; 0
    )
  ),
"""")"),1.53590161131691)</f>
        <v>1.5359016113169099</v>
      </c>
      <c r="S91" s="14"/>
    </row>
    <row r="92" spans="1:19" ht="15.75" customHeight="1" x14ac:dyDescent="0.25">
      <c r="A92" s="9">
        <v>45991</v>
      </c>
      <c r="B92" s="10">
        <v>5586</v>
      </c>
      <c r="C92" s="10">
        <v>55</v>
      </c>
      <c r="D92" s="10">
        <f t="shared" si="0"/>
        <v>5641</v>
      </c>
      <c r="E92" s="11">
        <f t="shared" si="1"/>
        <v>0.97500443183832664</v>
      </c>
      <c r="F92" s="12"/>
      <c r="G92" s="10">
        <v>6069</v>
      </c>
      <c r="H92" s="10">
        <v>56</v>
      </c>
      <c r="I92" s="10">
        <f t="shared" si="2"/>
        <v>6125</v>
      </c>
      <c r="J92" s="11">
        <f t="shared" si="3"/>
        <v>0.91428571428571426</v>
      </c>
      <c r="K92" s="12"/>
      <c r="L92" s="10">
        <f t="shared" ref="L92:M92" si="97">B92+G92</f>
        <v>11655</v>
      </c>
      <c r="M92" s="10">
        <f t="shared" si="97"/>
        <v>111</v>
      </c>
      <c r="N92" s="10">
        <f t="shared" si="5"/>
        <v>11766</v>
      </c>
      <c r="O92" s="11">
        <f t="shared" si="6"/>
        <v>0.94339622641509435</v>
      </c>
      <c r="P92" s="13">
        <v>1.8</v>
      </c>
      <c r="Q92" s="14">
        <f t="shared" si="7"/>
        <v>0.85660377358490569</v>
      </c>
      <c r="R92" s="14">
        <f ca="1">IFERROR(__xludf.DUMMYFUNCTION("IFERROR(
  AVERAGE(
    FILTER(
      $O$2:O92,
      $A$2:A92 &gt;= A92 - 30,
      $A$2:A92 &lt;= A92,
      $O$2:O92 &gt; 0
    )
  ),
"""")"),1.49947765539147)</f>
        <v>1.4994776553914699</v>
      </c>
      <c r="S92" s="14"/>
    </row>
    <row r="93" spans="1:19" ht="15.75" customHeight="1" x14ac:dyDescent="0.25">
      <c r="A93" s="9">
        <v>45992</v>
      </c>
      <c r="B93" s="10">
        <v>6150</v>
      </c>
      <c r="C93" s="10">
        <v>14</v>
      </c>
      <c r="D93" s="10">
        <f t="shared" si="0"/>
        <v>6164</v>
      </c>
      <c r="E93" s="11">
        <f t="shared" si="1"/>
        <v>0.227125243348475</v>
      </c>
      <c r="F93" s="12"/>
      <c r="G93" s="10">
        <v>5825</v>
      </c>
      <c r="H93" s="10">
        <v>87</v>
      </c>
      <c r="I93" s="10">
        <f t="shared" si="2"/>
        <v>5912</v>
      </c>
      <c r="J93" s="11">
        <f t="shared" si="3"/>
        <v>1.4715832205683357</v>
      </c>
      <c r="K93" s="12"/>
      <c r="L93" s="10">
        <f t="shared" ref="L93:M93" si="98">B93+G93</f>
        <v>11975</v>
      </c>
      <c r="M93" s="10">
        <f t="shared" si="98"/>
        <v>101</v>
      </c>
      <c r="N93" s="10">
        <f t="shared" si="5"/>
        <v>12076</v>
      </c>
      <c r="O93" s="11">
        <f t="shared" si="6"/>
        <v>0.83636965882742631</v>
      </c>
      <c r="P93" s="13">
        <v>1.8</v>
      </c>
      <c r="Q93" s="14">
        <f t="shared" si="7"/>
        <v>0.96363034117257373</v>
      </c>
      <c r="R93" s="14">
        <f ca="1">IFERROR(__xludf.DUMMYFUNCTION("IFERROR(
  AVERAGE(
    FILTER(
      $O$2:O93,
      $A$2:A93 &gt;= A93 - 30,
      $A$2:A93 &lt;= A93,
      $O$2:O93 &gt; 0
    )
  ),
"""")"),1.48497980690911)</f>
        <v>1.48497980690911</v>
      </c>
      <c r="S93" s="14"/>
    </row>
    <row r="94" spans="1:19" ht="15.75" customHeight="1" x14ac:dyDescent="0.25">
      <c r="A94" s="9">
        <v>45993</v>
      </c>
      <c r="B94" s="10">
        <v>6442</v>
      </c>
      <c r="C94" s="10">
        <v>62</v>
      </c>
      <c r="D94" s="10">
        <f t="shared" si="0"/>
        <v>6504</v>
      </c>
      <c r="E94" s="11">
        <f t="shared" si="1"/>
        <v>0.95325953259532581</v>
      </c>
      <c r="F94" s="12"/>
      <c r="G94" s="10">
        <v>5441</v>
      </c>
      <c r="H94" s="10">
        <v>60</v>
      </c>
      <c r="I94" s="10">
        <f t="shared" si="2"/>
        <v>5501</v>
      </c>
      <c r="J94" s="11">
        <f t="shared" si="3"/>
        <v>1.0907107798582076</v>
      </c>
      <c r="K94" s="12"/>
      <c r="L94" s="10">
        <f t="shared" ref="L94:M94" si="99">B94+G94</f>
        <v>11883</v>
      </c>
      <c r="M94" s="10">
        <f t="shared" si="99"/>
        <v>122</v>
      </c>
      <c r="N94" s="10">
        <f t="shared" si="5"/>
        <v>12005</v>
      </c>
      <c r="O94" s="11">
        <f t="shared" si="6"/>
        <v>1.0162432319866723</v>
      </c>
      <c r="P94" s="13">
        <v>1.8</v>
      </c>
      <c r="Q94" s="14">
        <f t="shared" si="7"/>
        <v>0.78375676801332772</v>
      </c>
      <c r="R94" s="14">
        <f ca="1">IFERROR(__xludf.DUMMYFUNCTION("IFERROR(
  AVERAGE(
    FILTER(
      $O$2:O94,
      $A$2:A94 &gt;= A94 - 30,
      $A$2:A94 &lt;= A94,
      $O$2:O94 &gt; 0
    )
  ),
"""")"),1.44678164254189)</f>
        <v>1.44678164254189</v>
      </c>
      <c r="S94" s="14"/>
    </row>
    <row r="95" spans="1:19" ht="15.75" customHeight="1" x14ac:dyDescent="0.25">
      <c r="A95" s="9">
        <v>45994</v>
      </c>
      <c r="B95" s="10">
        <v>5620</v>
      </c>
      <c r="C95" s="10">
        <v>44</v>
      </c>
      <c r="D95" s="10">
        <f t="shared" si="0"/>
        <v>5664</v>
      </c>
      <c r="E95" s="11">
        <f t="shared" si="1"/>
        <v>0.7768361581920904</v>
      </c>
      <c r="F95" s="12"/>
      <c r="G95" s="10">
        <v>6471</v>
      </c>
      <c r="H95" s="10">
        <v>121</v>
      </c>
      <c r="I95" s="10">
        <f t="shared" si="2"/>
        <v>6592</v>
      </c>
      <c r="J95" s="11">
        <f t="shared" si="3"/>
        <v>1.8355582524271845</v>
      </c>
      <c r="K95" s="12"/>
      <c r="L95" s="10">
        <f t="shared" ref="L95:M95" si="100">B95+G95</f>
        <v>12091</v>
      </c>
      <c r="M95" s="10">
        <f t="shared" si="100"/>
        <v>165</v>
      </c>
      <c r="N95" s="10">
        <f t="shared" si="5"/>
        <v>12256</v>
      </c>
      <c r="O95" s="11">
        <f t="shared" si="6"/>
        <v>1.3462793733681462</v>
      </c>
      <c r="P95" s="13">
        <v>1.8</v>
      </c>
      <c r="Q95" s="14">
        <f t="shared" si="7"/>
        <v>0.45372062663185386</v>
      </c>
      <c r="R95" s="14">
        <f ca="1">IFERROR(__xludf.DUMMYFUNCTION("IFERROR(
  AVERAGE(
    FILTER(
      $O$2:O95,
      $A$2:A95 &gt;= A95 - 30,
      $A$2:A95 &lt;= A95,
      $O$2:O95 &gt; 0
    )
  ),
"""")"),1.42665830537499)</f>
        <v>1.4266583053749899</v>
      </c>
      <c r="S95" s="14"/>
    </row>
    <row r="96" spans="1:19" ht="15.75" customHeight="1" x14ac:dyDescent="0.25">
      <c r="A96" s="9">
        <v>45995</v>
      </c>
      <c r="B96" s="10">
        <v>5976</v>
      </c>
      <c r="C96" s="10">
        <v>106</v>
      </c>
      <c r="D96" s="10">
        <f t="shared" si="0"/>
        <v>6082</v>
      </c>
      <c r="E96" s="11">
        <f t="shared" si="1"/>
        <v>1.7428477474514963</v>
      </c>
      <c r="F96" s="12"/>
      <c r="G96" s="10">
        <v>5227</v>
      </c>
      <c r="H96" s="10">
        <v>70</v>
      </c>
      <c r="I96" s="10">
        <f t="shared" si="2"/>
        <v>5297</v>
      </c>
      <c r="J96" s="11">
        <f t="shared" si="3"/>
        <v>1.3215027373985275</v>
      </c>
      <c r="K96" s="12"/>
      <c r="L96" s="10">
        <f t="shared" ref="L96:M96" si="101">B96+G96</f>
        <v>11203</v>
      </c>
      <c r="M96" s="10">
        <f t="shared" si="101"/>
        <v>176</v>
      </c>
      <c r="N96" s="10">
        <f t="shared" si="5"/>
        <v>11379</v>
      </c>
      <c r="O96" s="11">
        <f t="shared" si="6"/>
        <v>1.546708849635293</v>
      </c>
      <c r="P96" s="13">
        <v>1.8</v>
      </c>
      <c r="Q96" s="14">
        <f t="shared" si="7"/>
        <v>0.25329115036470706</v>
      </c>
      <c r="R96" s="14">
        <f ca="1">IFERROR(__xludf.DUMMYFUNCTION("IFERROR(
  AVERAGE(
    FILTER(
      $O$2:O96,
      $A$2:A96 &gt;= A96 - 30,
      $A$2:A96 &lt;= A96,
      $O$2:O96 &gt; 0
    )
  ),
"""")"),1.45452224151586)</f>
        <v>1.4545222415158601</v>
      </c>
      <c r="S96" s="14"/>
    </row>
    <row r="97" spans="1:19" ht="15.75" customHeight="1" x14ac:dyDescent="0.25">
      <c r="A97" s="9">
        <v>45996</v>
      </c>
      <c r="B97" s="10">
        <v>6624</v>
      </c>
      <c r="C97" s="10">
        <v>135</v>
      </c>
      <c r="D97" s="10">
        <f t="shared" si="0"/>
        <v>6759</v>
      </c>
      <c r="E97" s="11">
        <f t="shared" si="1"/>
        <v>1.9973368841544605</v>
      </c>
      <c r="F97" s="12"/>
      <c r="G97" s="10">
        <v>5573</v>
      </c>
      <c r="H97" s="10">
        <v>101</v>
      </c>
      <c r="I97" s="10">
        <f t="shared" si="2"/>
        <v>5674</v>
      </c>
      <c r="J97" s="11">
        <f t="shared" si="3"/>
        <v>1.780049347902714</v>
      </c>
      <c r="K97" s="12"/>
      <c r="L97" s="10">
        <f t="shared" ref="L97:M97" si="102">B97+G97</f>
        <v>12197</v>
      </c>
      <c r="M97" s="10">
        <f t="shared" si="102"/>
        <v>236</v>
      </c>
      <c r="N97" s="10">
        <f t="shared" si="5"/>
        <v>12433</v>
      </c>
      <c r="O97" s="11">
        <f t="shared" si="6"/>
        <v>1.8981742137858924</v>
      </c>
      <c r="P97" s="13">
        <v>1.8</v>
      </c>
      <c r="Q97" s="14">
        <f t="shared" si="7"/>
        <v>-9.8174213785892306E-2</v>
      </c>
      <c r="R97" s="14">
        <f ca="1">IFERROR(__xludf.DUMMYFUNCTION("IFERROR(
  AVERAGE(
    FILTER(
      $O$2:O97,
      $A$2:A97 &gt;= A97 - 30,
      $A$2:A97 &lt;= A97,
      $O$2:O97 &gt; 0
    )
  ),
"""")"),1.50076540857005)</f>
        <v>1.5007654085700499</v>
      </c>
      <c r="S97" s="14"/>
    </row>
    <row r="98" spans="1:19" ht="15.75" customHeight="1" x14ac:dyDescent="0.25">
      <c r="A98" s="9">
        <v>45997</v>
      </c>
      <c r="B98" s="10">
        <v>6554</v>
      </c>
      <c r="C98" s="10">
        <v>197</v>
      </c>
      <c r="D98" s="10">
        <f t="shared" si="0"/>
        <v>6751</v>
      </c>
      <c r="E98" s="11">
        <f t="shared" si="1"/>
        <v>2.9180862094504514</v>
      </c>
      <c r="F98" s="12"/>
      <c r="G98" s="10">
        <v>5032</v>
      </c>
      <c r="H98" s="10">
        <v>95</v>
      </c>
      <c r="I98" s="10">
        <f t="shared" si="2"/>
        <v>5127</v>
      </c>
      <c r="J98" s="11">
        <f t="shared" si="3"/>
        <v>1.8529354398283595</v>
      </c>
      <c r="K98" s="12"/>
      <c r="L98" s="10">
        <f t="shared" ref="L98:M98" si="103">B98+G98</f>
        <v>11586</v>
      </c>
      <c r="M98" s="10">
        <f t="shared" si="103"/>
        <v>292</v>
      </c>
      <c r="N98" s="10">
        <f t="shared" si="5"/>
        <v>11878</v>
      </c>
      <c r="O98" s="11">
        <f t="shared" si="6"/>
        <v>2.458326317561879</v>
      </c>
      <c r="P98" s="13">
        <v>1.8</v>
      </c>
      <c r="Q98" s="14">
        <f t="shared" si="7"/>
        <v>-0.65832631756187898</v>
      </c>
      <c r="R98" s="14">
        <f ca="1">IFERROR(__xludf.DUMMYFUNCTION("IFERROR(
  AVERAGE(
    FILTER(
      $O$2:O98,
      $A$2:A98 &gt;= A98 - 30,
      $A$2:A98 &lt;= A98,
      $O$2:O98 &gt; 0
    )
  ),
"""")"),1.52690007943753)</f>
        <v>1.52690007943753</v>
      </c>
      <c r="S98" s="14"/>
    </row>
    <row r="99" spans="1:19" ht="15.75" customHeight="1" x14ac:dyDescent="0.25">
      <c r="A99" s="9">
        <v>45998</v>
      </c>
      <c r="B99" s="10">
        <v>6736</v>
      </c>
      <c r="C99" s="10">
        <v>27</v>
      </c>
      <c r="D99" s="10">
        <f t="shared" si="0"/>
        <v>6763</v>
      </c>
      <c r="E99" s="11">
        <f t="shared" si="1"/>
        <v>0.39923111045394061</v>
      </c>
      <c r="F99" s="12"/>
      <c r="G99" s="10">
        <v>5656</v>
      </c>
      <c r="H99" s="10">
        <v>101</v>
      </c>
      <c r="I99" s="10">
        <f t="shared" si="2"/>
        <v>5757</v>
      </c>
      <c r="J99" s="11">
        <f t="shared" si="3"/>
        <v>1.7543859649122806</v>
      </c>
      <c r="K99" s="12"/>
      <c r="L99" s="10">
        <f t="shared" ref="L99:M99" si="104">B99+G99</f>
        <v>12392</v>
      </c>
      <c r="M99" s="10">
        <f t="shared" si="104"/>
        <v>128</v>
      </c>
      <c r="N99" s="10">
        <f t="shared" si="5"/>
        <v>12520</v>
      </c>
      <c r="O99" s="11">
        <f t="shared" si="6"/>
        <v>1.0223642172523961</v>
      </c>
      <c r="P99" s="13">
        <v>1.8</v>
      </c>
      <c r="Q99" s="14">
        <f t="shared" si="7"/>
        <v>0.77763578274760392</v>
      </c>
      <c r="R99" s="14">
        <f ca="1">IFERROR(__xludf.DUMMYFUNCTION("IFERROR(
  AVERAGE(
    FILTER(
      $O$2:O99,
      $A$2:A99 &gt;= A99 - 30,
      $A$2:A99 &lt;= A99,
      $O$2:O99 &gt; 0
    )
  ),
"""")"),1.53340381152139)</f>
        <v>1.5334038115213899</v>
      </c>
      <c r="S99" s="14"/>
    </row>
    <row r="100" spans="1:19" ht="15.75" customHeight="1" x14ac:dyDescent="0.25">
      <c r="A100" s="9">
        <v>45999</v>
      </c>
      <c r="B100" s="10">
        <v>6716</v>
      </c>
      <c r="C100" s="10">
        <v>73</v>
      </c>
      <c r="D100" s="10">
        <f t="shared" si="0"/>
        <v>6789</v>
      </c>
      <c r="E100" s="11">
        <f t="shared" si="1"/>
        <v>1.075268817204301</v>
      </c>
      <c r="F100" s="12"/>
      <c r="G100" s="10">
        <v>5445</v>
      </c>
      <c r="H100" s="10">
        <v>178</v>
      </c>
      <c r="I100" s="10">
        <f t="shared" si="2"/>
        <v>5623</v>
      </c>
      <c r="J100" s="11">
        <f t="shared" si="3"/>
        <v>3.1655699804374891</v>
      </c>
      <c r="K100" s="12"/>
      <c r="L100" s="10">
        <f t="shared" ref="L100:M100" si="105">B100+G100</f>
        <v>12161</v>
      </c>
      <c r="M100" s="10">
        <f t="shared" si="105"/>
        <v>251</v>
      </c>
      <c r="N100" s="10">
        <f t="shared" si="5"/>
        <v>12412</v>
      </c>
      <c r="O100" s="11">
        <f t="shared" si="6"/>
        <v>2.0222365452787625</v>
      </c>
      <c r="P100" s="13">
        <v>1.8</v>
      </c>
      <c r="Q100" s="14">
        <f t="shared" si="7"/>
        <v>-0.22223654527876247</v>
      </c>
      <c r="R100" s="14">
        <f ca="1">IFERROR(__xludf.DUMMYFUNCTION("IFERROR(
  AVERAGE(
    FILTER(
      $O$2:O100,
      $A$2:A100 &gt;= A100 - 30,
      $A$2:A100 &lt;= A100,
      $O$2:O100 &gt; 0
    )
  ),
"""")"),1.56746696328956)</f>
        <v>1.5674669632895599</v>
      </c>
      <c r="S100" s="14"/>
    </row>
    <row r="101" spans="1:19" ht="15.75" customHeight="1" x14ac:dyDescent="0.25">
      <c r="A101" s="9">
        <v>46000</v>
      </c>
      <c r="B101" s="10">
        <v>6406</v>
      </c>
      <c r="C101" s="10">
        <v>124</v>
      </c>
      <c r="D101" s="10">
        <f t="shared" si="0"/>
        <v>6530</v>
      </c>
      <c r="E101" s="11">
        <f t="shared" si="1"/>
        <v>1.8989280245022973</v>
      </c>
      <c r="F101" s="12"/>
      <c r="G101" s="10">
        <v>4119</v>
      </c>
      <c r="H101" s="10">
        <v>221</v>
      </c>
      <c r="I101" s="10">
        <f t="shared" si="2"/>
        <v>4340</v>
      </c>
      <c r="J101" s="11">
        <f t="shared" si="3"/>
        <v>5.0921658986175116</v>
      </c>
      <c r="K101" s="12"/>
      <c r="L101" s="10">
        <f t="shared" ref="L101:M101" si="106">B101+G101</f>
        <v>10525</v>
      </c>
      <c r="M101" s="10">
        <f t="shared" si="106"/>
        <v>345</v>
      </c>
      <c r="N101" s="10">
        <f t="shared" si="5"/>
        <v>10870</v>
      </c>
      <c r="O101" s="11">
        <f t="shared" si="6"/>
        <v>3.1738730450781967</v>
      </c>
      <c r="P101" s="13">
        <v>1.8</v>
      </c>
      <c r="Q101" s="14">
        <f t="shared" si="7"/>
        <v>-1.3738730450781966</v>
      </c>
      <c r="R101" s="14">
        <f ca="1">IFERROR(__xludf.DUMMYFUNCTION("IFERROR(
  AVERAGE(
    FILTER(
      $O$2:O101,
      $A$2:A101 &gt;= A101 - 30,
      $A$2:A101 &lt;= A101,
      $O$2:O101 &gt; 0
    )
  ),
"""")"),1.61176257482382)</f>
        <v>1.61176257482382</v>
      </c>
      <c r="S101" s="14"/>
    </row>
    <row r="102" spans="1:19" ht="15.75" customHeight="1" x14ac:dyDescent="0.25">
      <c r="A102" s="9">
        <v>46001</v>
      </c>
      <c r="B102" s="10">
        <v>5468</v>
      </c>
      <c r="C102" s="10">
        <v>102</v>
      </c>
      <c r="D102" s="10">
        <f t="shared" si="0"/>
        <v>5570</v>
      </c>
      <c r="E102" s="11">
        <f t="shared" si="1"/>
        <v>1.8312387791741471</v>
      </c>
      <c r="F102" s="12"/>
      <c r="G102" s="10">
        <v>5417</v>
      </c>
      <c r="H102" s="10">
        <v>15</v>
      </c>
      <c r="I102" s="10">
        <f t="shared" si="2"/>
        <v>5432</v>
      </c>
      <c r="J102" s="11">
        <f t="shared" si="3"/>
        <v>0.27614138438880709</v>
      </c>
      <c r="K102" s="12"/>
      <c r="L102" s="10">
        <f t="shared" ref="L102:M102" si="107">B102+G102</f>
        <v>10885</v>
      </c>
      <c r="M102" s="10">
        <f t="shared" si="107"/>
        <v>117</v>
      </c>
      <c r="N102" s="10">
        <f t="shared" si="5"/>
        <v>11002</v>
      </c>
      <c r="O102" s="11">
        <f t="shared" si="6"/>
        <v>1.0634430103617525</v>
      </c>
      <c r="P102" s="13">
        <v>1.8</v>
      </c>
      <c r="Q102" s="14">
        <f t="shared" si="7"/>
        <v>0.73655698963824756</v>
      </c>
      <c r="R102" s="14">
        <f ca="1">IFERROR(__xludf.DUMMYFUNCTION("IFERROR(
  AVERAGE(
    FILTER(
      $O$2:O102,
      $A$2:A102 &gt;= A102 - 30,
      $A$2:A102 &lt;= A102,
      $O$2:O102 &gt; 0
    )
  ),
"""")"),1.58919853839384)</f>
        <v>1.5891985383938401</v>
      </c>
      <c r="S102" s="14"/>
    </row>
    <row r="103" spans="1:19" ht="15.75" customHeight="1" x14ac:dyDescent="0.25">
      <c r="A103" s="9">
        <v>46002</v>
      </c>
      <c r="B103" s="10">
        <v>5961</v>
      </c>
      <c r="C103" s="10">
        <v>113</v>
      </c>
      <c r="D103" s="10">
        <f t="shared" si="0"/>
        <v>6074</v>
      </c>
      <c r="E103" s="11">
        <f t="shared" si="1"/>
        <v>1.8603885413236747</v>
      </c>
      <c r="F103" s="12"/>
      <c r="G103" s="10">
        <v>4314</v>
      </c>
      <c r="H103" s="10">
        <v>0</v>
      </c>
      <c r="I103" s="10">
        <f t="shared" si="2"/>
        <v>4314</v>
      </c>
      <c r="J103" s="11">
        <f t="shared" si="3"/>
        <v>0</v>
      </c>
      <c r="K103" s="12"/>
      <c r="L103" s="10">
        <f t="shared" ref="L103:M103" si="108">B103+G103</f>
        <v>10275</v>
      </c>
      <c r="M103" s="10">
        <f t="shared" si="108"/>
        <v>113</v>
      </c>
      <c r="N103" s="10">
        <f t="shared" si="5"/>
        <v>10388</v>
      </c>
      <c r="O103" s="11">
        <f t="shared" si="6"/>
        <v>1.0877936080092414</v>
      </c>
      <c r="P103" s="13">
        <v>1.8</v>
      </c>
      <c r="Q103" s="14">
        <f t="shared" si="7"/>
        <v>0.71220639199075864</v>
      </c>
      <c r="R103" s="14">
        <f ca="1">IFERROR(__xludf.DUMMYFUNCTION("IFERROR(
  AVERAGE(
    FILTER(
      $O$2:O103,
      $A$2:A103 &gt;= A103 - 30,
      $A$2:A103 &lt;= A103,
      $O$2:O103 &gt; 0
    )
  ),
"""")"),1.55718102914184)</f>
        <v>1.55718102914184</v>
      </c>
      <c r="S103" s="14"/>
    </row>
    <row r="104" spans="1:19" ht="15.75" customHeight="1" x14ac:dyDescent="0.25">
      <c r="A104" s="9">
        <v>46003</v>
      </c>
      <c r="B104" s="10">
        <v>6428</v>
      </c>
      <c r="C104" s="10">
        <v>217</v>
      </c>
      <c r="D104" s="10">
        <f t="shared" si="0"/>
        <v>6645</v>
      </c>
      <c r="E104" s="11">
        <f t="shared" si="1"/>
        <v>3.2656132430398794</v>
      </c>
      <c r="F104" s="12"/>
      <c r="G104" s="10">
        <v>3912</v>
      </c>
      <c r="H104" s="10">
        <v>29</v>
      </c>
      <c r="I104" s="10">
        <f t="shared" si="2"/>
        <v>3941</v>
      </c>
      <c r="J104" s="11">
        <f t="shared" si="3"/>
        <v>0.7358538442019793</v>
      </c>
      <c r="K104" s="12"/>
      <c r="L104" s="10">
        <f t="shared" ref="L104:M104" si="109">B104+G104</f>
        <v>10340</v>
      </c>
      <c r="M104" s="10">
        <f t="shared" si="109"/>
        <v>246</v>
      </c>
      <c r="N104" s="10">
        <f t="shared" si="5"/>
        <v>10586</v>
      </c>
      <c r="O104" s="11">
        <f t="shared" si="6"/>
        <v>2.3238239183827698</v>
      </c>
      <c r="P104" s="13">
        <v>1.8</v>
      </c>
      <c r="Q104" s="14">
        <f t="shared" si="7"/>
        <v>-0.52382391838276976</v>
      </c>
      <c r="R104" s="14">
        <f ca="1">IFERROR(__xludf.DUMMYFUNCTION("IFERROR(
  AVERAGE(
    FILTER(
      $O$2:O104,
      $A$2:A104 &gt;= A104 - 30,
      $A$2:A104 &lt;= A104,
      $O$2:O104 &gt; 0
    )
  ),
"""")"),1.52095571971424)</f>
        <v>1.52095571971424</v>
      </c>
      <c r="S104" s="14"/>
    </row>
    <row r="105" spans="1:19" ht="15.75" customHeight="1" x14ac:dyDescent="0.25">
      <c r="A105" s="9">
        <v>46004</v>
      </c>
      <c r="B105" s="10">
        <v>5914</v>
      </c>
      <c r="C105" s="10">
        <v>101</v>
      </c>
      <c r="D105" s="10">
        <f t="shared" si="0"/>
        <v>6015</v>
      </c>
      <c r="E105" s="11">
        <f t="shared" si="1"/>
        <v>1.6791354945968413</v>
      </c>
      <c r="F105" s="12"/>
      <c r="G105" s="10">
        <v>3344</v>
      </c>
      <c r="H105" s="10">
        <v>75</v>
      </c>
      <c r="I105" s="10">
        <f t="shared" si="2"/>
        <v>3419</v>
      </c>
      <c r="J105" s="11">
        <f t="shared" si="3"/>
        <v>2.1936238666276688</v>
      </c>
      <c r="K105" s="12"/>
      <c r="L105" s="10">
        <f t="shared" ref="L105:M105" si="110">B105+G105</f>
        <v>9258</v>
      </c>
      <c r="M105" s="10">
        <f t="shared" si="110"/>
        <v>176</v>
      </c>
      <c r="N105" s="10">
        <f t="shared" si="5"/>
        <v>9434</v>
      </c>
      <c r="O105" s="11">
        <f t="shared" si="6"/>
        <v>1.8655925376298494</v>
      </c>
      <c r="P105" s="13">
        <v>1.8</v>
      </c>
      <c r="Q105" s="14">
        <f t="shared" si="7"/>
        <v>-6.5592537629849401E-2</v>
      </c>
      <c r="R105" s="14">
        <f ca="1">IFERROR(__xludf.DUMMYFUNCTION("IFERROR(
  AVERAGE(
    FILTER(
      $O$2:O105,
      $A$2:A105 &gt;= A105 - 30,
      $A$2:A105 &lt;= A105,
      $O$2:O105 &gt; 0
    )
  ),
"""")"),1.56125529552097)</f>
        <v>1.56125529552097</v>
      </c>
      <c r="S105" s="14"/>
    </row>
    <row r="106" spans="1:19" ht="15.75" customHeight="1" x14ac:dyDescent="0.25">
      <c r="A106" s="9">
        <v>46005</v>
      </c>
      <c r="B106" s="10">
        <v>5918</v>
      </c>
      <c r="C106" s="10">
        <v>110</v>
      </c>
      <c r="D106" s="10">
        <f t="shared" si="0"/>
        <v>6028</v>
      </c>
      <c r="E106" s="11">
        <f t="shared" si="1"/>
        <v>1.8248175182481752</v>
      </c>
      <c r="F106" s="12"/>
      <c r="G106" s="10">
        <v>4542</v>
      </c>
      <c r="H106" s="10">
        <v>0</v>
      </c>
      <c r="I106" s="10">
        <f t="shared" si="2"/>
        <v>4542</v>
      </c>
      <c r="J106" s="11">
        <f t="shared" si="3"/>
        <v>0</v>
      </c>
      <c r="K106" s="12"/>
      <c r="L106" s="10">
        <f t="shared" ref="L106:M106" si="111">B106+G106</f>
        <v>10460</v>
      </c>
      <c r="M106" s="10">
        <f t="shared" si="111"/>
        <v>110</v>
      </c>
      <c r="N106" s="10">
        <f t="shared" si="5"/>
        <v>10570</v>
      </c>
      <c r="O106" s="11">
        <f t="shared" si="6"/>
        <v>1.0406811731315042</v>
      </c>
      <c r="P106" s="13">
        <v>1.8</v>
      </c>
      <c r="Q106" s="14">
        <f t="shared" si="7"/>
        <v>0.75931882686849583</v>
      </c>
      <c r="R106" s="14">
        <f ca="1">IFERROR(__xludf.DUMMYFUNCTION("IFERROR(
  AVERAGE(
    FILTER(
      $O$2:O106,
      $A$2:A106 &gt;= A106 - 30,
      $A$2:A106 &lt;= A106,
      $O$2:O106 &gt; 0
    )
  ),
"""")"),1.5429280573206)</f>
        <v>1.5429280573205999</v>
      </c>
      <c r="S106" s="14"/>
    </row>
    <row r="107" spans="1:19" ht="15.75" customHeight="1" x14ac:dyDescent="0.25">
      <c r="A107" s="9">
        <v>46006</v>
      </c>
      <c r="B107" s="10">
        <v>6596</v>
      </c>
      <c r="C107" s="10">
        <v>84</v>
      </c>
      <c r="D107" s="10">
        <f t="shared" si="0"/>
        <v>6680</v>
      </c>
      <c r="E107" s="11">
        <f t="shared" si="1"/>
        <v>1.2574850299401199</v>
      </c>
      <c r="F107" s="12"/>
      <c r="G107" s="10">
        <v>3794</v>
      </c>
      <c r="H107" s="10">
        <v>23</v>
      </c>
      <c r="I107" s="10">
        <f t="shared" si="2"/>
        <v>3817</v>
      </c>
      <c r="J107" s="11">
        <f t="shared" si="3"/>
        <v>0.60256746135708672</v>
      </c>
      <c r="K107" s="12"/>
      <c r="L107" s="10">
        <f t="shared" ref="L107:M107" si="112">B107+G107</f>
        <v>10390</v>
      </c>
      <c r="M107" s="10">
        <f t="shared" si="112"/>
        <v>107</v>
      </c>
      <c r="N107" s="10">
        <f t="shared" si="5"/>
        <v>10497</v>
      </c>
      <c r="O107" s="11">
        <f t="shared" si="6"/>
        <v>1.0193388587215395</v>
      </c>
      <c r="P107" s="13">
        <v>1.8</v>
      </c>
      <c r="Q107" s="14">
        <f t="shared" si="7"/>
        <v>0.78066114127846054</v>
      </c>
      <c r="R107" s="14">
        <f ca="1">IFERROR(__xludf.DUMMYFUNCTION("IFERROR(
  AVERAGE(
    FILTER(
      $O$2:O107,
      $A$2:A107 &gt;= A107 - 30,
      $A$2:A107 &lt;= A107,
      $O$2:O107 &gt; 0
    )
  ),
"""")"),1.52702710429214)</f>
        <v>1.5270271042921399</v>
      </c>
      <c r="S107" s="14"/>
    </row>
    <row r="108" spans="1:19" ht="15.75" customHeight="1" x14ac:dyDescent="0.25">
      <c r="A108" s="9">
        <v>46007</v>
      </c>
      <c r="B108" s="10">
        <v>4862</v>
      </c>
      <c r="C108" s="10">
        <v>109</v>
      </c>
      <c r="D108" s="10">
        <f t="shared" si="0"/>
        <v>4971</v>
      </c>
      <c r="E108" s="11">
        <f t="shared" si="1"/>
        <v>2.1927177630255481</v>
      </c>
      <c r="F108" s="12"/>
      <c r="G108" s="10">
        <v>3974</v>
      </c>
      <c r="H108" s="10">
        <v>43</v>
      </c>
      <c r="I108" s="10">
        <f t="shared" si="2"/>
        <v>4017</v>
      </c>
      <c r="J108" s="11">
        <f t="shared" si="3"/>
        <v>1.0704505850136918</v>
      </c>
      <c r="K108" s="12"/>
      <c r="L108" s="10">
        <f t="shared" ref="L108:M108" si="113">B108+G108</f>
        <v>8836</v>
      </c>
      <c r="M108" s="10">
        <f t="shared" si="113"/>
        <v>152</v>
      </c>
      <c r="N108" s="10">
        <f t="shared" si="5"/>
        <v>8988</v>
      </c>
      <c r="O108" s="11">
        <f t="shared" si="6"/>
        <v>1.6911437472185136</v>
      </c>
      <c r="P108" s="13">
        <v>1.8</v>
      </c>
      <c r="Q108" s="14">
        <f t="shared" si="7"/>
        <v>0.10885625278148647</v>
      </c>
      <c r="R108" s="14">
        <f ca="1">IFERROR(__xludf.DUMMYFUNCTION("IFERROR(
  AVERAGE(
    FILTER(
      $O$2:O108,
      $A$2:A108 &gt;= A108 - 30,
      $A$2:A108 &lt;= A108,
      $O$2:O108 &gt; 0
    )
  ),
"""")"),1.52359087491506)</f>
        <v>1.52359087491506</v>
      </c>
      <c r="S108" s="14"/>
    </row>
    <row r="109" spans="1:19" ht="15.75" customHeight="1" x14ac:dyDescent="0.25">
      <c r="A109" s="9">
        <v>46008</v>
      </c>
      <c r="B109" s="10">
        <v>3730</v>
      </c>
      <c r="C109" s="10">
        <v>93</v>
      </c>
      <c r="D109" s="10">
        <f t="shared" si="0"/>
        <v>3823</v>
      </c>
      <c r="E109" s="11">
        <f t="shared" si="1"/>
        <v>2.4326445200104634</v>
      </c>
      <c r="F109" s="12"/>
      <c r="G109" s="10">
        <v>2877</v>
      </c>
      <c r="H109" s="10">
        <v>128</v>
      </c>
      <c r="I109" s="10">
        <f t="shared" si="2"/>
        <v>3005</v>
      </c>
      <c r="J109" s="11">
        <f t="shared" si="3"/>
        <v>4.2595673876871878</v>
      </c>
      <c r="K109" s="12"/>
      <c r="L109" s="10">
        <f t="shared" ref="L109:M109" si="114">B109+G109</f>
        <v>6607</v>
      </c>
      <c r="M109" s="10">
        <f t="shared" si="114"/>
        <v>221</v>
      </c>
      <c r="N109" s="10">
        <f t="shared" si="5"/>
        <v>6828</v>
      </c>
      <c r="O109" s="11">
        <f t="shared" si="6"/>
        <v>3.236672524897481</v>
      </c>
      <c r="P109" s="13">
        <v>1.8</v>
      </c>
      <c r="Q109" s="14">
        <f t="shared" si="7"/>
        <v>-1.436672524897481</v>
      </c>
      <c r="R109" s="14">
        <f ca="1">IFERROR(__xludf.DUMMYFUNCTION("IFERROR(
  AVERAGE(
    FILTER(
      $O$2:O109,
      $A$2:A109 &gt;= A109 - 30,
      $A$2:A109 &lt;= A109,
      $O$2:O109 &gt; 0
    )
  ),
"""")"),1.60013729957528)</f>
        <v>1.6001372995752801</v>
      </c>
      <c r="S109" s="14"/>
    </row>
    <row r="110" spans="1:19" ht="15.75" customHeight="1" x14ac:dyDescent="0.25">
      <c r="A110" s="9">
        <v>46009</v>
      </c>
      <c r="B110" s="10">
        <v>5514</v>
      </c>
      <c r="C110" s="10">
        <v>84</v>
      </c>
      <c r="D110" s="10">
        <f t="shared" si="0"/>
        <v>5598</v>
      </c>
      <c r="E110" s="11">
        <f t="shared" si="1"/>
        <v>1.5005359056806002</v>
      </c>
      <c r="F110" s="12"/>
      <c r="G110" s="10">
        <v>3974</v>
      </c>
      <c r="H110" s="10">
        <v>83</v>
      </c>
      <c r="I110" s="10">
        <f t="shared" si="2"/>
        <v>4057</v>
      </c>
      <c r="J110" s="11">
        <f t="shared" si="3"/>
        <v>2.0458466847424206</v>
      </c>
      <c r="K110" s="12"/>
      <c r="L110" s="10">
        <f t="shared" ref="L110:M110" si="115">B110+G110</f>
        <v>9488</v>
      </c>
      <c r="M110" s="10">
        <f t="shared" si="115"/>
        <v>167</v>
      </c>
      <c r="N110" s="10">
        <f t="shared" si="5"/>
        <v>9655</v>
      </c>
      <c r="O110" s="11">
        <f t="shared" si="6"/>
        <v>1.7296737441740031</v>
      </c>
      <c r="P110" s="13">
        <v>1.8</v>
      </c>
      <c r="Q110" s="14">
        <f t="shared" si="7"/>
        <v>7.0326255825996942E-2</v>
      </c>
      <c r="R110" s="14">
        <f ca="1">IFERROR(__xludf.DUMMYFUNCTION("IFERROR(
  AVERAGE(
    FILTER(
      $O$2:O110,
      $A$2:A110 &gt;= A110 - 30,
      $A$2:A110 &lt;= A110,
      $O$2:O110 &gt; 0
    )
  ),
"""")"),1.59386231549286)</f>
        <v>1.5938623154928599</v>
      </c>
      <c r="S110" s="14"/>
    </row>
    <row r="111" spans="1:19" ht="15.75" customHeight="1" x14ac:dyDescent="0.25">
      <c r="A111" s="9">
        <v>46010</v>
      </c>
      <c r="B111" s="10">
        <v>6210</v>
      </c>
      <c r="C111" s="10">
        <v>87</v>
      </c>
      <c r="D111" s="10">
        <f t="shared" si="0"/>
        <v>6297</v>
      </c>
      <c r="E111" s="11">
        <f t="shared" si="1"/>
        <v>1.3816102906145784</v>
      </c>
      <c r="F111" s="12"/>
      <c r="G111" s="10">
        <v>320</v>
      </c>
      <c r="H111" s="10">
        <v>0</v>
      </c>
      <c r="I111" s="10">
        <f t="shared" si="2"/>
        <v>320</v>
      </c>
      <c r="J111" s="11">
        <f t="shared" si="3"/>
        <v>0</v>
      </c>
      <c r="K111" s="12"/>
      <c r="L111" s="10">
        <f t="shared" ref="L111:M111" si="116">B111+G111</f>
        <v>6530</v>
      </c>
      <c r="M111" s="10">
        <f t="shared" si="116"/>
        <v>87</v>
      </c>
      <c r="N111" s="10">
        <f t="shared" si="5"/>
        <v>6617</v>
      </c>
      <c r="O111" s="11">
        <f t="shared" si="6"/>
        <v>1.3147952244219434</v>
      </c>
      <c r="P111" s="13">
        <v>1.8</v>
      </c>
      <c r="Q111" s="14">
        <f t="shared" si="7"/>
        <v>0.48520477557805664</v>
      </c>
      <c r="R111" s="14">
        <f ca="1">IFERROR(__xludf.DUMMYFUNCTION("IFERROR(
  AVERAGE(
    FILTER(
      $O$2:O111,
      $A$2:A111 &gt;= A111 - 30,
      $A$2:A111 &lt;= A111,
      $O$2:O111 &gt; 0
    )
  ),
"""")"),1.59436446521522)</f>
        <v>1.59436446521522</v>
      </c>
      <c r="S111" s="14"/>
    </row>
    <row r="112" spans="1:19" ht="15.75" customHeight="1" x14ac:dyDescent="0.25">
      <c r="A112" s="9">
        <v>46011</v>
      </c>
      <c r="B112" s="10">
        <v>3870</v>
      </c>
      <c r="C112" s="10">
        <v>202</v>
      </c>
      <c r="D112" s="10">
        <f t="shared" si="0"/>
        <v>4072</v>
      </c>
      <c r="E112" s="11">
        <f t="shared" si="1"/>
        <v>4.9607072691552068</v>
      </c>
      <c r="F112" s="12"/>
      <c r="G112" s="10">
        <v>1060</v>
      </c>
      <c r="H112" s="10">
        <v>325</v>
      </c>
      <c r="I112" s="10">
        <f t="shared" si="2"/>
        <v>1385</v>
      </c>
      <c r="J112" s="11">
        <f t="shared" si="3"/>
        <v>23.465703971119133</v>
      </c>
      <c r="K112" s="12"/>
      <c r="L112" s="10">
        <f t="shared" ref="L112:M112" si="117">B112+G112</f>
        <v>4930</v>
      </c>
      <c r="M112" s="10">
        <f t="shared" si="117"/>
        <v>527</v>
      </c>
      <c r="N112" s="10">
        <f t="shared" si="5"/>
        <v>5457</v>
      </c>
      <c r="O112" s="11">
        <f t="shared" si="6"/>
        <v>9.657320872274143</v>
      </c>
      <c r="P112" s="13">
        <v>1.8</v>
      </c>
      <c r="Q112" s="14">
        <f t="shared" si="7"/>
        <v>-7.8573208722741432</v>
      </c>
      <c r="R112" s="14">
        <f ca="1">IFERROR(__xludf.DUMMYFUNCTION("IFERROR(
  AVERAGE(
    FILTER(
      $O$2:O112,
      $A$2:A112 &gt;= A112 - 30,
      $A$2:A112 &lt;= A112,
      $O$2:O112 &gt; 0
    )
  ),
"""")"),1.78422519664768)</f>
        <v>1.7842251966476801</v>
      </c>
      <c r="S112" s="14"/>
    </row>
    <row r="113" spans="1:19" ht="15.75" customHeight="1" x14ac:dyDescent="0.25">
      <c r="A113" s="9">
        <v>46012</v>
      </c>
      <c r="B113" s="10">
        <v>2508</v>
      </c>
      <c r="C113" s="10">
        <v>56</v>
      </c>
      <c r="D113" s="10">
        <f t="shared" si="0"/>
        <v>2564</v>
      </c>
      <c r="E113" s="11">
        <f t="shared" si="1"/>
        <v>2.1840873634945397</v>
      </c>
      <c r="F113" s="12"/>
      <c r="G113" s="10">
        <v>4056</v>
      </c>
      <c r="H113" s="10">
        <v>10</v>
      </c>
      <c r="I113" s="10">
        <f t="shared" si="2"/>
        <v>4066</v>
      </c>
      <c r="J113" s="11">
        <f t="shared" si="3"/>
        <v>0.2459419576979833</v>
      </c>
      <c r="K113" s="12"/>
      <c r="L113" s="10">
        <f t="shared" ref="L113:M113" si="118">B113+G113</f>
        <v>6564</v>
      </c>
      <c r="M113" s="10">
        <f t="shared" si="118"/>
        <v>66</v>
      </c>
      <c r="N113" s="10">
        <f t="shared" si="5"/>
        <v>6630</v>
      </c>
      <c r="O113" s="11">
        <f t="shared" si="6"/>
        <v>0.99547511312217196</v>
      </c>
      <c r="P113" s="13">
        <v>1.8</v>
      </c>
      <c r="Q113" s="14">
        <f t="shared" si="7"/>
        <v>0.80452488687782808</v>
      </c>
      <c r="R113" s="14">
        <f ca="1">IFERROR(__xludf.DUMMYFUNCTION("IFERROR(
  AVERAGE(
    FILTER(
      $O$2:O113,
      $A$2:A113 &gt;= A113 - 30,
      $A$2:A113 &lt;= A113,
      $O$2:O113 &gt; 0
    )
  ),
"""")"),1.79512095495285)</f>
        <v>1.79512095495285</v>
      </c>
      <c r="S113" s="14"/>
    </row>
    <row r="114" spans="1:19" ht="15.75" customHeight="1" x14ac:dyDescent="0.25">
      <c r="A114" s="9">
        <v>46013</v>
      </c>
      <c r="B114" s="10">
        <v>2424</v>
      </c>
      <c r="C114" s="10">
        <v>134</v>
      </c>
      <c r="D114" s="10">
        <f t="shared" si="0"/>
        <v>2558</v>
      </c>
      <c r="E114" s="11">
        <f t="shared" si="1"/>
        <v>5.2384675527756066</v>
      </c>
      <c r="F114" s="12"/>
      <c r="G114" s="10">
        <v>4890</v>
      </c>
      <c r="H114" s="10">
        <v>255</v>
      </c>
      <c r="I114" s="10">
        <f t="shared" si="2"/>
        <v>5145</v>
      </c>
      <c r="J114" s="11">
        <f t="shared" si="3"/>
        <v>4.9562682215743434</v>
      </c>
      <c r="K114" s="12"/>
      <c r="L114" s="10">
        <f t="shared" ref="L114:M114" si="119">B114+G114</f>
        <v>7314</v>
      </c>
      <c r="M114" s="10">
        <f t="shared" si="119"/>
        <v>389</v>
      </c>
      <c r="N114" s="10">
        <f t="shared" si="5"/>
        <v>7703</v>
      </c>
      <c r="O114" s="11">
        <f t="shared" si="6"/>
        <v>5.0499805270673761</v>
      </c>
      <c r="P114" s="13">
        <v>1.8</v>
      </c>
      <c r="Q114" s="14">
        <f t="shared" si="7"/>
        <v>-3.2499805270673763</v>
      </c>
      <c r="R114" s="14">
        <f ca="1">IFERROR(__xludf.DUMMYFUNCTION("IFERROR(
  AVERAGE(
    FILTER(
      $O$2:O114,
      $A$2:A114 &gt;= A114 - 30,
      $A$2:A114 &lt;= A114,
      $O$2:O114 &gt; 0
    )
  ),
"""")"),1.88503412587301)</f>
        <v>1.8850341258730099</v>
      </c>
      <c r="S114" s="14"/>
    </row>
    <row r="115" spans="1:19" ht="15.75" customHeight="1" x14ac:dyDescent="0.25">
      <c r="A115" s="9">
        <v>46014</v>
      </c>
      <c r="B115" s="10">
        <v>2564</v>
      </c>
      <c r="C115" s="10">
        <v>61</v>
      </c>
      <c r="D115" s="10">
        <f t="shared" si="0"/>
        <v>2625</v>
      </c>
      <c r="E115" s="11">
        <f t="shared" si="1"/>
        <v>2.323809523809524</v>
      </c>
      <c r="F115" s="12"/>
      <c r="G115" s="10">
        <v>5542</v>
      </c>
      <c r="H115" s="10">
        <v>13</v>
      </c>
      <c r="I115" s="10">
        <f t="shared" si="2"/>
        <v>5555</v>
      </c>
      <c r="J115" s="11">
        <f t="shared" si="3"/>
        <v>0.23402340234023403</v>
      </c>
      <c r="K115" s="12"/>
      <c r="L115" s="10">
        <f t="shared" ref="L115:M115" si="120">B115+G115</f>
        <v>8106</v>
      </c>
      <c r="M115" s="10">
        <f t="shared" si="120"/>
        <v>74</v>
      </c>
      <c r="N115" s="10">
        <f t="shared" si="5"/>
        <v>8180</v>
      </c>
      <c r="O115" s="11">
        <f t="shared" si="6"/>
        <v>0.9046454767726162</v>
      </c>
      <c r="P115" s="13">
        <v>1.8</v>
      </c>
      <c r="Q115" s="14">
        <f t="shared" si="7"/>
        <v>0.89535452322738385</v>
      </c>
      <c r="R115" s="14">
        <f ca="1">IFERROR(__xludf.DUMMYFUNCTION("IFERROR(
  AVERAGE(
    FILTER(
      $O$2:O115,
      $A$2:A115 &gt;= A115 - 30,
      $A$2:A115 &lt;= A115,
      $O$2:O115 &gt; 0
    )
  ),
"""")"),1.89725616204582)</f>
        <v>1.8972561620458199</v>
      </c>
      <c r="S115" s="14"/>
    </row>
    <row r="116" spans="1:19" ht="15.75" customHeight="1" x14ac:dyDescent="0.25">
      <c r="A116" s="9">
        <v>46015</v>
      </c>
      <c r="B116" s="10">
        <v>3068</v>
      </c>
      <c r="C116" s="10">
        <v>22</v>
      </c>
      <c r="D116" s="10">
        <f t="shared" si="0"/>
        <v>3090</v>
      </c>
      <c r="E116" s="11">
        <f t="shared" si="1"/>
        <v>0.71197411003236244</v>
      </c>
      <c r="F116" s="12"/>
      <c r="G116" s="10">
        <f>3308+1833</f>
        <v>5141</v>
      </c>
      <c r="H116" s="10">
        <v>68</v>
      </c>
      <c r="I116" s="10">
        <f t="shared" si="2"/>
        <v>5209</v>
      </c>
      <c r="J116" s="11">
        <f t="shared" si="3"/>
        <v>1.3054329045882127</v>
      </c>
      <c r="K116" s="12"/>
      <c r="L116" s="10">
        <f t="shared" ref="L116:M116" si="121">B116+G116</f>
        <v>8209</v>
      </c>
      <c r="M116" s="10">
        <f t="shared" si="121"/>
        <v>90</v>
      </c>
      <c r="N116" s="10">
        <f t="shared" si="5"/>
        <v>8299</v>
      </c>
      <c r="O116" s="11">
        <f t="shared" si="6"/>
        <v>1.0844680081937583</v>
      </c>
      <c r="P116" s="13">
        <v>1.8</v>
      </c>
      <c r="Q116" s="14">
        <f t="shared" si="7"/>
        <v>0.71553199180624172</v>
      </c>
      <c r="R116" s="14">
        <f ca="1">IFERROR(__xludf.DUMMYFUNCTION("IFERROR(
  AVERAGE(
    FILTER(
      $O$2:O116,
      $A$2:A116 &gt;= A116 - 30,
      $A$2:A116 &lt;= A116,
      $O$2:O116 &gt; 0
    )
  ),
"""")"),1.89960671301742)</f>
        <v>1.8996067130174199</v>
      </c>
      <c r="S116" s="14"/>
    </row>
    <row r="117" spans="1:19" ht="15.75" customHeight="1" x14ac:dyDescent="0.25">
      <c r="A117" s="9">
        <v>46016</v>
      </c>
      <c r="B117" s="10">
        <v>3152</v>
      </c>
      <c r="C117" s="10">
        <v>34</v>
      </c>
      <c r="D117" s="10">
        <f t="shared" si="0"/>
        <v>3186</v>
      </c>
      <c r="E117" s="11">
        <f t="shared" si="1"/>
        <v>1.0671688637790333</v>
      </c>
      <c r="F117" s="12"/>
      <c r="G117" s="10">
        <v>5858</v>
      </c>
      <c r="H117" s="10">
        <v>153</v>
      </c>
      <c r="I117" s="10">
        <f t="shared" si="2"/>
        <v>6011</v>
      </c>
      <c r="J117" s="11">
        <f t="shared" si="3"/>
        <v>2.5453335551488938</v>
      </c>
      <c r="K117" s="12"/>
      <c r="L117" s="10">
        <f t="shared" ref="L117:M117" si="122">B117+G117</f>
        <v>9010</v>
      </c>
      <c r="M117" s="10">
        <f t="shared" si="122"/>
        <v>187</v>
      </c>
      <c r="N117" s="10">
        <f t="shared" si="5"/>
        <v>9197</v>
      </c>
      <c r="O117" s="11">
        <f t="shared" si="6"/>
        <v>2.033271719038817</v>
      </c>
      <c r="P117" s="13">
        <v>1.8</v>
      </c>
      <c r="Q117" s="14">
        <f t="shared" si="7"/>
        <v>-0.23327171903881694</v>
      </c>
      <c r="R117" s="14">
        <f ca="1">IFERROR(__xludf.DUMMYFUNCTION("IFERROR(
  AVERAGE(
    FILTER(
      $O$2:O117,
      $A$2:A117 &gt;= A117 - 30,
      $A$2:A117 &lt;= A117,
      $O$2:O117 &gt; 0
    )
  ),
"""")"),1.89652019520288)</f>
        <v>1.8965201952028801</v>
      </c>
      <c r="S117" s="14"/>
    </row>
    <row r="118" spans="1:19" ht="15.75" customHeight="1" x14ac:dyDescent="0.25">
      <c r="A118" s="9">
        <v>46017</v>
      </c>
      <c r="B118" s="10">
        <v>2480</v>
      </c>
      <c r="C118" s="10">
        <v>30</v>
      </c>
      <c r="D118" s="10">
        <f t="shared" si="0"/>
        <v>2510</v>
      </c>
      <c r="E118" s="11">
        <f t="shared" si="1"/>
        <v>1.1952191235059759</v>
      </c>
      <c r="F118" s="12"/>
      <c r="G118" s="10">
        <v>5246</v>
      </c>
      <c r="H118" s="10">
        <v>111</v>
      </c>
      <c r="I118" s="10">
        <f t="shared" si="2"/>
        <v>5357</v>
      </c>
      <c r="J118" s="11">
        <f t="shared" si="3"/>
        <v>2.072055254806795</v>
      </c>
      <c r="K118" s="12"/>
      <c r="L118" s="10">
        <f t="shared" ref="L118:M118" si="123">B118+G118</f>
        <v>7726</v>
      </c>
      <c r="M118" s="10">
        <f t="shared" si="123"/>
        <v>141</v>
      </c>
      <c r="N118" s="10">
        <f t="shared" si="5"/>
        <v>7867</v>
      </c>
      <c r="O118" s="11">
        <f t="shared" si="6"/>
        <v>1.7922969365704842</v>
      </c>
      <c r="P118" s="13">
        <v>1.8</v>
      </c>
      <c r="Q118" s="14">
        <f t="shared" si="7"/>
        <v>7.7030634295158773E-3</v>
      </c>
      <c r="R118" s="14">
        <f ca="1">IFERROR(__xludf.DUMMYFUNCTION("IFERROR(
  AVERAGE(
    FILTER(
      $O$2:O118,
      $A$2:A118 &gt;= A118 - 30,
      $A$2:A118 &lt;= A118,
      $O$2:O118 &gt; 0
    )
  ),
"""")"),1.91403265588737)</f>
        <v>1.9140326558873699</v>
      </c>
      <c r="S118" s="14"/>
    </row>
    <row r="119" spans="1:19" ht="15.75" customHeight="1" x14ac:dyDescent="0.25">
      <c r="A119" s="9">
        <v>46018</v>
      </c>
      <c r="B119" s="10">
        <v>2906</v>
      </c>
      <c r="C119" s="10">
        <v>78</v>
      </c>
      <c r="D119" s="10">
        <f t="shared" si="0"/>
        <v>2984</v>
      </c>
      <c r="E119" s="11">
        <f t="shared" si="1"/>
        <v>2.6139410187667562</v>
      </c>
      <c r="F119" s="12"/>
      <c r="G119" s="10">
        <v>4979</v>
      </c>
      <c r="H119" s="10">
        <v>220</v>
      </c>
      <c r="I119" s="10">
        <f t="shared" si="2"/>
        <v>5199</v>
      </c>
      <c r="J119" s="11">
        <f t="shared" si="3"/>
        <v>4.2315829967301406</v>
      </c>
      <c r="K119" s="12"/>
      <c r="L119" s="10">
        <f t="shared" ref="L119:M119" si="124">B119+G119</f>
        <v>7885</v>
      </c>
      <c r="M119" s="10">
        <f t="shared" si="124"/>
        <v>298</v>
      </c>
      <c r="N119" s="10">
        <f t="shared" si="5"/>
        <v>8183</v>
      </c>
      <c r="O119" s="11">
        <f t="shared" si="6"/>
        <v>3.6416961994378592</v>
      </c>
      <c r="P119" s="13">
        <v>1.8</v>
      </c>
      <c r="Q119" s="14">
        <f t="shared" si="7"/>
        <v>-1.8416961994378591</v>
      </c>
      <c r="R119" s="14">
        <f ca="1">IFERROR(__xludf.DUMMYFUNCTION("IFERROR(
  AVERAGE(
    FILTER(
      $O$2:O119,
      $A$2:A119 &gt;= A119 - 30,
      $A$2:A119 &lt;= A119,
      $O$2:O119 &gt; 0
    )
  ),
"""")"),1.97915545890743)</f>
        <v>1.9791554589074301</v>
      </c>
      <c r="S119" s="14"/>
    </row>
    <row r="120" spans="1:19" ht="15.75" customHeight="1" x14ac:dyDescent="0.25">
      <c r="A120" s="9">
        <v>46019</v>
      </c>
      <c r="B120" s="10">
        <v>765</v>
      </c>
      <c r="C120" s="10">
        <v>25</v>
      </c>
      <c r="D120" s="10">
        <f t="shared" si="0"/>
        <v>790</v>
      </c>
      <c r="E120" s="11">
        <f t="shared" si="1"/>
        <v>3.1645569620253164</v>
      </c>
      <c r="F120" s="12"/>
      <c r="G120" s="10">
        <v>5401</v>
      </c>
      <c r="H120" s="10">
        <v>158</v>
      </c>
      <c r="I120" s="10">
        <f t="shared" si="2"/>
        <v>5559</v>
      </c>
      <c r="J120" s="11">
        <f t="shared" si="3"/>
        <v>2.8422378125562151</v>
      </c>
      <c r="K120" s="12"/>
      <c r="L120" s="10">
        <f t="shared" ref="L120:M120" si="125">B120+G120</f>
        <v>6166</v>
      </c>
      <c r="M120" s="10">
        <f t="shared" si="125"/>
        <v>183</v>
      </c>
      <c r="N120" s="10">
        <f t="shared" si="5"/>
        <v>6349</v>
      </c>
      <c r="O120" s="11">
        <f t="shared" si="6"/>
        <v>2.8823436761694756</v>
      </c>
      <c r="P120" s="13">
        <v>1.8</v>
      </c>
      <c r="Q120" s="14">
        <f t="shared" si="7"/>
        <v>-1.0823436761694756</v>
      </c>
      <c r="R120" s="14">
        <f ca="1">IFERROR(__xludf.DUMMYFUNCTION("IFERROR(
  AVERAGE(
    FILTER(
      $O$2:O120,
      $A$2:A120 &gt;= A120 - 30,
      $A$2:A120 &lt;= A120,
      $O$2:O120 &gt; 0
    )
  ),
"""")"),2.04305624665968)</f>
        <v>2.0430562466596802</v>
      </c>
      <c r="S120" s="14"/>
    </row>
    <row r="121" spans="1:19" ht="15.75" customHeight="1" x14ac:dyDescent="0.25">
      <c r="A121" s="9">
        <v>46020</v>
      </c>
      <c r="B121" s="10">
        <v>0</v>
      </c>
      <c r="C121" s="10">
        <v>0</v>
      </c>
      <c r="D121" s="10">
        <f t="shared" si="0"/>
        <v>0</v>
      </c>
      <c r="E121" s="11" t="e">
        <f t="shared" si="1"/>
        <v>#DIV/0!</v>
      </c>
      <c r="F121" s="12"/>
      <c r="G121" s="10">
        <v>5546</v>
      </c>
      <c r="H121" s="10">
        <v>22</v>
      </c>
      <c r="I121" s="10">
        <f t="shared" si="2"/>
        <v>5568</v>
      </c>
      <c r="J121" s="11">
        <f t="shared" si="3"/>
        <v>0.39511494252873564</v>
      </c>
      <c r="K121" s="12"/>
      <c r="L121" s="10">
        <f t="shared" ref="L121:M121" si="126">B121+G121</f>
        <v>5546</v>
      </c>
      <c r="M121" s="10">
        <f t="shared" si="126"/>
        <v>22</v>
      </c>
      <c r="N121" s="10">
        <f t="shared" si="5"/>
        <v>5568</v>
      </c>
      <c r="O121" s="11">
        <f t="shared" si="6"/>
        <v>0.39511494252873564</v>
      </c>
      <c r="P121" s="13">
        <v>1.8</v>
      </c>
      <c r="Q121" s="14">
        <f t="shared" si="7"/>
        <v>1.4048850574712644</v>
      </c>
      <c r="R121" s="14">
        <f ca="1">IFERROR(__xludf.DUMMYFUNCTION("IFERROR(
  AVERAGE(
    FILTER(
      $O$2:O121,
      $A$2:A121 &gt;= A121 - 30,
      $A$2:A121 &lt;= A121,
      $O$2:O121 &gt; 0
    )
  ),
"""")"),2.02161168108874)</f>
        <v>2.0216116810887401</v>
      </c>
      <c r="S121" s="14"/>
    </row>
    <row r="122" spans="1:19" ht="15.75" customHeight="1" x14ac:dyDescent="0.25">
      <c r="A122" s="9">
        <v>46021</v>
      </c>
      <c r="B122" s="10">
        <v>1782</v>
      </c>
      <c r="C122" s="10">
        <v>150</v>
      </c>
      <c r="D122" s="10">
        <f t="shared" si="0"/>
        <v>1932</v>
      </c>
      <c r="E122" s="11">
        <f t="shared" si="1"/>
        <v>7.7639751552795033</v>
      </c>
      <c r="F122" s="12"/>
      <c r="G122" s="10">
        <v>5773</v>
      </c>
      <c r="H122" s="10">
        <v>85</v>
      </c>
      <c r="I122" s="10">
        <f t="shared" si="2"/>
        <v>5858</v>
      </c>
      <c r="J122" s="11">
        <f t="shared" si="3"/>
        <v>1.4510071696824856</v>
      </c>
      <c r="K122" s="12"/>
      <c r="L122" s="10">
        <f t="shared" ref="L122:M122" si="127">B122+G122</f>
        <v>7555</v>
      </c>
      <c r="M122" s="10">
        <f t="shared" si="127"/>
        <v>235</v>
      </c>
      <c r="N122" s="10">
        <f t="shared" si="5"/>
        <v>7790</v>
      </c>
      <c r="O122" s="11">
        <f t="shared" si="6"/>
        <v>3.0166880616174581</v>
      </c>
      <c r="P122" s="13">
        <v>1.8</v>
      </c>
      <c r="Q122" s="14">
        <f t="shared" si="7"/>
        <v>-1.216688061617458</v>
      </c>
      <c r="R122" s="14">
        <f ca="1">IFERROR(__xludf.DUMMYFUNCTION("IFERROR(
  AVERAGE(
    FILTER(
      $O$2:O122,
      $A$2:A122 &gt;= A122 - 30,
      $A$2:A122 &lt;= A122,
      $O$2:O122 &gt; 0
    )
  ),
"""")"),2.06742682448165)</f>
        <v>2.0674268244816498</v>
      </c>
      <c r="S122" s="14"/>
    </row>
    <row r="123" spans="1:19" ht="15.75" customHeight="1" x14ac:dyDescent="0.25">
      <c r="A123" s="9">
        <v>46022</v>
      </c>
      <c r="B123" s="10">
        <v>2762</v>
      </c>
      <c r="C123" s="10">
        <v>40</v>
      </c>
      <c r="D123" s="10">
        <f t="shared" si="0"/>
        <v>2802</v>
      </c>
      <c r="E123" s="11">
        <f t="shared" si="1"/>
        <v>1.4275517487508922</v>
      </c>
      <c r="F123" s="12"/>
      <c r="G123" s="10">
        <v>5308</v>
      </c>
      <c r="H123" s="10">
        <v>47</v>
      </c>
      <c r="I123" s="10">
        <f t="shared" si="2"/>
        <v>5355</v>
      </c>
      <c r="J123" s="11">
        <f t="shared" si="3"/>
        <v>0.8776844070961719</v>
      </c>
      <c r="K123" s="12"/>
      <c r="L123" s="10">
        <f t="shared" ref="L123:M123" si="128">B123+G123</f>
        <v>8070</v>
      </c>
      <c r="M123" s="10">
        <f t="shared" si="128"/>
        <v>87</v>
      </c>
      <c r="N123" s="10">
        <f t="shared" si="5"/>
        <v>8157</v>
      </c>
      <c r="O123" s="11">
        <f t="shared" si="6"/>
        <v>1.0665685913938949</v>
      </c>
      <c r="P123" s="13">
        <v>1.8</v>
      </c>
      <c r="Q123" s="14">
        <f t="shared" si="7"/>
        <v>0.73343140860610512</v>
      </c>
      <c r="R123" s="14">
        <f ca="1">IFERROR(__xludf.DUMMYFUNCTION("IFERROR(
  AVERAGE(
    FILTER(
      $O$2:O123,
      $A$2:A123 &gt;= A123 - 30,
      $A$2:A123 &lt;= A123,
      $O$2:O123 &gt; 0
    )
  ),
"""")"),2.07140012657774)</f>
        <v>2.07140012657774</v>
      </c>
      <c r="S123" s="14"/>
    </row>
    <row r="124" spans="1:19" ht="15.75" customHeight="1" x14ac:dyDescent="0.25">
      <c r="A124" s="9">
        <v>46023</v>
      </c>
      <c r="B124" s="10">
        <v>3326</v>
      </c>
      <c r="C124" s="10">
        <v>38</v>
      </c>
      <c r="D124" s="10">
        <f t="shared" si="0"/>
        <v>3364</v>
      </c>
      <c r="E124" s="11">
        <f t="shared" si="1"/>
        <v>1.1296076099881094</v>
      </c>
      <c r="F124" s="12"/>
      <c r="G124" s="10">
        <v>5391</v>
      </c>
      <c r="H124" s="10">
        <v>60</v>
      </c>
      <c r="I124" s="10">
        <f t="shared" si="2"/>
        <v>5451</v>
      </c>
      <c r="J124" s="11">
        <f t="shared" si="3"/>
        <v>1.1007154650522841</v>
      </c>
      <c r="K124" s="12"/>
      <c r="L124" s="10">
        <f t="shared" ref="L124:M124" si="129">B124+G124</f>
        <v>8717</v>
      </c>
      <c r="M124" s="10">
        <f t="shared" si="129"/>
        <v>98</v>
      </c>
      <c r="N124" s="10">
        <f t="shared" si="5"/>
        <v>8815</v>
      </c>
      <c r="O124" s="11">
        <f t="shared" si="6"/>
        <v>1.1117413499716391</v>
      </c>
      <c r="P124" s="13">
        <v>1.8</v>
      </c>
      <c r="Q124" s="14">
        <f t="shared" si="7"/>
        <v>0.68825865002836095</v>
      </c>
      <c r="R124" s="14">
        <f ca="1">IFERROR(__xludf.DUMMYFUNCTION("IFERROR(
  AVERAGE(
    FILTER(
      $O$2:O124,
      $A$2:A124 &gt;= A124 - 30,
      $A$2:A124 &lt;= A124,
      $O$2:O124 &gt; 0
    )
  ),
"""")"),2.08028308435659)</f>
        <v>2.0802830843565898</v>
      </c>
      <c r="S124" s="14"/>
    </row>
    <row r="125" spans="1:19" ht="15.75" customHeight="1" x14ac:dyDescent="0.25">
      <c r="A125" s="9">
        <v>46024</v>
      </c>
      <c r="B125" s="10">
        <v>3262</v>
      </c>
      <c r="C125" s="10">
        <v>33</v>
      </c>
      <c r="D125" s="10">
        <f t="shared" si="0"/>
        <v>3295</v>
      </c>
      <c r="E125" s="11">
        <f t="shared" si="1"/>
        <v>1.0015174506828528</v>
      </c>
      <c r="F125" s="12"/>
      <c r="G125" s="10">
        <v>5955</v>
      </c>
      <c r="H125" s="10">
        <v>38</v>
      </c>
      <c r="I125" s="10">
        <f t="shared" si="2"/>
        <v>5993</v>
      </c>
      <c r="J125" s="11">
        <f t="shared" si="3"/>
        <v>0.63407308526614381</v>
      </c>
      <c r="K125" s="12"/>
      <c r="L125" s="10">
        <f t="shared" ref="L125:M125" si="130">B125+G125</f>
        <v>9217</v>
      </c>
      <c r="M125" s="10">
        <f t="shared" si="130"/>
        <v>71</v>
      </c>
      <c r="N125" s="10">
        <f t="shared" si="5"/>
        <v>9288</v>
      </c>
      <c r="O125" s="11">
        <f t="shared" si="6"/>
        <v>0.7644272179155901</v>
      </c>
      <c r="P125" s="13">
        <v>1.8</v>
      </c>
      <c r="Q125" s="14">
        <f t="shared" si="7"/>
        <v>1.0355727820844098</v>
      </c>
      <c r="R125" s="14">
        <f ca="1">IFERROR(__xludf.DUMMYFUNCTION("IFERROR(
  AVERAGE(
    FILTER(
      $O$2:O125,
      $A$2:A125 &gt;= A125 - 30,
      $A$2:A125 &lt;= A125,
      $O$2:O125 &gt; 0
    )
  ),
"""")"),2.07215998712848)</f>
        <v>2.0721599871284799</v>
      </c>
      <c r="S125" s="14"/>
    </row>
    <row r="126" spans="1:19" ht="15.75" customHeight="1" x14ac:dyDescent="0.25">
      <c r="A126" s="9">
        <v>46025</v>
      </c>
      <c r="B126" s="10">
        <v>3304</v>
      </c>
      <c r="C126" s="10">
        <v>17</v>
      </c>
      <c r="D126" s="10">
        <f t="shared" si="0"/>
        <v>3321</v>
      </c>
      <c r="E126" s="11">
        <f t="shared" si="1"/>
        <v>0.51189400782896721</v>
      </c>
      <c r="F126" s="12"/>
      <c r="G126" s="10">
        <v>5783</v>
      </c>
      <c r="H126" s="10">
        <v>60</v>
      </c>
      <c r="I126" s="10">
        <f t="shared" si="2"/>
        <v>5843</v>
      </c>
      <c r="J126" s="11">
        <f t="shared" si="3"/>
        <v>1.0268697586856068</v>
      </c>
      <c r="K126" s="12"/>
      <c r="L126" s="10">
        <f t="shared" ref="L126:M126" si="131">B126+G126</f>
        <v>9087</v>
      </c>
      <c r="M126" s="10">
        <f t="shared" si="131"/>
        <v>77</v>
      </c>
      <c r="N126" s="10">
        <f t="shared" si="5"/>
        <v>9164</v>
      </c>
      <c r="O126" s="11">
        <f t="shared" si="6"/>
        <v>0.84024443474465293</v>
      </c>
      <c r="P126" s="13">
        <v>1.8</v>
      </c>
      <c r="Q126" s="14">
        <f t="shared" si="7"/>
        <v>0.95975556525534711</v>
      </c>
      <c r="R126" s="14">
        <f ca="1">IFERROR(__xludf.DUMMYFUNCTION("IFERROR(
  AVERAGE(
    FILTER(
      $O$2:O126,
      $A$2:A126 &gt;= A126 - 30,
      $A$2:A126 &lt;= A126,
      $O$2:O126 &gt; 0
    )
  ),
"""")"),2.05583627943095)</f>
        <v>2.0558362794309502</v>
      </c>
      <c r="S126" s="14"/>
    </row>
    <row r="127" spans="1:19" ht="15.75" customHeight="1" x14ac:dyDescent="0.25">
      <c r="A127" s="9">
        <v>46026</v>
      </c>
      <c r="B127" s="10">
        <v>3584</v>
      </c>
      <c r="C127" s="10">
        <v>0</v>
      </c>
      <c r="D127" s="10">
        <f t="shared" si="0"/>
        <v>3584</v>
      </c>
      <c r="E127" s="11">
        <f t="shared" si="1"/>
        <v>0</v>
      </c>
      <c r="F127" s="12"/>
      <c r="G127" s="10">
        <v>6155</v>
      </c>
      <c r="H127" s="10">
        <v>70</v>
      </c>
      <c r="I127" s="10">
        <f t="shared" si="2"/>
        <v>6225</v>
      </c>
      <c r="J127" s="11">
        <f t="shared" si="3"/>
        <v>1.1244979919678715</v>
      </c>
      <c r="K127" s="12"/>
      <c r="L127" s="10">
        <f t="shared" ref="L127:M127" si="132">B127+G127</f>
        <v>9739</v>
      </c>
      <c r="M127" s="10">
        <f t="shared" si="132"/>
        <v>70</v>
      </c>
      <c r="N127" s="10">
        <f t="shared" si="5"/>
        <v>9809</v>
      </c>
      <c r="O127" s="11">
        <f t="shared" si="6"/>
        <v>0.71363033948414722</v>
      </c>
      <c r="P127" s="13">
        <v>1.8</v>
      </c>
      <c r="Q127" s="14">
        <f t="shared" si="7"/>
        <v>1.0863696605158528</v>
      </c>
      <c r="R127" s="14">
        <f ca="1">IFERROR(__xludf.DUMMYFUNCTION("IFERROR(
  AVERAGE(
    FILTER(
      $O$2:O127,
      $A$2:A127 &gt;= A127 - 30,
      $A$2:A127 &lt;= A127,
      $O$2:O127 &gt; 0
    )
  ),
"""")"),2.0289627791035)</f>
        <v>2.0289627791034999</v>
      </c>
      <c r="S127" s="14"/>
    </row>
    <row r="128" spans="1:19" ht="15.75" customHeight="1" x14ac:dyDescent="0.25">
      <c r="A128" s="9">
        <v>46027</v>
      </c>
      <c r="B128" s="10">
        <v>3398</v>
      </c>
      <c r="C128" s="10">
        <v>90</v>
      </c>
      <c r="D128" s="10">
        <f t="shared" si="0"/>
        <v>3488</v>
      </c>
      <c r="E128" s="11">
        <f t="shared" si="1"/>
        <v>2.580275229357798</v>
      </c>
      <c r="F128" s="12"/>
      <c r="G128" s="10">
        <v>5053</v>
      </c>
      <c r="H128" s="10">
        <v>171</v>
      </c>
      <c r="I128" s="10">
        <f t="shared" si="2"/>
        <v>5224</v>
      </c>
      <c r="J128" s="11">
        <f t="shared" si="3"/>
        <v>3.2733537519142417</v>
      </c>
      <c r="K128" s="12"/>
      <c r="L128" s="10">
        <f t="shared" ref="L128:M128" si="133">B128+G128</f>
        <v>8451</v>
      </c>
      <c r="M128" s="10">
        <f t="shared" si="133"/>
        <v>261</v>
      </c>
      <c r="N128" s="10">
        <f t="shared" si="5"/>
        <v>8712</v>
      </c>
      <c r="O128" s="11">
        <f t="shared" si="6"/>
        <v>2.995867768595041</v>
      </c>
      <c r="P128" s="13">
        <v>1.8</v>
      </c>
      <c r="Q128" s="14">
        <f t="shared" si="7"/>
        <v>-1.195867768595041</v>
      </c>
      <c r="R128" s="14">
        <f ca="1">IFERROR(__xludf.DUMMYFUNCTION("IFERROR(
  AVERAGE(
    FILTER(
      $O$2:O128,
      $A$2:A128 &gt;= A128 - 30,
      $A$2:A128 &lt;= A128,
      $O$2:O128 &gt; 0
    )
  ),
"""")"),2.06437224861347)</f>
        <v>2.0643722486134699</v>
      </c>
      <c r="S128" s="14"/>
    </row>
    <row r="129" spans="1:19" ht="15.75" customHeight="1" x14ac:dyDescent="0.25">
      <c r="A129" s="9">
        <v>46028</v>
      </c>
      <c r="B129" s="10">
        <v>3540</v>
      </c>
      <c r="C129" s="10">
        <v>26</v>
      </c>
      <c r="D129" s="10">
        <f t="shared" si="0"/>
        <v>3566</v>
      </c>
      <c r="E129" s="11">
        <f t="shared" si="1"/>
        <v>0.72910824453168821</v>
      </c>
      <c r="F129" s="12"/>
      <c r="G129" s="10">
        <v>5966</v>
      </c>
      <c r="H129" s="10">
        <v>65</v>
      </c>
      <c r="I129" s="10">
        <f t="shared" si="2"/>
        <v>6031</v>
      </c>
      <c r="J129" s="11">
        <f t="shared" si="3"/>
        <v>1.0777648814458629</v>
      </c>
      <c r="K129" s="12"/>
      <c r="L129" s="10">
        <f t="shared" ref="L129:M129" si="134">B129+G129</f>
        <v>9506</v>
      </c>
      <c r="M129" s="10">
        <f t="shared" si="134"/>
        <v>91</v>
      </c>
      <c r="N129" s="10">
        <f t="shared" si="5"/>
        <v>9597</v>
      </c>
      <c r="O129" s="11">
        <f t="shared" si="6"/>
        <v>0.94821298322392411</v>
      </c>
      <c r="P129" s="13">
        <v>1.8</v>
      </c>
      <c r="Q129" s="14">
        <f t="shared" si="7"/>
        <v>0.85178701677607593</v>
      </c>
      <c r="R129" s="14">
        <f ca="1">IFERROR(__xludf.DUMMYFUNCTION("IFERROR(
  AVERAGE(
    FILTER(
      $O$2:O129,
      $A$2:A129 &gt;= A129 - 30,
      $A$2:A129 &lt;= A129,
      $O$2:O129 &gt; 0
    )
  ),
"""")"),2.01565891524773)</f>
        <v>2.0156589152477302</v>
      </c>
      <c r="S129" s="14"/>
    </row>
    <row r="130" spans="1:19" ht="15.75" customHeight="1" x14ac:dyDescent="0.25">
      <c r="A130" s="9">
        <v>46029</v>
      </c>
      <c r="B130" s="10">
        <v>3766</v>
      </c>
      <c r="C130" s="10">
        <v>42</v>
      </c>
      <c r="D130" s="10">
        <f t="shared" si="0"/>
        <v>3808</v>
      </c>
      <c r="E130" s="11">
        <f t="shared" si="1"/>
        <v>1.1029411764705883</v>
      </c>
      <c r="F130" s="12"/>
      <c r="G130" s="10">
        <v>5357</v>
      </c>
      <c r="H130" s="10">
        <v>216</v>
      </c>
      <c r="I130" s="10">
        <f t="shared" si="2"/>
        <v>5573</v>
      </c>
      <c r="J130" s="11">
        <f t="shared" si="3"/>
        <v>3.8758298941324245</v>
      </c>
      <c r="K130" s="12"/>
      <c r="L130" s="10">
        <f t="shared" ref="L130:M130" si="135">B130+G130</f>
        <v>9123</v>
      </c>
      <c r="M130" s="10">
        <f t="shared" si="135"/>
        <v>258</v>
      </c>
      <c r="N130" s="10">
        <f t="shared" si="5"/>
        <v>9381</v>
      </c>
      <c r="O130" s="11">
        <f t="shared" si="6"/>
        <v>2.7502398464982409</v>
      </c>
      <c r="P130" s="13">
        <v>1.8</v>
      </c>
      <c r="Q130" s="14">
        <f t="shared" si="7"/>
        <v>-0.95023984649824089</v>
      </c>
      <c r="R130" s="14">
        <f ca="1">IFERROR(__xludf.DUMMYFUNCTION("IFERROR(
  AVERAGE(
    FILTER(
      $O$2:O130,
      $A$2:A130 &gt;= A130 - 30,
      $A$2:A130 &lt;= A130,
      $O$2:O130 &gt; 0
    )
  ),
"""")"),2.07139683877179)</f>
        <v>2.0713968387717898</v>
      </c>
      <c r="S130" s="14"/>
    </row>
    <row r="131" spans="1:19" ht="15.75" customHeight="1" x14ac:dyDescent="0.25">
      <c r="A131" s="9">
        <v>46030</v>
      </c>
      <c r="B131" s="10">
        <v>3097</v>
      </c>
      <c r="C131" s="10">
        <v>59</v>
      </c>
      <c r="D131" s="10">
        <f t="shared" si="0"/>
        <v>3156</v>
      </c>
      <c r="E131" s="11">
        <f t="shared" si="1"/>
        <v>1.8694550063371358</v>
      </c>
      <c r="F131" s="12"/>
      <c r="G131" s="10">
        <v>5810</v>
      </c>
      <c r="H131" s="10">
        <v>116</v>
      </c>
      <c r="I131" s="10">
        <f t="shared" si="2"/>
        <v>5926</v>
      </c>
      <c r="J131" s="11">
        <f t="shared" si="3"/>
        <v>1.9574755315558556</v>
      </c>
      <c r="K131" s="12"/>
      <c r="L131" s="10">
        <f t="shared" ref="L131:M131" si="136">B131+G131</f>
        <v>8907</v>
      </c>
      <c r="M131" s="10">
        <f t="shared" si="136"/>
        <v>175</v>
      </c>
      <c r="N131" s="10">
        <f t="shared" si="5"/>
        <v>9082</v>
      </c>
      <c r="O131" s="11">
        <f t="shared" si="6"/>
        <v>1.9268883505835721</v>
      </c>
      <c r="P131" s="13">
        <v>1.8</v>
      </c>
      <c r="Q131" s="14">
        <f t="shared" si="7"/>
        <v>-0.12688835058357206</v>
      </c>
      <c r="R131" s="14">
        <f ca="1">IFERROR(__xludf.DUMMYFUNCTION("IFERROR(
  AVERAGE(
    FILTER(
      $O$2:O131,
      $A$2:A131 &gt;= A131 - 30,
      $A$2:A131 &lt;= A131,
      $O$2:O131 &gt; 0
    )
  ),
"""")"),2.06832109055581)</f>
        <v>2.06832109055581</v>
      </c>
      <c r="S131" s="14"/>
    </row>
    <row r="132" spans="1:19" ht="15.75" customHeight="1" x14ac:dyDescent="0.25">
      <c r="A132" s="9">
        <v>46031</v>
      </c>
      <c r="B132" s="10">
        <v>3028</v>
      </c>
      <c r="C132" s="10">
        <v>18</v>
      </c>
      <c r="D132" s="10">
        <f t="shared" si="0"/>
        <v>3046</v>
      </c>
      <c r="E132" s="11">
        <f t="shared" si="1"/>
        <v>0.59093893630991468</v>
      </c>
      <c r="F132" s="12"/>
      <c r="G132" s="10">
        <v>5927</v>
      </c>
      <c r="H132" s="10">
        <v>96</v>
      </c>
      <c r="I132" s="10">
        <f t="shared" si="2"/>
        <v>6023</v>
      </c>
      <c r="J132" s="11">
        <f t="shared" si="3"/>
        <v>1.5938900879960154</v>
      </c>
      <c r="K132" s="12"/>
      <c r="L132" s="10">
        <f t="shared" ref="L132:M132" si="137">B132+G132</f>
        <v>8955</v>
      </c>
      <c r="M132" s="10">
        <f t="shared" si="137"/>
        <v>114</v>
      </c>
      <c r="N132" s="10">
        <f t="shared" si="5"/>
        <v>9069</v>
      </c>
      <c r="O132" s="11">
        <f t="shared" si="6"/>
        <v>1.2570294409526961</v>
      </c>
      <c r="P132" s="13">
        <v>1.8</v>
      </c>
      <c r="Q132" s="14">
        <f t="shared" si="7"/>
        <v>0.54297055904730396</v>
      </c>
      <c r="R132" s="14">
        <f ca="1">IFERROR(__xludf.DUMMYFUNCTION("IFERROR(
  AVERAGE(
    FILTER(
      $O$2:O132,
      $A$2:A132 &gt;= A132 - 30,
      $A$2:A132 &lt;= A132,
      $O$2:O132 &gt; 0
    )
  ),
"""")"),2.00648742590661)</f>
        <v>2.0064874259066099</v>
      </c>
      <c r="S132" s="14"/>
    </row>
    <row r="133" spans="1:19" ht="15.75" customHeight="1" x14ac:dyDescent="0.25">
      <c r="A133" s="9">
        <v>46032</v>
      </c>
      <c r="B133" s="10">
        <v>3802</v>
      </c>
      <c r="C133" s="10">
        <v>0</v>
      </c>
      <c r="D133" s="10">
        <f t="shared" si="0"/>
        <v>3802</v>
      </c>
      <c r="E133" s="11">
        <f t="shared" si="1"/>
        <v>0</v>
      </c>
      <c r="F133" s="12"/>
      <c r="G133" s="10">
        <v>5893</v>
      </c>
      <c r="H133" s="10">
        <v>82</v>
      </c>
      <c r="I133" s="10">
        <f t="shared" si="2"/>
        <v>5975</v>
      </c>
      <c r="J133" s="11">
        <f t="shared" si="3"/>
        <v>1.3723849372384938</v>
      </c>
      <c r="K133" s="12"/>
      <c r="L133" s="10">
        <f t="shared" ref="L133:M133" si="138">B133+G133</f>
        <v>9695</v>
      </c>
      <c r="M133" s="10">
        <f t="shared" si="138"/>
        <v>82</v>
      </c>
      <c r="N133" s="10">
        <f t="shared" si="5"/>
        <v>9777</v>
      </c>
      <c r="O133" s="11">
        <f t="shared" si="6"/>
        <v>0.83870307865398386</v>
      </c>
      <c r="P133" s="13">
        <v>1.8</v>
      </c>
      <c r="Q133" s="14">
        <f t="shared" si="7"/>
        <v>0.96129692134601619</v>
      </c>
      <c r="R133" s="14">
        <f ca="1">IFERROR(__xludf.DUMMYFUNCTION("IFERROR(
  AVERAGE(
    FILTER(
      $O$2:O133,
      $A$2:A133 &gt;= A133 - 30,
      $A$2:A133 &lt;= A133,
      $O$2:O133 &gt; 0
    )
  ),
"""")"),1.99923775069023)</f>
        <v>1.9992377506902299</v>
      </c>
      <c r="S133" s="14"/>
    </row>
    <row r="134" spans="1:19" ht="15.75" customHeight="1" x14ac:dyDescent="0.25">
      <c r="A134" s="9">
        <v>46033</v>
      </c>
      <c r="B134" s="10">
        <v>3228</v>
      </c>
      <c r="C134" s="10">
        <v>0</v>
      </c>
      <c r="D134" s="10">
        <f t="shared" si="0"/>
        <v>3228</v>
      </c>
      <c r="E134" s="11">
        <f t="shared" si="1"/>
        <v>0</v>
      </c>
      <c r="F134" s="12"/>
      <c r="G134" s="10">
        <v>6003</v>
      </c>
      <c r="H134" s="10">
        <v>22</v>
      </c>
      <c r="I134" s="10">
        <f t="shared" si="2"/>
        <v>6025</v>
      </c>
      <c r="J134" s="11">
        <f t="shared" si="3"/>
        <v>0.36514522821576761</v>
      </c>
      <c r="K134" s="12"/>
      <c r="L134" s="10">
        <f t="shared" ref="L134:M134" si="139">B134+G134</f>
        <v>9231</v>
      </c>
      <c r="M134" s="10">
        <f t="shared" si="139"/>
        <v>22</v>
      </c>
      <c r="N134" s="10">
        <f t="shared" si="5"/>
        <v>9253</v>
      </c>
      <c r="O134" s="11">
        <f t="shared" si="6"/>
        <v>0.23776072625094563</v>
      </c>
      <c r="P134" s="13">
        <v>1.8</v>
      </c>
      <c r="Q134" s="14">
        <f t="shared" si="7"/>
        <v>1.5622392737490545</v>
      </c>
      <c r="R134" s="14">
        <f ca="1">IFERROR(__xludf.DUMMYFUNCTION("IFERROR(
  AVERAGE(
    FILTER(
      $O$2:O134,
      $A$2:A134 &gt;= A134 - 30,
      $A$2:A134 &lt;= A134,
      $O$2:O134 &gt; 0
    )
  ),
"""")"),1.97181733514964)</f>
        <v>1.97181733514964</v>
      </c>
      <c r="S134" s="14"/>
    </row>
    <row r="135" spans="1:19" ht="15.75" customHeight="1" x14ac:dyDescent="0.25">
      <c r="A135" s="9">
        <v>46034</v>
      </c>
      <c r="B135" s="10">
        <v>3624</v>
      </c>
      <c r="C135" s="10">
        <v>45</v>
      </c>
      <c r="D135" s="10">
        <f t="shared" si="0"/>
        <v>3669</v>
      </c>
      <c r="E135" s="11">
        <f t="shared" si="1"/>
        <v>1.2264922322158627</v>
      </c>
      <c r="F135" s="12"/>
      <c r="G135" s="10">
        <v>5917</v>
      </c>
      <c r="H135" s="10">
        <v>59</v>
      </c>
      <c r="I135" s="10">
        <f t="shared" si="2"/>
        <v>5976</v>
      </c>
      <c r="J135" s="11">
        <f t="shared" si="3"/>
        <v>0.98728246318607771</v>
      </c>
      <c r="K135" s="12"/>
      <c r="L135" s="10">
        <f t="shared" ref="L135:M135" si="140">B135+G135</f>
        <v>9541</v>
      </c>
      <c r="M135" s="10">
        <f t="shared" si="140"/>
        <v>104</v>
      </c>
      <c r="N135" s="10">
        <f t="shared" si="5"/>
        <v>9645</v>
      </c>
      <c r="O135" s="11">
        <f t="shared" si="6"/>
        <v>1.0782789009849663</v>
      </c>
      <c r="P135" s="13">
        <v>1.8</v>
      </c>
      <c r="Q135" s="14">
        <f t="shared" si="7"/>
        <v>0.72172109901503378</v>
      </c>
      <c r="R135" s="14">
        <f ca="1">IFERROR(__xludf.DUMMYFUNCTION("IFERROR(
  AVERAGE(
    FILTER(
      $O$2:O135,
      $A$2:A135 &gt;= A135 - 30,
      $A$2:A135 &lt;= A135,
      $O$2:O135 &gt; 0
    )
  ),
"""")"),1.93163846362067)</f>
        <v>1.93163846362067</v>
      </c>
      <c r="S135" s="14"/>
    </row>
    <row r="136" spans="1:19" ht="15.75" customHeight="1" x14ac:dyDescent="0.25">
      <c r="A136" s="9">
        <v>46035</v>
      </c>
      <c r="B136" s="10">
        <v>3458</v>
      </c>
      <c r="C136" s="10">
        <v>0</v>
      </c>
      <c r="D136" s="10">
        <f t="shared" si="0"/>
        <v>3458</v>
      </c>
      <c r="E136" s="11">
        <f t="shared" si="1"/>
        <v>0</v>
      </c>
      <c r="F136" s="12"/>
      <c r="G136" s="10">
        <v>6183</v>
      </c>
      <c r="H136" s="10">
        <v>100</v>
      </c>
      <c r="I136" s="10">
        <f t="shared" si="2"/>
        <v>6283</v>
      </c>
      <c r="J136" s="11">
        <f t="shared" si="3"/>
        <v>1.5915963711602739</v>
      </c>
      <c r="K136" s="12"/>
      <c r="L136" s="10">
        <f t="shared" ref="L136:M136" si="141">B136+G136</f>
        <v>9641</v>
      </c>
      <c r="M136" s="10">
        <f t="shared" si="141"/>
        <v>100</v>
      </c>
      <c r="N136" s="10">
        <f t="shared" si="5"/>
        <v>9741</v>
      </c>
      <c r="O136" s="11">
        <f t="shared" si="6"/>
        <v>1.0265886459295761</v>
      </c>
      <c r="P136" s="13">
        <v>1.8</v>
      </c>
      <c r="Q136" s="14">
        <f t="shared" si="7"/>
        <v>0.77341135407042394</v>
      </c>
      <c r="R136" s="14">
        <f ca="1">IFERROR(__xludf.DUMMYFUNCTION("IFERROR(
  AVERAGE(
    FILTER(
      $O$2:O136,
      $A$2:A136 &gt;= A136 - 30,
      $A$2:A136 &lt;= A136,
      $O$2:O136 &gt; 0
    )
  ),
"""")"),1.90457382195292)</f>
        <v>1.90457382195292</v>
      </c>
      <c r="S136" s="14"/>
    </row>
    <row r="137" spans="1:19" ht="15.75" customHeight="1" x14ac:dyDescent="0.25">
      <c r="A137" s="9">
        <v>46036</v>
      </c>
      <c r="B137" s="10">
        <v>2820</v>
      </c>
      <c r="C137" s="10">
        <v>62</v>
      </c>
      <c r="D137" s="10">
        <f t="shared" si="0"/>
        <v>2882</v>
      </c>
      <c r="E137" s="11">
        <f t="shared" si="1"/>
        <v>2.1512838306731434</v>
      </c>
      <c r="F137" s="12"/>
      <c r="G137" s="10">
        <v>3316</v>
      </c>
      <c r="H137" s="10">
        <v>35</v>
      </c>
      <c r="I137" s="10">
        <f t="shared" si="2"/>
        <v>3351</v>
      </c>
      <c r="J137" s="11">
        <f t="shared" si="3"/>
        <v>1.0444643390032826</v>
      </c>
      <c r="K137" s="12"/>
      <c r="L137" s="10">
        <f t="shared" ref="L137:M137" si="142">B137+G137</f>
        <v>6136</v>
      </c>
      <c r="M137" s="10">
        <f t="shared" si="142"/>
        <v>97</v>
      </c>
      <c r="N137" s="10">
        <f t="shared" si="5"/>
        <v>6233</v>
      </c>
      <c r="O137" s="11">
        <f t="shared" si="6"/>
        <v>1.5562329536338841</v>
      </c>
      <c r="P137" s="13">
        <v>1.8</v>
      </c>
      <c r="Q137" s="14">
        <f t="shared" si="7"/>
        <v>0.2437670463661159</v>
      </c>
      <c r="R137" s="14">
        <f ca="1">IFERROR(__xludf.DUMMYFUNCTION("IFERROR(
  AVERAGE(
    FILTER(
      $O$2:O137,
      $A$2:A137 &gt;= A137 - 30,
      $A$2:A137 &lt;= A137,
      $O$2:O137 &gt; 0
    )
  ),
"""")"),1.92120452454977)</f>
        <v>1.92120452454977</v>
      </c>
      <c r="S137" s="14"/>
    </row>
    <row r="138" spans="1:19" ht="15.75" customHeight="1" x14ac:dyDescent="0.25">
      <c r="A138" s="9">
        <v>46037</v>
      </c>
      <c r="B138" s="10">
        <v>3316</v>
      </c>
      <c r="C138" s="10">
        <v>35</v>
      </c>
      <c r="D138" s="10">
        <f t="shared" si="0"/>
        <v>3351</v>
      </c>
      <c r="E138" s="11">
        <f t="shared" si="1"/>
        <v>1.0444643390032826</v>
      </c>
      <c r="F138" s="12"/>
      <c r="G138" s="10">
        <v>5962</v>
      </c>
      <c r="H138" s="10">
        <v>18</v>
      </c>
      <c r="I138" s="10">
        <f t="shared" si="2"/>
        <v>5980</v>
      </c>
      <c r="J138" s="11">
        <f t="shared" si="3"/>
        <v>0.30100334448160537</v>
      </c>
      <c r="K138" s="12"/>
      <c r="L138" s="10">
        <f t="shared" ref="L138:M138" si="143">B138+G138</f>
        <v>9278</v>
      </c>
      <c r="M138" s="10">
        <f t="shared" si="143"/>
        <v>53</v>
      </c>
      <c r="N138" s="10">
        <f t="shared" si="5"/>
        <v>9331</v>
      </c>
      <c r="O138" s="11">
        <f t="shared" si="6"/>
        <v>0.56799914264280349</v>
      </c>
      <c r="P138" s="13">
        <v>1.8</v>
      </c>
      <c r="Q138" s="14">
        <f t="shared" si="7"/>
        <v>1.2320008573571966</v>
      </c>
      <c r="R138" s="14">
        <f ca="1">IFERROR(__xludf.DUMMYFUNCTION("IFERROR(
  AVERAGE(
    FILTER(
      $O$2:O138,
      $A$2:A138 &gt;= A138 - 30,
      $A$2:A138 &lt;= A138,
      $O$2:O138 &gt; 0
    )
  ),
"""")"),1.90664517886981)</f>
        <v>1.90664517886981</v>
      </c>
      <c r="S138" s="14"/>
    </row>
    <row r="139" spans="1:19" ht="15.75" customHeight="1" x14ac:dyDescent="0.25">
      <c r="A139" s="9">
        <v>46038</v>
      </c>
      <c r="B139" s="10">
        <v>3756</v>
      </c>
      <c r="C139" s="10">
        <v>56</v>
      </c>
      <c r="D139" s="10">
        <f t="shared" si="0"/>
        <v>3812</v>
      </c>
      <c r="E139" s="11">
        <f t="shared" si="1"/>
        <v>1.4690451206715636</v>
      </c>
      <c r="F139" s="12"/>
      <c r="G139" s="10">
        <v>5883</v>
      </c>
      <c r="H139" s="10">
        <v>58</v>
      </c>
      <c r="I139" s="10">
        <f t="shared" si="2"/>
        <v>5941</v>
      </c>
      <c r="J139" s="11">
        <f t="shared" si="3"/>
        <v>0.976266621780845</v>
      </c>
      <c r="K139" s="12"/>
      <c r="L139" s="10">
        <f t="shared" ref="L139:M139" si="144">B139+G139</f>
        <v>9639</v>
      </c>
      <c r="M139" s="10">
        <f t="shared" si="144"/>
        <v>114</v>
      </c>
      <c r="N139" s="10">
        <f t="shared" si="5"/>
        <v>9753</v>
      </c>
      <c r="O139" s="11">
        <f t="shared" si="6"/>
        <v>1.168871116579514</v>
      </c>
      <c r="P139" s="13">
        <v>1.8</v>
      </c>
      <c r="Q139" s="14">
        <f t="shared" si="7"/>
        <v>0.63112888342048601</v>
      </c>
      <c r="R139" s="14">
        <f ca="1">IFERROR(__xludf.DUMMYFUNCTION("IFERROR(
  AVERAGE(
    FILTER(
      $O$2:O139,
      $A$2:A139 &gt;= A139 - 30,
      $A$2:A139 &lt;= A139,
      $O$2:O139 &gt; 0
    )
  ),
"""")"),1.88979767465565)</f>
        <v>1.88979767465565</v>
      </c>
      <c r="S139" s="14"/>
    </row>
    <row r="140" spans="1:19" ht="15.75" customHeight="1" x14ac:dyDescent="0.25">
      <c r="A140" s="9">
        <v>46039</v>
      </c>
      <c r="B140" s="10">
        <v>2928</v>
      </c>
      <c r="C140" s="10">
        <v>71</v>
      </c>
      <c r="D140" s="10">
        <f t="shared" si="0"/>
        <v>2999</v>
      </c>
      <c r="E140" s="11">
        <f t="shared" si="1"/>
        <v>2.367455818606202</v>
      </c>
      <c r="F140" s="12"/>
      <c r="G140" s="10">
        <v>5737</v>
      </c>
      <c r="H140" s="10">
        <v>19</v>
      </c>
      <c r="I140" s="10">
        <f t="shared" si="2"/>
        <v>5756</v>
      </c>
      <c r="J140" s="11">
        <f t="shared" si="3"/>
        <v>0.33009034051424602</v>
      </c>
      <c r="K140" s="12"/>
      <c r="L140" s="10">
        <f t="shared" ref="L140:M140" si="145">B140+G140</f>
        <v>8665</v>
      </c>
      <c r="M140" s="10">
        <f t="shared" si="145"/>
        <v>90</v>
      </c>
      <c r="N140" s="10">
        <f t="shared" si="5"/>
        <v>8755</v>
      </c>
      <c r="O140" s="11">
        <f t="shared" si="6"/>
        <v>1.0279840091376358</v>
      </c>
      <c r="P140" s="13">
        <v>1.8</v>
      </c>
      <c r="Q140" s="14">
        <f t="shared" si="7"/>
        <v>0.77201599086236428</v>
      </c>
      <c r="R140" s="14">
        <f ca="1">IFERROR(__xludf.DUMMYFUNCTION("IFERROR(
  AVERAGE(
    FILTER(
      $O$2:O140,
      $A$2:A140 &gt;= A140 - 30,
      $A$2:A140 &lt;= A140,
      $O$2:O140 &gt; 0
    )
  ),
"""")"),1.81854965801824)</f>
        <v>1.8185496580182401</v>
      </c>
      <c r="S140" s="14"/>
    </row>
    <row r="141" spans="1:19" ht="15.75" customHeight="1" x14ac:dyDescent="0.25">
      <c r="A141" s="9">
        <v>46040</v>
      </c>
      <c r="B141" s="10">
        <v>3792</v>
      </c>
      <c r="C141" s="10">
        <v>0</v>
      </c>
      <c r="D141" s="10">
        <f t="shared" si="0"/>
        <v>3792</v>
      </c>
      <c r="E141" s="11">
        <f t="shared" si="1"/>
        <v>0</v>
      </c>
      <c r="F141" s="12"/>
      <c r="G141" s="10">
        <v>6035</v>
      </c>
      <c r="H141" s="10">
        <v>40</v>
      </c>
      <c r="I141" s="10">
        <f t="shared" si="2"/>
        <v>6075</v>
      </c>
      <c r="J141" s="11">
        <f t="shared" si="3"/>
        <v>0.65843621399176955</v>
      </c>
      <c r="K141" s="12"/>
      <c r="L141" s="10">
        <f t="shared" ref="L141:M141" si="146">B141+G141</f>
        <v>9827</v>
      </c>
      <c r="M141" s="10">
        <f t="shared" si="146"/>
        <v>40</v>
      </c>
      <c r="N141" s="10">
        <f t="shared" si="5"/>
        <v>9867</v>
      </c>
      <c r="O141" s="11">
        <f t="shared" si="6"/>
        <v>0.40539170973953581</v>
      </c>
      <c r="P141" s="13">
        <v>1.8</v>
      </c>
      <c r="Q141" s="14">
        <f t="shared" si="7"/>
        <v>1.3946082902604642</v>
      </c>
      <c r="R141" s="14">
        <f ca="1">IFERROR(__xludf.DUMMYFUNCTION("IFERROR(
  AVERAGE(
    FILTER(
      $O$2:O141,
      $A$2:A141 &gt;= A141 - 30,
      $A$2:A141 &lt;= A141,
      $O$2:O141 &gt; 0
    )
  ),
"""")"),1.7758308827139)</f>
        <v>1.7758308827139</v>
      </c>
      <c r="S141" s="14"/>
    </row>
    <row r="142" spans="1:19" ht="15.75" customHeight="1" x14ac:dyDescent="0.25">
      <c r="A142" s="9">
        <v>46041</v>
      </c>
      <c r="B142" s="10">
        <v>3784</v>
      </c>
      <c r="C142" s="10">
        <v>24</v>
      </c>
      <c r="D142" s="10">
        <f t="shared" si="0"/>
        <v>3808</v>
      </c>
      <c r="E142" s="11">
        <f t="shared" si="1"/>
        <v>0.63025210084033612</v>
      </c>
      <c r="F142" s="12"/>
      <c r="G142" s="10">
        <v>6476</v>
      </c>
      <c r="H142" s="10">
        <v>73</v>
      </c>
      <c r="I142" s="10">
        <f t="shared" si="2"/>
        <v>6549</v>
      </c>
      <c r="J142" s="11">
        <f t="shared" si="3"/>
        <v>1.1146739960299283</v>
      </c>
      <c r="K142" s="12"/>
      <c r="L142" s="10">
        <f t="shared" ref="L142:M142" si="147">B142+G142</f>
        <v>10260</v>
      </c>
      <c r="M142" s="10">
        <f t="shared" si="147"/>
        <v>97</v>
      </c>
      <c r="N142" s="10">
        <f t="shared" si="5"/>
        <v>10357</v>
      </c>
      <c r="O142" s="11">
        <f t="shared" si="6"/>
        <v>0.93656464227092795</v>
      </c>
      <c r="P142" s="13">
        <v>1.8</v>
      </c>
      <c r="Q142" s="14">
        <f t="shared" si="7"/>
        <v>0.86343535772907209</v>
      </c>
      <c r="R142" s="14">
        <f ca="1">IFERROR(__xludf.DUMMYFUNCTION("IFERROR(
  AVERAGE(
    FILTER(
      $O$2:O142,
      $A$2:A142 &gt;= A142 - 30,
      $A$2:A142 &lt;= A142,
      $O$2:O142 &gt; 0
    )
  ),
"""")"),1.7636298961929)</f>
        <v>1.7636298961929</v>
      </c>
      <c r="S142" s="14"/>
    </row>
    <row r="143" spans="1:19" ht="15.75" customHeight="1" x14ac:dyDescent="0.25">
      <c r="A143" s="9">
        <v>46042</v>
      </c>
      <c r="B143" s="10">
        <v>3196</v>
      </c>
      <c r="C143" s="10">
        <v>0</v>
      </c>
      <c r="D143" s="10">
        <f t="shared" si="0"/>
        <v>3196</v>
      </c>
      <c r="E143" s="11">
        <f t="shared" si="1"/>
        <v>0</v>
      </c>
      <c r="F143" s="12"/>
      <c r="G143" s="10">
        <v>6028</v>
      </c>
      <c r="H143" s="10">
        <v>95</v>
      </c>
      <c r="I143" s="10">
        <f t="shared" si="2"/>
        <v>6123</v>
      </c>
      <c r="J143" s="11">
        <f t="shared" si="3"/>
        <v>1.5515270292340357</v>
      </c>
      <c r="K143" s="12"/>
      <c r="L143" s="10">
        <f t="shared" ref="L143:M143" si="148">B143+G143</f>
        <v>9224</v>
      </c>
      <c r="M143" s="10">
        <f t="shared" si="148"/>
        <v>95</v>
      </c>
      <c r="N143" s="10">
        <f t="shared" si="5"/>
        <v>9319</v>
      </c>
      <c r="O143" s="11">
        <f t="shared" si="6"/>
        <v>1.019422684837429</v>
      </c>
      <c r="P143" s="13">
        <v>1.8</v>
      </c>
      <c r="Q143" s="14">
        <f t="shared" si="7"/>
        <v>0.78057731516257101</v>
      </c>
      <c r="R143" s="14">
        <f ca="1">IFERROR(__xludf.DUMMYFUNCTION("IFERROR(
  AVERAGE(
    FILTER(
      $O$2:O143,
      $A$2:A143 &gt;= A143 - 30,
      $A$2:A143 &lt;= A143,
      $O$2:O143 &gt; 0
    )
  ),
"""")"),1.48498801917881)</f>
        <v>1.4849880191788101</v>
      </c>
      <c r="S143" s="14"/>
    </row>
    <row r="144" spans="1:19" ht="15.75" customHeight="1" x14ac:dyDescent="0.25">
      <c r="A144" s="9">
        <v>46043</v>
      </c>
      <c r="B144" s="10">
        <v>3008</v>
      </c>
      <c r="C144" s="10">
        <v>31</v>
      </c>
      <c r="D144" s="10">
        <f t="shared" si="0"/>
        <v>3039</v>
      </c>
      <c r="E144" s="11">
        <f t="shared" si="1"/>
        <v>1.0200723922342876</v>
      </c>
      <c r="F144" s="12"/>
      <c r="G144" s="10">
        <v>5726</v>
      </c>
      <c r="H144" s="10">
        <v>396</v>
      </c>
      <c r="I144" s="10">
        <f t="shared" si="2"/>
        <v>6122</v>
      </c>
      <c r="J144" s="11">
        <f t="shared" si="3"/>
        <v>6.468474354786018</v>
      </c>
      <c r="K144" s="12"/>
      <c r="L144" s="10">
        <f t="shared" ref="L144:M144" si="149">B144+G144</f>
        <v>8734</v>
      </c>
      <c r="M144" s="10">
        <f t="shared" si="149"/>
        <v>427</v>
      </c>
      <c r="N144" s="10">
        <f t="shared" si="5"/>
        <v>9161</v>
      </c>
      <c r="O144" s="11">
        <f t="shared" si="6"/>
        <v>4.6610632027071279</v>
      </c>
      <c r="P144" s="13">
        <v>1.8</v>
      </c>
      <c r="Q144" s="14">
        <f t="shared" si="7"/>
        <v>-2.8610632027071281</v>
      </c>
      <c r="R144" s="14">
        <f ca="1">IFERROR(__xludf.DUMMYFUNCTION("IFERROR(
  AVERAGE(
    FILTER(
      $O$2:O144,
      $A$2:A144 &gt;= A144 - 30,
      $A$2:A144 &lt;= A144,
      $O$2:O144 &gt; 0
    )
  ),
"""")"),1.6032327962622)</f>
        <v>1.6032327962621999</v>
      </c>
      <c r="S144" s="14"/>
    </row>
    <row r="145" spans="1:19" ht="15.75" customHeight="1" x14ac:dyDescent="0.25">
      <c r="A145" s="9">
        <v>46044</v>
      </c>
      <c r="B145" s="10">
        <v>1802</v>
      </c>
      <c r="C145" s="10">
        <v>64</v>
      </c>
      <c r="D145" s="10">
        <f t="shared" si="0"/>
        <v>1866</v>
      </c>
      <c r="E145" s="11">
        <f t="shared" si="1"/>
        <v>3.429796355841372</v>
      </c>
      <c r="F145" s="12"/>
      <c r="G145" s="10">
        <v>5697</v>
      </c>
      <c r="H145" s="10">
        <v>47</v>
      </c>
      <c r="I145" s="10">
        <f t="shared" si="2"/>
        <v>5744</v>
      </c>
      <c r="J145" s="11">
        <f t="shared" si="3"/>
        <v>0.81824512534818949</v>
      </c>
      <c r="K145" s="12"/>
      <c r="L145" s="10">
        <f t="shared" ref="L145:M145" si="150">B145+G145</f>
        <v>7499</v>
      </c>
      <c r="M145" s="10">
        <f t="shared" si="150"/>
        <v>111</v>
      </c>
      <c r="N145" s="10">
        <f t="shared" si="5"/>
        <v>7610</v>
      </c>
      <c r="O145" s="11">
        <f t="shared" si="6"/>
        <v>1.4586070959264128</v>
      </c>
      <c r="P145" s="13">
        <v>1.8</v>
      </c>
      <c r="Q145" s="14">
        <f t="shared" si="7"/>
        <v>0.34139290407358724</v>
      </c>
      <c r="R145" s="14">
        <f ca="1">IFERROR(__xludf.DUMMYFUNCTION("IFERROR(
  AVERAGE(
    FILTER(
      $O$2:O145,
      $A$2:A145 &gt;= A145 - 30,
      $A$2:A145 &lt;= A145,
      $O$2:O145 &gt; 0
    )
  ),
"""")"),1.48738204041894)</f>
        <v>1.48738204041894</v>
      </c>
      <c r="S145" s="14"/>
    </row>
    <row r="146" spans="1:19" ht="15.75" customHeight="1" x14ac:dyDescent="0.25">
      <c r="A146" s="9">
        <v>46045</v>
      </c>
      <c r="B146" s="10">
        <v>2682</v>
      </c>
      <c r="C146" s="10">
        <v>96</v>
      </c>
      <c r="D146" s="10">
        <f t="shared" si="0"/>
        <v>2778</v>
      </c>
      <c r="E146" s="11">
        <f t="shared" si="1"/>
        <v>3.4557235421166306</v>
      </c>
      <c r="F146" s="12"/>
      <c r="G146" s="10">
        <v>3767</v>
      </c>
      <c r="H146" s="10">
        <v>330</v>
      </c>
      <c r="I146" s="10">
        <f t="shared" si="2"/>
        <v>4097</v>
      </c>
      <c r="J146" s="11">
        <f t="shared" si="3"/>
        <v>8.0546741518184035</v>
      </c>
      <c r="K146" s="12"/>
      <c r="L146" s="10">
        <f t="shared" ref="L146:M146" si="151">B146+G146</f>
        <v>6449</v>
      </c>
      <c r="M146" s="10">
        <f t="shared" si="151"/>
        <v>426</v>
      </c>
      <c r="N146" s="10">
        <f t="shared" si="5"/>
        <v>6875</v>
      </c>
      <c r="O146" s="11">
        <f t="shared" si="6"/>
        <v>6.1963636363636363</v>
      </c>
      <c r="P146" s="13">
        <v>1.8</v>
      </c>
      <c r="Q146" s="14">
        <f t="shared" si="7"/>
        <v>-4.3963636363636365</v>
      </c>
      <c r="R146" s="14">
        <f ca="1">IFERROR(__xludf.DUMMYFUNCTION("IFERROR(
  AVERAGE(
    FILTER(
      $O$2:O146,
      $A$2:A146 &gt;= A146 - 30,
      $A$2:A146 &lt;= A146,
      $O$2:O146 &gt; 0
    )
  ),
"""")"),1.6580826262122)</f>
        <v>1.6580826262121999</v>
      </c>
      <c r="S146" s="14"/>
    </row>
    <row r="147" spans="1:19" ht="15.75" customHeight="1" x14ac:dyDescent="0.25">
      <c r="A147" s="9">
        <v>46046</v>
      </c>
      <c r="B147" s="10">
        <v>3260</v>
      </c>
      <c r="C147" s="10">
        <v>42</v>
      </c>
      <c r="D147" s="10">
        <f t="shared" si="0"/>
        <v>3302</v>
      </c>
      <c r="E147" s="11">
        <f t="shared" si="1"/>
        <v>1.2719563900666262</v>
      </c>
      <c r="F147" s="12"/>
      <c r="G147" s="10">
        <v>5821</v>
      </c>
      <c r="H147" s="10">
        <v>280</v>
      </c>
      <c r="I147" s="10">
        <f t="shared" si="2"/>
        <v>6101</v>
      </c>
      <c r="J147" s="11">
        <f t="shared" si="3"/>
        <v>4.5894115718734634</v>
      </c>
      <c r="K147" s="12"/>
      <c r="L147" s="10">
        <f t="shared" ref="L147:M147" si="152">B147+G147</f>
        <v>9081</v>
      </c>
      <c r="M147" s="10">
        <f t="shared" si="152"/>
        <v>322</v>
      </c>
      <c r="N147" s="10">
        <f t="shared" si="5"/>
        <v>9403</v>
      </c>
      <c r="O147" s="11">
        <f t="shared" si="6"/>
        <v>3.4244390088269703</v>
      </c>
      <c r="P147" s="13">
        <v>1.8</v>
      </c>
      <c r="Q147" s="14">
        <f t="shared" si="7"/>
        <v>-1.6244390088269702</v>
      </c>
      <c r="R147" s="14">
        <f ca="1">IFERROR(__xludf.DUMMYFUNCTION("IFERROR(
  AVERAGE(
    FILTER(
      $O$2:O147,
      $A$2:A147 &gt;= A147 - 30,
      $A$2:A147 &lt;= A147,
      $O$2:O147 &gt; 0
    )
  ),
"""")"),1.7335655617165)</f>
        <v>1.7335655617165</v>
      </c>
      <c r="S147" s="14"/>
    </row>
    <row r="148" spans="1:19" ht="15.75" customHeight="1" x14ac:dyDescent="0.25">
      <c r="A148" s="9">
        <v>46047</v>
      </c>
      <c r="B148" s="10">
        <v>3358</v>
      </c>
      <c r="C148" s="10">
        <v>30</v>
      </c>
      <c r="D148" s="10">
        <f t="shared" si="0"/>
        <v>3388</v>
      </c>
      <c r="E148" s="11">
        <f t="shared" si="1"/>
        <v>0.88547815820543085</v>
      </c>
      <c r="F148" s="12"/>
      <c r="G148" s="10">
        <v>5724</v>
      </c>
      <c r="H148" s="10">
        <v>33</v>
      </c>
      <c r="I148" s="10">
        <f t="shared" si="2"/>
        <v>5757</v>
      </c>
      <c r="J148" s="11">
        <f t="shared" si="3"/>
        <v>0.57321521625846794</v>
      </c>
      <c r="K148" s="12"/>
      <c r="L148" s="10">
        <f t="shared" ref="L148:M148" si="153">B148+G148</f>
        <v>9082</v>
      </c>
      <c r="M148" s="10">
        <f t="shared" si="153"/>
        <v>63</v>
      </c>
      <c r="N148" s="10">
        <f t="shared" si="5"/>
        <v>9145</v>
      </c>
      <c r="O148" s="11">
        <f t="shared" si="6"/>
        <v>0.68890103881902676</v>
      </c>
      <c r="P148" s="13">
        <v>1.8</v>
      </c>
      <c r="Q148" s="14">
        <f t="shared" si="7"/>
        <v>1.1110989611809732</v>
      </c>
      <c r="R148" s="14">
        <f ca="1">IFERROR(__xludf.DUMMYFUNCTION("IFERROR(
  AVERAGE(
    FILTER(
      $O$2:O148,
      $A$2:A148 &gt;= A148 - 30,
      $A$2:A148 &lt;= A148,
      $O$2:O148 &gt; 0
    )
  ),
"""")"),1.69019876558038)</f>
        <v>1.6901987655803801</v>
      </c>
      <c r="S148" s="14"/>
    </row>
    <row r="149" spans="1:19" ht="15.75" customHeight="1" x14ac:dyDescent="0.25">
      <c r="A149" s="9">
        <v>46048</v>
      </c>
      <c r="B149" s="10">
        <v>3178</v>
      </c>
      <c r="C149" s="10">
        <v>21</v>
      </c>
      <c r="D149" s="10">
        <f t="shared" si="0"/>
        <v>3199</v>
      </c>
      <c r="E149" s="11">
        <f t="shared" si="1"/>
        <v>0.65645514223194756</v>
      </c>
      <c r="F149" s="12"/>
      <c r="G149" s="10">
        <v>5946</v>
      </c>
      <c r="H149" s="10">
        <v>0</v>
      </c>
      <c r="I149" s="10">
        <f t="shared" si="2"/>
        <v>5946</v>
      </c>
      <c r="J149" s="11">
        <f t="shared" si="3"/>
        <v>0</v>
      </c>
      <c r="K149" s="12"/>
      <c r="L149" s="10">
        <f t="shared" ref="L149:M149" si="154">B149+G149</f>
        <v>9124</v>
      </c>
      <c r="M149" s="10">
        <f t="shared" si="154"/>
        <v>21</v>
      </c>
      <c r="N149" s="10">
        <f t="shared" si="5"/>
        <v>9145</v>
      </c>
      <c r="O149" s="11">
        <f t="shared" si="6"/>
        <v>0.22963367960634226</v>
      </c>
      <c r="P149" s="13">
        <v>1.8</v>
      </c>
      <c r="Q149" s="14">
        <f t="shared" si="7"/>
        <v>1.5703663203936578</v>
      </c>
      <c r="R149" s="14">
        <f ca="1">IFERROR(__xludf.DUMMYFUNCTION("IFERROR(
  AVERAGE(
    FILTER(
      $O$2:O149,
      $A$2:A149 &gt;= A149 - 30,
      $A$2:A149 &lt;= A149,
      $O$2:O149 &gt; 0
    )
  ),
"""")"),1.63979027342024)</f>
        <v>1.6397902734202401</v>
      </c>
      <c r="S149" s="14"/>
    </row>
    <row r="150" spans="1:19" ht="15.75" customHeight="1" x14ac:dyDescent="0.25">
      <c r="A150" s="9">
        <v>46049</v>
      </c>
      <c r="B150" s="10">
        <v>3320</v>
      </c>
      <c r="C150" s="10">
        <v>40</v>
      </c>
      <c r="D150" s="10">
        <f t="shared" si="0"/>
        <v>3360</v>
      </c>
      <c r="E150" s="11">
        <f t="shared" si="1"/>
        <v>1.1904761904761905</v>
      </c>
      <c r="F150" s="12"/>
      <c r="G150" s="10">
        <v>5257</v>
      </c>
      <c r="H150" s="10">
        <v>78</v>
      </c>
      <c r="I150" s="10">
        <f t="shared" si="2"/>
        <v>5335</v>
      </c>
      <c r="J150" s="11">
        <f t="shared" si="3"/>
        <v>1.4620431115276475</v>
      </c>
      <c r="K150" s="12"/>
      <c r="L150" s="10">
        <f t="shared" ref="L150:M150" si="155">B150+G150</f>
        <v>8577</v>
      </c>
      <c r="M150" s="10">
        <f t="shared" si="155"/>
        <v>118</v>
      </c>
      <c r="N150" s="10">
        <f t="shared" si="5"/>
        <v>8695</v>
      </c>
      <c r="O150" s="11">
        <f t="shared" si="6"/>
        <v>1.3571017826336975</v>
      </c>
      <c r="P150" s="13">
        <v>1.8</v>
      </c>
      <c r="Q150" s="14">
        <f t="shared" si="7"/>
        <v>0.44289821736630253</v>
      </c>
      <c r="R150" s="14">
        <f ca="1">IFERROR(__xludf.DUMMYFUNCTION("IFERROR(
  AVERAGE(
    FILTER(
      $O$2:O150,
      $A$2:A150 &gt;= A150 - 30,
      $A$2:A150 &lt;= A150,
      $O$2:O150 &gt; 0
    )
  ),
"""")"),1.56609367932979)</f>
        <v>1.5660936793297899</v>
      </c>
      <c r="S150" s="14"/>
    </row>
    <row r="151" spans="1:19" ht="15.75" customHeight="1" x14ac:dyDescent="0.25">
      <c r="A151" s="9">
        <v>46050</v>
      </c>
      <c r="B151" s="10">
        <v>4316</v>
      </c>
      <c r="C151" s="10">
        <v>20</v>
      </c>
      <c r="D151" s="10">
        <f t="shared" si="0"/>
        <v>4336</v>
      </c>
      <c r="E151" s="11">
        <f t="shared" si="1"/>
        <v>0.46125461254612549</v>
      </c>
      <c r="F151" s="12"/>
      <c r="G151" s="10">
        <v>5031</v>
      </c>
      <c r="H151" s="10">
        <v>170</v>
      </c>
      <c r="I151" s="10">
        <f t="shared" si="2"/>
        <v>5201</v>
      </c>
      <c r="J151" s="11">
        <f t="shared" si="3"/>
        <v>3.2686021918861758</v>
      </c>
      <c r="K151" s="12"/>
      <c r="L151" s="10">
        <f t="shared" ref="L151:M151" si="156">B151+G151</f>
        <v>9347</v>
      </c>
      <c r="M151" s="10">
        <f t="shared" si="156"/>
        <v>190</v>
      </c>
      <c r="N151" s="10">
        <f t="shared" si="5"/>
        <v>9537</v>
      </c>
      <c r="O151" s="11">
        <f t="shared" si="6"/>
        <v>1.9922407465660059</v>
      </c>
      <c r="P151" s="13">
        <v>1.8</v>
      </c>
      <c r="Q151" s="14">
        <f t="shared" si="7"/>
        <v>-0.19224074656600587</v>
      </c>
      <c r="R151" s="14">
        <f ca="1">IFERROR(__xludf.DUMMYFUNCTION("IFERROR(
  AVERAGE(
    FILTER(
      $O$2:O151,
      $A$2:A151 &gt;= A151 - 30,
      $A$2:A151 &lt;= A151,
      $O$2:O151 &gt; 0
    )
  ),
"""")"),1.53738068160064)</f>
        <v>1.5373806816006399</v>
      </c>
      <c r="S151" s="14"/>
    </row>
    <row r="152" spans="1:19" ht="15.75" customHeight="1" x14ac:dyDescent="0.25">
      <c r="A152" s="9">
        <v>46051</v>
      </c>
      <c r="B152" s="10">
        <v>3334</v>
      </c>
      <c r="C152" s="10">
        <v>148</v>
      </c>
      <c r="D152" s="10">
        <f t="shared" si="0"/>
        <v>3482</v>
      </c>
      <c r="E152" s="11">
        <f t="shared" si="1"/>
        <v>4.2504307869040785</v>
      </c>
      <c r="F152" s="12"/>
      <c r="G152" s="10">
        <v>4899</v>
      </c>
      <c r="H152" s="10">
        <v>84</v>
      </c>
      <c r="I152" s="10">
        <f t="shared" si="2"/>
        <v>4983</v>
      </c>
      <c r="J152" s="11">
        <f t="shared" si="3"/>
        <v>1.6857314870559905</v>
      </c>
      <c r="K152" s="12"/>
      <c r="L152" s="10">
        <f t="shared" ref="L152:M152" si="157">B152+G152</f>
        <v>8233</v>
      </c>
      <c r="M152" s="10">
        <f t="shared" si="157"/>
        <v>232</v>
      </c>
      <c r="N152" s="10">
        <f t="shared" si="5"/>
        <v>8465</v>
      </c>
      <c r="O152" s="11">
        <f t="shared" si="6"/>
        <v>2.7406969875959835</v>
      </c>
      <c r="P152" s="13">
        <v>1.8</v>
      </c>
      <c r="Q152" s="14">
        <f t="shared" si="7"/>
        <v>-0.94069698759598341</v>
      </c>
      <c r="R152" s="14">
        <f ca="1">IFERROR(__xludf.DUMMYFUNCTION("IFERROR(
  AVERAGE(
    FILTER(
      $O$2:O152,
      $A$2:A152 &gt;= A152 - 30,
      $A$2:A152 &lt;= A152,
      $O$2:O152 &gt; 0
    )
  ),
"""")"),1.61304461853829)</f>
        <v>1.6130446185382901</v>
      </c>
      <c r="S152" s="14"/>
    </row>
    <row r="153" spans="1:19" ht="15.75" customHeight="1" x14ac:dyDescent="0.25">
      <c r="A153" s="9">
        <v>46052</v>
      </c>
      <c r="B153" s="10">
        <v>2990</v>
      </c>
      <c r="C153" s="10">
        <v>51</v>
      </c>
      <c r="D153" s="10">
        <f t="shared" si="0"/>
        <v>3041</v>
      </c>
      <c r="E153" s="11">
        <f t="shared" si="1"/>
        <v>1.6770799079250247</v>
      </c>
      <c r="F153" s="12"/>
      <c r="G153" s="10">
        <v>5919</v>
      </c>
      <c r="H153" s="10">
        <v>106</v>
      </c>
      <c r="I153" s="10">
        <f t="shared" si="2"/>
        <v>6025</v>
      </c>
      <c r="J153" s="11">
        <f t="shared" si="3"/>
        <v>1.7593360995850622</v>
      </c>
      <c r="K153" s="12"/>
      <c r="L153" s="10">
        <f t="shared" ref="L153:M153" si="158">B153+G153</f>
        <v>8909</v>
      </c>
      <c r="M153" s="10">
        <f t="shared" si="158"/>
        <v>157</v>
      </c>
      <c r="N153" s="10">
        <f t="shared" si="5"/>
        <v>9066</v>
      </c>
      <c r="O153" s="11">
        <f t="shared" si="6"/>
        <v>1.7317449812486212</v>
      </c>
      <c r="P153" s="13">
        <v>1.8</v>
      </c>
      <c r="Q153" s="14">
        <f t="shared" si="7"/>
        <v>6.8255018751378849E-2</v>
      </c>
      <c r="R153" s="14">
        <f ca="1">IFERROR(__xludf.DUMMYFUNCTION("IFERROR(
  AVERAGE(
    FILTER(
      $O$2:O153,
      $A$2:A153 &gt;= A153 - 30,
      $A$2:A153 &lt;= A153,
      $O$2:O153 &gt; 0
    )
  ),
"""")"),1.5715948417522)</f>
        <v>1.5715948417522001</v>
      </c>
      <c r="S153" s="14"/>
    </row>
    <row r="154" spans="1:19" ht="15.75" customHeight="1" x14ac:dyDescent="0.25">
      <c r="A154" s="9">
        <v>46053</v>
      </c>
      <c r="B154" s="10">
        <v>3588</v>
      </c>
      <c r="C154" s="10">
        <v>10</v>
      </c>
      <c r="D154" s="10">
        <f t="shared" si="0"/>
        <v>3598</v>
      </c>
      <c r="E154" s="11">
        <f t="shared" si="1"/>
        <v>0.27793218454697055</v>
      </c>
      <c r="F154" s="12"/>
      <c r="G154" s="10">
        <v>5443</v>
      </c>
      <c r="H154" s="10">
        <v>66</v>
      </c>
      <c r="I154" s="10">
        <f t="shared" si="2"/>
        <v>5509</v>
      </c>
      <c r="J154" s="11">
        <f t="shared" si="3"/>
        <v>1.1980395716100924</v>
      </c>
      <c r="K154" s="12"/>
      <c r="L154" s="10">
        <f t="shared" ref="L154:M154" si="159">B154+G154</f>
        <v>9031</v>
      </c>
      <c r="M154" s="10">
        <f t="shared" si="159"/>
        <v>76</v>
      </c>
      <c r="N154" s="10">
        <f t="shared" si="5"/>
        <v>9107</v>
      </c>
      <c r="O154" s="11">
        <f t="shared" si="6"/>
        <v>0.83452289447677619</v>
      </c>
      <c r="P154" s="13">
        <v>1.8</v>
      </c>
      <c r="Q154" s="14">
        <f t="shared" si="7"/>
        <v>0.96547710552322386</v>
      </c>
      <c r="R154" s="14">
        <f ca="1">IFERROR(__xludf.DUMMYFUNCTION("IFERROR(
  AVERAGE(
    FILTER(
      $O$2:O154,
      $A$2:A154 &gt;= A154 - 30,
      $A$2:A154 &lt;= A154,
      $O$2:O154 &gt; 0
    )
  ),
"""")"),1.56410949669036)</f>
        <v>1.5641094966903599</v>
      </c>
      <c r="S154" s="14"/>
    </row>
    <row r="155" spans="1:19" ht="15.75" customHeight="1" x14ac:dyDescent="0.25">
      <c r="A155" s="9">
        <v>46054</v>
      </c>
      <c r="B155" s="10">
        <v>3832</v>
      </c>
      <c r="C155" s="10">
        <v>36</v>
      </c>
      <c r="D155" s="10">
        <f t="shared" si="0"/>
        <v>3868</v>
      </c>
      <c r="E155" s="11">
        <f t="shared" si="1"/>
        <v>0.93071354705274045</v>
      </c>
      <c r="F155" s="12"/>
      <c r="G155" s="10">
        <v>5836</v>
      </c>
      <c r="H155" s="10">
        <v>50</v>
      </c>
      <c r="I155" s="10">
        <f t="shared" si="2"/>
        <v>5886</v>
      </c>
      <c r="J155" s="11">
        <f t="shared" si="3"/>
        <v>0.8494733265375467</v>
      </c>
      <c r="K155" s="12"/>
      <c r="L155" s="10">
        <f t="shared" ref="L155:M155" si="160">B155+G155</f>
        <v>9668</v>
      </c>
      <c r="M155" s="10">
        <f t="shared" si="160"/>
        <v>86</v>
      </c>
      <c r="N155" s="10">
        <f t="shared" si="5"/>
        <v>9754</v>
      </c>
      <c r="O155" s="11">
        <f t="shared" si="6"/>
        <v>0.88168956325610004</v>
      </c>
      <c r="P155" s="13">
        <v>1.8</v>
      </c>
      <c r="Q155" s="14">
        <f t="shared" si="7"/>
        <v>0.9183104367439</v>
      </c>
      <c r="R155" s="14">
        <f ca="1">IFERROR(__xludf.DUMMYFUNCTION("IFERROR(
  AVERAGE(
    FILTER(
      $O$2:O155,
      $A$2:A155 &gt;= A155 - 30,
      $A$2:A155 &lt;= A155,
      $O$2:O155 &gt; 0
    )
  ),
"""")"),1.55668847131244)</f>
        <v>1.55668847131244</v>
      </c>
      <c r="S155" s="14"/>
    </row>
    <row r="156" spans="1:19" ht="15.75" customHeight="1" x14ac:dyDescent="0.25">
      <c r="A156" s="9">
        <v>46055</v>
      </c>
      <c r="B156" s="10">
        <v>3594</v>
      </c>
      <c r="C156" s="10">
        <v>53</v>
      </c>
      <c r="D156" s="10">
        <f t="shared" si="0"/>
        <v>3647</v>
      </c>
      <c r="E156" s="11">
        <f t="shared" si="1"/>
        <v>1.4532492459555799</v>
      </c>
      <c r="F156" s="12"/>
      <c r="G156" s="10">
        <v>5469</v>
      </c>
      <c r="H156" s="10">
        <v>52</v>
      </c>
      <c r="I156" s="10">
        <f t="shared" si="2"/>
        <v>5521</v>
      </c>
      <c r="J156" s="11">
        <f t="shared" si="3"/>
        <v>0.94185835899293602</v>
      </c>
      <c r="K156" s="12"/>
      <c r="L156" s="10">
        <f t="shared" ref="L156:M156" si="161">B156+G156</f>
        <v>9063</v>
      </c>
      <c r="M156" s="10">
        <f t="shared" si="161"/>
        <v>105</v>
      </c>
      <c r="N156" s="10">
        <f t="shared" si="5"/>
        <v>9168</v>
      </c>
      <c r="O156" s="11">
        <f t="shared" si="6"/>
        <v>1.1452879581151831</v>
      </c>
      <c r="P156" s="13">
        <v>1.8</v>
      </c>
      <c r="Q156" s="14">
        <f t="shared" si="7"/>
        <v>0.65471204188481691</v>
      </c>
      <c r="R156" s="14">
        <f ca="1">IFERROR(__xludf.DUMMYFUNCTION("IFERROR(
  AVERAGE(
    FILTER(
      $O$2:O156,
      $A$2:A156 &gt;= A156 - 30,
      $A$2:A156 &lt;= A156,
      $O$2:O156 &gt; 0
    )
  ),
"""")"),1.56897430164146)</f>
        <v>1.5689743016414599</v>
      </c>
      <c r="S156" s="14"/>
    </row>
    <row r="157" spans="1:19" ht="15.75" customHeight="1" x14ac:dyDescent="0.25">
      <c r="A157" s="9">
        <v>46056</v>
      </c>
      <c r="B157" s="10">
        <v>2780</v>
      </c>
      <c r="C157" s="10">
        <v>46</v>
      </c>
      <c r="D157" s="10">
        <f t="shared" si="0"/>
        <v>2826</v>
      </c>
      <c r="E157" s="11">
        <f t="shared" si="1"/>
        <v>1.6277423920736023</v>
      </c>
      <c r="F157" s="12"/>
      <c r="G157" s="10">
        <v>5427</v>
      </c>
      <c r="H157" s="10">
        <v>245</v>
      </c>
      <c r="I157" s="10">
        <f t="shared" si="2"/>
        <v>5672</v>
      </c>
      <c r="J157" s="11">
        <f t="shared" si="3"/>
        <v>4.3194640338504939</v>
      </c>
      <c r="K157" s="12"/>
      <c r="L157" s="10">
        <f t="shared" ref="L157:M157" si="162">B157+G157</f>
        <v>8207</v>
      </c>
      <c r="M157" s="10">
        <f t="shared" si="162"/>
        <v>291</v>
      </c>
      <c r="N157" s="10">
        <f t="shared" si="5"/>
        <v>8498</v>
      </c>
      <c r="O157" s="11">
        <f t="shared" si="6"/>
        <v>3.4243351376794537</v>
      </c>
      <c r="P157" s="13">
        <v>1.8</v>
      </c>
      <c r="Q157" s="14">
        <f t="shared" si="7"/>
        <v>-1.6243351376794537</v>
      </c>
      <c r="R157" s="14">
        <f ca="1">IFERROR(__xludf.DUMMYFUNCTION("IFERROR(
  AVERAGE(
    FILTER(
      $O$2:O157,
      $A$2:A157 &gt;= A157 - 30,
      $A$2:A157 &lt;= A157,
      $O$2:O157 &gt; 0
    )
  ),
"""")"),1.65233206625226)</f>
        <v>1.65233206625226</v>
      </c>
      <c r="S157" s="14"/>
    </row>
    <row r="158" spans="1:19" ht="15.75" customHeight="1" x14ac:dyDescent="0.25">
      <c r="A158" s="9">
        <v>46057</v>
      </c>
      <c r="B158" s="10">
        <v>3024</v>
      </c>
      <c r="C158" s="10">
        <v>41</v>
      </c>
      <c r="D158" s="10">
        <f t="shared" si="0"/>
        <v>3065</v>
      </c>
      <c r="E158" s="11">
        <f t="shared" si="1"/>
        <v>1.33768352365416</v>
      </c>
      <c r="F158" s="12"/>
      <c r="G158" s="10">
        <v>5156</v>
      </c>
      <c r="H158" s="10">
        <v>219</v>
      </c>
      <c r="I158" s="10">
        <f t="shared" si="2"/>
        <v>5375</v>
      </c>
      <c r="J158" s="11">
        <f t="shared" si="3"/>
        <v>4.0744186046511626</v>
      </c>
      <c r="K158" s="12"/>
      <c r="L158" s="10">
        <f t="shared" ref="L158:M158" si="163">B158+G158</f>
        <v>8180</v>
      </c>
      <c r="M158" s="10">
        <f t="shared" si="163"/>
        <v>260</v>
      </c>
      <c r="N158" s="10">
        <f t="shared" si="5"/>
        <v>8440</v>
      </c>
      <c r="O158" s="11">
        <f t="shared" si="6"/>
        <v>3.0805687203791465</v>
      </c>
      <c r="P158" s="13">
        <v>1.8</v>
      </c>
      <c r="Q158" s="14">
        <f t="shared" si="7"/>
        <v>-1.2805687203791465</v>
      </c>
      <c r="R158" s="14">
        <f ca="1">IFERROR(__xludf.DUMMYFUNCTION("IFERROR(
  AVERAGE(
    FILTER(
      $O$2:O158,
      $A$2:A158 &gt;= A158 - 30,
      $A$2:A158 &lt;= A158,
      $O$2:O158 &gt; 0
    )
  ),
"""")"),1.72868491724887)</f>
        <v>1.7286849172488701</v>
      </c>
      <c r="S158" s="14"/>
    </row>
    <row r="159" spans="1:19" ht="15.75" customHeight="1" x14ac:dyDescent="0.25">
      <c r="A159" s="9">
        <v>46059</v>
      </c>
      <c r="B159" s="10">
        <v>5126</v>
      </c>
      <c r="C159" s="10">
        <v>115</v>
      </c>
      <c r="D159" s="10">
        <f t="shared" si="0"/>
        <v>5241</v>
      </c>
      <c r="E159" s="11">
        <f t="shared" si="1"/>
        <v>2.1942377408891436</v>
      </c>
      <c r="F159" s="12"/>
      <c r="G159" s="10">
        <v>5442</v>
      </c>
      <c r="H159" s="10">
        <v>69</v>
      </c>
      <c r="I159" s="10">
        <f t="shared" si="2"/>
        <v>5511</v>
      </c>
      <c r="J159" s="11">
        <f t="shared" si="3"/>
        <v>1.2520413718018508</v>
      </c>
      <c r="K159" s="12"/>
      <c r="L159" s="10">
        <f t="shared" ref="L159:M159" si="164">B159+G159</f>
        <v>10568</v>
      </c>
      <c r="M159" s="10">
        <f t="shared" si="164"/>
        <v>184</v>
      </c>
      <c r="N159" s="10">
        <f t="shared" si="5"/>
        <v>10752</v>
      </c>
      <c r="O159" s="11">
        <f t="shared" si="6"/>
        <v>1.7113095238095239</v>
      </c>
      <c r="P159" s="13">
        <v>1.8</v>
      </c>
      <c r="Q159" s="14">
        <f t="shared" si="7"/>
        <v>8.8690476190476097E-2</v>
      </c>
      <c r="R159" s="14">
        <f ca="1">IFERROR(__xludf.DUMMYFUNCTION("IFERROR(
  AVERAGE(
    FILTER(
      $O$2:O160,
      $A$2:A160 &gt;= A159 - 30,
      $A$2:A160 &lt;= A159,
      $O$2:O160 &gt; 0
    )
  ),
"""")"),1.71078965068931)</f>
        <v>1.7107896506893101</v>
      </c>
      <c r="S159" s="14"/>
    </row>
    <row r="160" spans="1:19" ht="15.75" customHeight="1" x14ac:dyDescent="0.25">
      <c r="A160" s="9">
        <v>46058</v>
      </c>
      <c r="B160" s="10">
        <v>4126</v>
      </c>
      <c r="C160" s="10">
        <v>152</v>
      </c>
      <c r="D160" s="10">
        <f t="shared" si="0"/>
        <v>4278</v>
      </c>
      <c r="E160" s="11">
        <f t="shared" si="1"/>
        <v>3.5530621785881253</v>
      </c>
      <c r="F160" s="12"/>
      <c r="G160" s="10">
        <v>5835</v>
      </c>
      <c r="H160" s="10">
        <v>18</v>
      </c>
      <c r="I160" s="10">
        <f t="shared" si="2"/>
        <v>5853</v>
      </c>
      <c r="J160" s="11">
        <f t="shared" si="3"/>
        <v>0.30753459764223473</v>
      </c>
      <c r="K160" s="12"/>
      <c r="L160" s="10">
        <f t="shared" ref="L160:M160" si="165">B160+G160</f>
        <v>9961</v>
      </c>
      <c r="M160" s="10">
        <f t="shared" si="165"/>
        <v>170</v>
      </c>
      <c r="N160" s="10">
        <f t="shared" si="5"/>
        <v>10131</v>
      </c>
      <c r="O160" s="11">
        <f t="shared" si="6"/>
        <v>1.6780179646629159</v>
      </c>
      <c r="P160" s="13">
        <v>1.8</v>
      </c>
      <c r="Q160" s="14">
        <f t="shared" si="7"/>
        <v>0.12198203533708418</v>
      </c>
      <c r="R160" s="14">
        <f ca="1">IFERROR(__xludf.DUMMYFUNCTION("IFERROR(
  AVERAGE(
    FILTER(
      $O$2:O160,
      $A$2:A160 &gt;= A160 - 30,
      $A$2:A160 &lt;= A160,
      $O$2:O160 &gt; 0
    )
  ),
"""")"),1.68617363325106)</f>
        <v>1.68617363325106</v>
      </c>
      <c r="S160" s="14"/>
    </row>
    <row r="161" spans="1:19" ht="15.75" customHeight="1" x14ac:dyDescent="0.25">
      <c r="A161" s="9">
        <v>46060</v>
      </c>
      <c r="B161" s="10">
        <v>2826</v>
      </c>
      <c r="C161" s="10">
        <v>146</v>
      </c>
      <c r="D161" s="10">
        <f t="shared" si="0"/>
        <v>2972</v>
      </c>
      <c r="E161" s="11">
        <f t="shared" si="1"/>
        <v>4.9125168236877528</v>
      </c>
      <c r="F161" s="12"/>
      <c r="G161" s="10">
        <v>6322</v>
      </c>
      <c r="H161" s="10">
        <v>45</v>
      </c>
      <c r="I161" s="10">
        <f t="shared" si="2"/>
        <v>6367</v>
      </c>
      <c r="J161" s="11">
        <f t="shared" si="3"/>
        <v>0.70676927909533527</v>
      </c>
      <c r="K161" s="12"/>
      <c r="L161" s="10">
        <f t="shared" ref="L161:M161" si="166">B161+G161</f>
        <v>9148</v>
      </c>
      <c r="M161" s="10">
        <f t="shared" si="166"/>
        <v>191</v>
      </c>
      <c r="N161" s="10">
        <f t="shared" si="5"/>
        <v>9339</v>
      </c>
      <c r="O161" s="11">
        <f t="shared" si="6"/>
        <v>2.0451868508405613</v>
      </c>
      <c r="P161" s="13">
        <v>1.8</v>
      </c>
      <c r="Q161" s="14">
        <f t="shared" si="7"/>
        <v>-0.24518685084056124</v>
      </c>
      <c r="R161" s="14">
        <f ca="1">IFERROR(__xludf.DUMMYFUNCTION("IFERROR(
  AVERAGE(
    FILTER(
      $O$2:O161,
      $A$2:A161 &gt;= A161 - 30,
      $A$2:A161 &lt;= A161,
      $O$2:O161 &gt; 0
    )
  ),
"""")"),1.68804600566809)</f>
        <v>1.6880460056680899</v>
      </c>
      <c r="S161" s="14"/>
    </row>
    <row r="162" spans="1:19" ht="15.75" customHeight="1" x14ac:dyDescent="0.25">
      <c r="A162" s="9">
        <v>46061</v>
      </c>
      <c r="B162" s="10">
        <v>2980</v>
      </c>
      <c r="C162" s="10">
        <v>77</v>
      </c>
      <c r="D162" s="10">
        <f t="shared" si="0"/>
        <v>3057</v>
      </c>
      <c r="E162" s="11">
        <f t="shared" si="1"/>
        <v>2.5188092901537456</v>
      </c>
      <c r="F162" s="12"/>
      <c r="G162" s="10">
        <v>3070</v>
      </c>
      <c r="H162" s="10">
        <v>358</v>
      </c>
      <c r="I162" s="10">
        <f t="shared" si="2"/>
        <v>3428</v>
      </c>
      <c r="J162" s="11">
        <f t="shared" si="3"/>
        <v>10.443407234539089</v>
      </c>
      <c r="K162" s="12"/>
      <c r="L162" s="10">
        <f t="shared" ref="L162:M162" si="167">B162+G162</f>
        <v>6050</v>
      </c>
      <c r="M162" s="10">
        <f t="shared" si="167"/>
        <v>435</v>
      </c>
      <c r="N162" s="10">
        <f t="shared" si="5"/>
        <v>6485</v>
      </c>
      <c r="O162" s="11">
        <f t="shared" si="6"/>
        <v>6.707787201233617</v>
      </c>
      <c r="P162" s="13">
        <v>1.8</v>
      </c>
      <c r="Q162" s="14">
        <f t="shared" si="7"/>
        <v>-4.9077872012336172</v>
      </c>
      <c r="R162" s="14">
        <f ca="1">IFERROR(__xludf.DUMMYFUNCTION("IFERROR(
  AVERAGE(
    FILTER(
      $O$2:O162,
      $A$2:A162 &gt;= A162 - 30,
      $A$2:A162 &lt;= A162,
      $O$2:O162 &gt; 0
    )
  ),
"""")"),1.84226854923745)</f>
        <v>1.84226854923745</v>
      </c>
      <c r="S162" s="14"/>
    </row>
    <row r="163" spans="1:19" ht="15.75" customHeight="1" x14ac:dyDescent="0.25">
      <c r="A163" s="9">
        <v>46062</v>
      </c>
      <c r="B163" s="10">
        <v>3098</v>
      </c>
      <c r="C163" s="10">
        <v>10</v>
      </c>
      <c r="D163" s="10">
        <f t="shared" si="0"/>
        <v>3108</v>
      </c>
      <c r="E163" s="11">
        <f t="shared" si="1"/>
        <v>0.32175032175032175</v>
      </c>
      <c r="F163" s="12"/>
      <c r="G163" s="10">
        <v>5872</v>
      </c>
      <c r="H163" s="10">
        <v>227</v>
      </c>
      <c r="I163" s="10">
        <f t="shared" si="2"/>
        <v>6099</v>
      </c>
      <c r="J163" s="11">
        <f t="shared" si="3"/>
        <v>3.721921626496147</v>
      </c>
      <c r="K163" s="12"/>
      <c r="L163" s="10">
        <f t="shared" ref="L163:M163" si="168">B163+G163</f>
        <v>8970</v>
      </c>
      <c r="M163" s="10">
        <f t="shared" si="168"/>
        <v>237</v>
      </c>
      <c r="N163" s="10">
        <f t="shared" si="5"/>
        <v>9207</v>
      </c>
      <c r="O163" s="11">
        <f t="shared" si="6"/>
        <v>2.5741283805799937</v>
      </c>
      <c r="P163" s="13">
        <v>1.8</v>
      </c>
      <c r="Q163" s="14">
        <f t="shared" si="7"/>
        <v>-0.77412838057999367</v>
      </c>
      <c r="R163" s="14">
        <f ca="1">IFERROR(__xludf.DUMMYFUNCTION("IFERROR(
  AVERAGE(
    FILTER(
      $O$2:O163,
      $A$2:A163 &gt;= A163 - 30,
      $A$2:A163 &lt;= A163,
      $O$2:O163 &gt; 0
    )
  ),
"""")"),1.88475561180607)</f>
        <v>1.88475561180607</v>
      </c>
      <c r="S163" s="14"/>
    </row>
    <row r="164" spans="1:19" ht="15.75" customHeight="1" x14ac:dyDescent="0.25">
      <c r="A164" s="9">
        <v>46063</v>
      </c>
      <c r="B164" s="10">
        <v>3534</v>
      </c>
      <c r="C164" s="10">
        <v>45</v>
      </c>
      <c r="D164" s="10">
        <f t="shared" si="0"/>
        <v>3579</v>
      </c>
      <c r="E164" s="11">
        <f t="shared" si="1"/>
        <v>1.2573344509639564</v>
      </c>
      <c r="F164" s="12"/>
      <c r="G164" s="10">
        <v>4325</v>
      </c>
      <c r="H164" s="10">
        <v>257</v>
      </c>
      <c r="I164" s="10">
        <f t="shared" si="2"/>
        <v>4582</v>
      </c>
      <c r="J164" s="11">
        <f t="shared" si="3"/>
        <v>5.6089044085552162</v>
      </c>
      <c r="K164" s="12"/>
      <c r="L164" s="10">
        <f t="shared" ref="L164:M164" si="169">B164+G164</f>
        <v>7859</v>
      </c>
      <c r="M164" s="10">
        <f t="shared" si="169"/>
        <v>302</v>
      </c>
      <c r="N164" s="10">
        <f t="shared" si="5"/>
        <v>8161</v>
      </c>
      <c r="O164" s="11">
        <f t="shared" si="6"/>
        <v>3.7005268962136992</v>
      </c>
      <c r="P164" s="13">
        <v>1.8</v>
      </c>
      <c r="Q164" s="14">
        <f t="shared" si="7"/>
        <v>-1.9005268962136992</v>
      </c>
      <c r="R164" s="14">
        <f ca="1">IFERROR(__xludf.DUMMYFUNCTION("IFERROR(
  AVERAGE(
    FILTER(
      $O$2:O164,
      $A$2:A164 &gt;= A164 - 30,
      $A$2:A164 &lt;= A164,
      $O$2:O164 &gt; 0
    )
  ),
"""")"),1.97707250914671)</f>
        <v>1.9770725091467101</v>
      </c>
      <c r="S164" s="14"/>
    </row>
    <row r="165" spans="1:19" ht="15.75" customHeight="1" x14ac:dyDescent="0.25">
      <c r="A165" s="9">
        <v>46064</v>
      </c>
      <c r="B165" s="10">
        <v>3596</v>
      </c>
      <c r="C165" s="10">
        <v>89</v>
      </c>
      <c r="D165" s="10">
        <f t="shared" si="0"/>
        <v>3685</v>
      </c>
      <c r="E165" s="11">
        <f t="shared" si="1"/>
        <v>2.4151967435549526</v>
      </c>
      <c r="F165" s="12"/>
      <c r="G165" s="10">
        <v>4661</v>
      </c>
      <c r="H165" s="10">
        <v>42</v>
      </c>
      <c r="I165" s="10">
        <f t="shared" si="2"/>
        <v>4703</v>
      </c>
      <c r="J165" s="11">
        <f t="shared" si="3"/>
        <v>0.89304699128216025</v>
      </c>
      <c r="K165" s="12"/>
      <c r="L165" s="10">
        <f t="shared" ref="L165:M165" si="170">B165+G165</f>
        <v>8257</v>
      </c>
      <c r="M165" s="10">
        <f t="shared" si="170"/>
        <v>131</v>
      </c>
      <c r="N165" s="10">
        <f t="shared" si="5"/>
        <v>8388</v>
      </c>
      <c r="O165" s="11">
        <f t="shared" si="6"/>
        <v>1.5617548879351455</v>
      </c>
      <c r="P165" s="13">
        <v>1.8</v>
      </c>
      <c r="Q165" s="14">
        <f t="shared" si="7"/>
        <v>0.23824511206485455</v>
      </c>
      <c r="R165" s="14">
        <f ca="1">IFERROR(__xludf.DUMMYFUNCTION("IFERROR(
  AVERAGE(
    FILTER(
      $O$2:O165,
      $A$2:A165 &gt;= A165 - 30,
      $A$2:A165 &lt;= A165,
      $O$2:O165 &gt; 0
    )
  ),
"""")"),2.01978199823329)</f>
        <v>2.0197819982332899</v>
      </c>
      <c r="S165" s="14"/>
    </row>
    <row r="166" spans="1:19" ht="15.75" customHeight="1" x14ac:dyDescent="0.25">
      <c r="A166" s="9">
        <v>46065</v>
      </c>
      <c r="B166" s="10">
        <v>4317</v>
      </c>
      <c r="C166" s="10">
        <v>155</v>
      </c>
      <c r="D166" s="10">
        <f t="shared" si="0"/>
        <v>4472</v>
      </c>
      <c r="E166" s="11">
        <f t="shared" si="1"/>
        <v>3.466010733452594</v>
      </c>
      <c r="F166" s="12"/>
      <c r="G166" s="10">
        <v>5347</v>
      </c>
      <c r="H166" s="10">
        <v>47</v>
      </c>
      <c r="I166" s="10">
        <f t="shared" si="2"/>
        <v>5394</v>
      </c>
      <c r="J166" s="11">
        <f t="shared" si="3"/>
        <v>0.87133852428624403</v>
      </c>
      <c r="K166" s="12"/>
      <c r="L166" s="10">
        <f t="shared" ref="L166:M166" si="171">B166+G166</f>
        <v>9664</v>
      </c>
      <c r="M166" s="10">
        <f t="shared" si="171"/>
        <v>202</v>
      </c>
      <c r="N166" s="10">
        <f t="shared" si="5"/>
        <v>9866</v>
      </c>
      <c r="O166" s="11">
        <f t="shared" si="6"/>
        <v>2.0474356375430771</v>
      </c>
      <c r="P166" s="13">
        <v>1.8</v>
      </c>
      <c r="Q166" s="14">
        <f t="shared" si="7"/>
        <v>-0.24743563754307707</v>
      </c>
      <c r="R166" s="14">
        <f ca="1">IFERROR(__xludf.DUMMYFUNCTION("IFERROR(
  AVERAGE(
    FILTER(
      $O$2:O166,
      $A$2:A166 &gt;= A166 - 30,
      $A$2:A166 &lt;= A166,
      $O$2:O166 &gt; 0
    )
  ),
"""")"),2.05104511876743)</f>
        <v>2.0510451187674299</v>
      </c>
      <c r="S166" s="14"/>
    </row>
    <row r="167" spans="1:19" ht="15.75" customHeight="1" x14ac:dyDescent="0.25">
      <c r="A167" s="9">
        <v>46066</v>
      </c>
      <c r="B167" s="10">
        <v>5004</v>
      </c>
      <c r="C167" s="10">
        <v>64</v>
      </c>
      <c r="D167" s="10">
        <f t="shared" si="0"/>
        <v>5068</v>
      </c>
      <c r="E167" s="11">
        <f t="shared" si="1"/>
        <v>1.2628255722178374</v>
      </c>
      <c r="F167" s="12"/>
      <c r="G167" s="10">
        <v>5790</v>
      </c>
      <c r="H167" s="10">
        <v>17</v>
      </c>
      <c r="I167" s="10">
        <f t="shared" si="2"/>
        <v>5807</v>
      </c>
      <c r="J167" s="11">
        <f t="shared" si="3"/>
        <v>0.29275012915446874</v>
      </c>
      <c r="K167" s="12"/>
      <c r="L167" s="10">
        <f t="shared" ref="L167:M167" si="172">B167+G167</f>
        <v>10794</v>
      </c>
      <c r="M167" s="10">
        <f t="shared" si="172"/>
        <v>81</v>
      </c>
      <c r="N167" s="10">
        <f t="shared" si="5"/>
        <v>10875</v>
      </c>
      <c r="O167" s="11">
        <f t="shared" si="6"/>
        <v>0.7448275862068966</v>
      </c>
      <c r="P167" s="13">
        <v>1.8</v>
      </c>
      <c r="Q167" s="14">
        <f t="shared" si="7"/>
        <v>1.0551724137931036</v>
      </c>
      <c r="R167" s="14">
        <f ca="1">IFERROR(__xludf.DUMMYFUNCTION("IFERROR(
  AVERAGE(
    FILTER(
      $O$2:O167,
      $A$2:A167 &gt;= A167 - 30,
      $A$2:A167 &lt;= A167,
      $O$2:O167 &gt; 0
    )
  ),
"""")"),2.04195605232476)</f>
        <v>2.04195605232476</v>
      </c>
      <c r="S167" s="14"/>
    </row>
    <row r="168" spans="1:19" ht="15.75" customHeight="1" x14ac:dyDescent="0.25">
      <c r="A168" s="9">
        <v>46067</v>
      </c>
      <c r="B168" s="10">
        <v>6790</v>
      </c>
      <c r="C168" s="10">
        <v>152</v>
      </c>
      <c r="D168" s="10">
        <f t="shared" si="0"/>
        <v>6942</v>
      </c>
      <c r="E168" s="11">
        <f t="shared" si="1"/>
        <v>2.1895707288965713</v>
      </c>
      <c r="F168" s="12"/>
      <c r="G168" s="10">
        <v>5680</v>
      </c>
      <c r="H168" s="10">
        <v>99</v>
      </c>
      <c r="I168" s="10">
        <f t="shared" si="2"/>
        <v>5779</v>
      </c>
      <c r="J168" s="11">
        <f t="shared" si="3"/>
        <v>1.7130991521024399</v>
      </c>
      <c r="K168" s="12"/>
      <c r="L168" s="10">
        <f t="shared" ref="L168:M168" si="173">B168+G168</f>
        <v>12470</v>
      </c>
      <c r="M168" s="10">
        <f t="shared" si="173"/>
        <v>251</v>
      </c>
      <c r="N168" s="10">
        <f t="shared" si="5"/>
        <v>12721</v>
      </c>
      <c r="O168" s="11">
        <f t="shared" si="6"/>
        <v>1.9731153211225534</v>
      </c>
      <c r="P168" s="13">
        <v>1.8</v>
      </c>
      <c r="Q168" s="14">
        <f t="shared" si="7"/>
        <v>-0.17311532112255335</v>
      </c>
      <c r="R168" s="14">
        <f ca="1">IFERROR(__xludf.DUMMYFUNCTION("IFERROR(
  AVERAGE(
    FILTER(
      $O$2:O168,
      $A$2:A168 &gt;= A168 - 30,
      $A$2:A168 &lt;= A168,
      $O$2:O168 &gt; 0
    )
  ),
"""")"),2.05540387063084)</f>
        <v>2.05540387063084</v>
      </c>
      <c r="S168" s="14"/>
    </row>
    <row r="169" spans="1:19" ht="15.75" customHeight="1" x14ac:dyDescent="0.25">
      <c r="A169" s="9">
        <v>46068</v>
      </c>
      <c r="B169" s="10">
        <v>6212</v>
      </c>
      <c r="C169" s="10">
        <v>250</v>
      </c>
      <c r="D169" s="10">
        <f t="shared" si="0"/>
        <v>6462</v>
      </c>
      <c r="E169" s="11">
        <f t="shared" si="1"/>
        <v>3.86877127824203</v>
      </c>
      <c r="F169" s="12"/>
      <c r="G169" s="10">
        <v>5685</v>
      </c>
      <c r="H169" s="10">
        <v>136</v>
      </c>
      <c r="I169" s="10">
        <f t="shared" si="2"/>
        <v>5821</v>
      </c>
      <c r="J169" s="11">
        <f t="shared" si="3"/>
        <v>2.3363683215942279</v>
      </c>
      <c r="K169" s="12"/>
      <c r="L169" s="10">
        <f t="shared" ref="L169:M169" si="174">B169+G169</f>
        <v>11897</v>
      </c>
      <c r="M169" s="10">
        <f t="shared" si="174"/>
        <v>386</v>
      </c>
      <c r="N169" s="10">
        <f t="shared" si="5"/>
        <v>12283</v>
      </c>
      <c r="O169" s="11">
        <f t="shared" si="6"/>
        <v>3.1425547504681268</v>
      </c>
      <c r="P169" s="13">
        <v>1.8</v>
      </c>
      <c r="Q169" s="14">
        <f t="shared" si="7"/>
        <v>-1.3425547504681268</v>
      </c>
      <c r="R169" s="14">
        <f ca="1">IFERROR(__xludf.DUMMYFUNCTION("IFERROR(
  AVERAGE(
    FILTER(
      $O$2:O169,
      $A$2:A169 &gt;= A169 - 30,
      $A$2:A169 &lt;= A169,
      $O$2:O169 &gt; 0
    )
  ),
"""")"),2.13845405152843)</f>
        <v>2.1384540515284298</v>
      </c>
      <c r="S169" s="14"/>
    </row>
    <row r="170" spans="1:19" ht="15.75" customHeight="1" x14ac:dyDescent="0.25">
      <c r="A170" s="9">
        <v>46069</v>
      </c>
      <c r="B170" s="10">
        <v>5810</v>
      </c>
      <c r="C170" s="10">
        <v>88</v>
      </c>
      <c r="D170" s="10">
        <f t="shared" si="0"/>
        <v>5898</v>
      </c>
      <c r="E170" s="11">
        <f t="shared" si="1"/>
        <v>1.4920311970159377</v>
      </c>
      <c r="F170" s="12"/>
      <c r="G170" s="10">
        <v>4742</v>
      </c>
      <c r="H170" s="10">
        <v>115</v>
      </c>
      <c r="I170" s="10">
        <f t="shared" si="2"/>
        <v>4857</v>
      </c>
      <c r="J170" s="11">
        <f t="shared" si="3"/>
        <v>2.3677166975499278</v>
      </c>
      <c r="K170" s="12"/>
      <c r="L170" s="10">
        <f t="shared" ref="L170:M170" si="175">B170+G170</f>
        <v>10552</v>
      </c>
      <c r="M170" s="10">
        <f t="shared" si="175"/>
        <v>203</v>
      </c>
      <c r="N170" s="10">
        <f t="shared" si="5"/>
        <v>10755</v>
      </c>
      <c r="O170" s="11">
        <f t="shared" si="6"/>
        <v>1.887494188749419</v>
      </c>
      <c r="P170" s="13">
        <v>1.8</v>
      </c>
      <c r="Q170" s="14">
        <f t="shared" si="7"/>
        <v>-8.7494188749418944E-2</v>
      </c>
      <c r="R170" s="14">
        <f ca="1">IFERROR(__xludf.DUMMYFUNCTION("IFERROR(
  AVERAGE(
    FILTER(
      $O$2:O170,
      $A$2:A170 &gt;= A170 - 30,
      $A$2:A170 &lt;= A170,
      $O$2:O170 &gt; 0
    )
  ),
"""")"),2.16163544095327)</f>
        <v>2.1616354409532699</v>
      </c>
      <c r="S170" s="14"/>
    </row>
    <row r="171" spans="1:19" ht="15.75" customHeight="1" x14ac:dyDescent="0.25">
      <c r="A171" s="9">
        <v>46070</v>
      </c>
      <c r="B171" s="10">
        <v>5638</v>
      </c>
      <c r="C171" s="10">
        <v>42</v>
      </c>
      <c r="D171" s="10">
        <f t="shared" si="0"/>
        <v>5680</v>
      </c>
      <c r="E171" s="11">
        <f t="shared" si="1"/>
        <v>0.73943661971830987</v>
      </c>
      <c r="F171" s="12"/>
      <c r="G171" s="10">
        <v>5259</v>
      </c>
      <c r="H171" s="10">
        <v>117</v>
      </c>
      <c r="I171" s="10">
        <f t="shared" si="2"/>
        <v>5376</v>
      </c>
      <c r="J171" s="11">
        <f t="shared" si="3"/>
        <v>2.1763392857142856</v>
      </c>
      <c r="K171" s="12"/>
      <c r="L171" s="10">
        <f t="shared" ref="L171:M171" si="176">B171+G171</f>
        <v>10897</v>
      </c>
      <c r="M171" s="10">
        <f t="shared" si="176"/>
        <v>159</v>
      </c>
      <c r="N171" s="10">
        <f t="shared" si="5"/>
        <v>11056</v>
      </c>
      <c r="O171" s="11">
        <f t="shared" si="6"/>
        <v>1.4381331403762663</v>
      </c>
      <c r="P171" s="13">
        <v>1.8</v>
      </c>
      <c r="Q171" s="14">
        <f t="shared" si="7"/>
        <v>0.36186685962373377</v>
      </c>
      <c r="R171" s="14">
        <f ca="1">IFERROR(__xludf.DUMMYFUNCTION("IFERROR(
  AVERAGE(
    FILTER(
      $O$2:O171,
      $A$2:A171 &gt;= A171 - 30,
      $A$2:A171 &lt;= A171,
      $O$2:O171 &gt; 0
    )
  ),
"""")"),2.17486605809)</f>
        <v>2.1748660580900001</v>
      </c>
      <c r="S171" s="14"/>
    </row>
    <row r="172" spans="1:19" ht="15.75" customHeight="1" x14ac:dyDescent="0.25">
      <c r="A172" s="9">
        <v>46071</v>
      </c>
      <c r="B172" s="10">
        <v>6238</v>
      </c>
      <c r="C172" s="10">
        <v>47</v>
      </c>
      <c r="D172" s="10">
        <f t="shared" si="0"/>
        <v>6285</v>
      </c>
      <c r="E172" s="11">
        <f t="shared" si="1"/>
        <v>0.74781225139220364</v>
      </c>
      <c r="F172" s="12"/>
      <c r="G172" s="10">
        <v>5379</v>
      </c>
      <c r="H172" s="10">
        <v>59</v>
      </c>
      <c r="I172" s="10">
        <f t="shared" si="2"/>
        <v>5438</v>
      </c>
      <c r="J172" s="11">
        <f t="shared" si="3"/>
        <v>1.084957705038617</v>
      </c>
      <c r="K172" s="12"/>
      <c r="L172" s="10">
        <f t="shared" ref="L172:M172" si="177">B172+G172</f>
        <v>11617</v>
      </c>
      <c r="M172" s="10">
        <f t="shared" si="177"/>
        <v>106</v>
      </c>
      <c r="N172" s="10">
        <f t="shared" si="5"/>
        <v>11723</v>
      </c>
      <c r="O172" s="11">
        <f t="shared" si="6"/>
        <v>0.90420540817196959</v>
      </c>
      <c r="P172" s="13">
        <v>1.8</v>
      </c>
      <c r="Q172" s="14">
        <f t="shared" si="7"/>
        <v>0.89579459182803045</v>
      </c>
      <c r="R172" s="14">
        <f ca="1">IFERROR(__xludf.DUMMYFUNCTION("IFERROR(
  AVERAGE(
    FILTER(
      $O$2:O172,
      $A$2:A172 &gt;= A172 - 30,
      $A$2:A172 &lt;= A172,
      $O$2:O172 &gt; 0
    )
  ),
"""")"),2.19095682255556)</f>
        <v>2.19095682255556</v>
      </c>
      <c r="S172" s="14"/>
    </row>
    <row r="173" spans="1:19" ht="15.75" customHeight="1" x14ac:dyDescent="0.25">
      <c r="A173" s="9">
        <v>46072</v>
      </c>
      <c r="B173" s="10">
        <v>5742</v>
      </c>
      <c r="C173" s="10">
        <v>110</v>
      </c>
      <c r="D173" s="10">
        <f t="shared" si="0"/>
        <v>5852</v>
      </c>
      <c r="E173" s="11">
        <f t="shared" si="1"/>
        <v>1.8796992481203008</v>
      </c>
      <c r="F173" s="12"/>
      <c r="G173" s="10">
        <v>5514</v>
      </c>
      <c r="H173" s="10">
        <v>7</v>
      </c>
      <c r="I173" s="10">
        <f t="shared" si="2"/>
        <v>5521</v>
      </c>
      <c r="J173" s="11">
        <f t="shared" si="3"/>
        <v>0.12678862524904908</v>
      </c>
      <c r="K173" s="12"/>
      <c r="L173" s="10">
        <f t="shared" ref="L173:M173" si="178">B173+G173</f>
        <v>11256</v>
      </c>
      <c r="M173" s="10">
        <f t="shared" si="178"/>
        <v>117</v>
      </c>
      <c r="N173" s="10">
        <f t="shared" si="5"/>
        <v>11373</v>
      </c>
      <c r="O173" s="11">
        <f t="shared" si="6"/>
        <v>1.0287523080981271</v>
      </c>
      <c r="P173" s="13">
        <v>1.8</v>
      </c>
      <c r="Q173" s="14">
        <f t="shared" si="7"/>
        <v>0.77124769190187292</v>
      </c>
      <c r="R173" s="14">
        <f ca="1">IFERROR(__xludf.DUMMYFUNCTION("IFERROR(
  AVERAGE(
    FILTER(
      $O$2:O173,
      $A$2:A173 &gt;= A173 - 30,
      $A$2:A173 &lt;= A173,
      $O$2:O173 &gt; 0
    )
  ),
"""")"),2.19393061822741)</f>
        <v>2.1939306182274101</v>
      </c>
      <c r="S173" s="14"/>
    </row>
    <row r="174" spans="1:19" ht="15.75" customHeight="1" x14ac:dyDescent="0.25">
      <c r="A174" s="9">
        <v>46073</v>
      </c>
      <c r="B174" s="10">
        <v>6438</v>
      </c>
      <c r="C174" s="10">
        <v>71</v>
      </c>
      <c r="D174" s="10">
        <f t="shared" si="0"/>
        <v>6509</v>
      </c>
      <c r="E174" s="11">
        <f t="shared" si="1"/>
        <v>1.090797357504993</v>
      </c>
      <c r="F174" s="12"/>
      <c r="G174" s="10">
        <v>2622</v>
      </c>
      <c r="H174" s="10">
        <v>266</v>
      </c>
      <c r="I174" s="10">
        <f t="shared" si="2"/>
        <v>2888</v>
      </c>
      <c r="J174" s="11">
        <f t="shared" si="3"/>
        <v>9.2105263157894743</v>
      </c>
      <c r="K174" s="12"/>
      <c r="L174" s="10">
        <f t="shared" ref="L174:M174" si="179">B174+G174</f>
        <v>9060</v>
      </c>
      <c r="M174" s="10">
        <f t="shared" si="179"/>
        <v>337</v>
      </c>
      <c r="N174" s="10">
        <f t="shared" si="5"/>
        <v>9397</v>
      </c>
      <c r="O174" s="11">
        <f t="shared" si="6"/>
        <v>3.5862509311482387</v>
      </c>
      <c r="P174" s="13">
        <v>1.8</v>
      </c>
      <c r="Q174" s="14">
        <f t="shared" si="7"/>
        <v>-1.7862509311482386</v>
      </c>
      <c r="R174" s="14">
        <f ca="1">IFERROR(__xludf.DUMMYFUNCTION("IFERROR(
  AVERAGE(
    FILTER(
      $O$2:O174,
      $A$2:A174 &gt;= A174 - 30,
      $A$2:A174 &lt;= A174,
      $O$2:O174 &gt; 0
    )
  ),
"""")"),2.27673152939872)</f>
        <v>2.2767315293987198</v>
      </c>
      <c r="S174" s="14"/>
    </row>
    <row r="175" spans="1:19" ht="15.75" customHeight="1" x14ac:dyDescent="0.25">
      <c r="A175" s="9">
        <v>46074</v>
      </c>
      <c r="B175" s="10">
        <v>5992</v>
      </c>
      <c r="C175" s="10">
        <v>132</v>
      </c>
      <c r="D175" s="10">
        <f t="shared" si="0"/>
        <v>6124</v>
      </c>
      <c r="E175" s="11">
        <f t="shared" si="1"/>
        <v>2.155453951665578</v>
      </c>
      <c r="F175" s="12"/>
      <c r="G175" s="10">
        <v>2924</v>
      </c>
      <c r="H175" s="10">
        <v>195</v>
      </c>
      <c r="I175" s="10">
        <f t="shared" si="2"/>
        <v>3119</v>
      </c>
      <c r="J175" s="11">
        <f t="shared" si="3"/>
        <v>6.252003847386983</v>
      </c>
      <c r="K175" s="12"/>
      <c r="L175" s="10">
        <f t="shared" ref="L175:M175" si="180">B175+G175</f>
        <v>8916</v>
      </c>
      <c r="M175" s="10">
        <f t="shared" si="180"/>
        <v>327</v>
      </c>
      <c r="N175" s="10">
        <f t="shared" si="5"/>
        <v>9243</v>
      </c>
      <c r="O175" s="11">
        <f t="shared" si="6"/>
        <v>3.5378123985718921</v>
      </c>
      <c r="P175" s="13">
        <v>1.8</v>
      </c>
      <c r="Q175" s="14">
        <f t="shared" si="7"/>
        <v>-1.7378123985718921</v>
      </c>
      <c r="R175" s="14">
        <f ca="1">IFERROR(__xludf.DUMMYFUNCTION("IFERROR(
  AVERAGE(
    FILTER(
      $O$2:O175,
      $A$2:A175 &gt;= A175 - 30,
      $A$2:A175 &lt;= A175,
      $O$2:O175 &gt; 0
    )
  ),
"""")"),2.24049763249114)</f>
        <v>2.2404976324911399</v>
      </c>
      <c r="S175" s="14"/>
    </row>
    <row r="176" spans="1:19" ht="15.75" customHeight="1" x14ac:dyDescent="0.25">
      <c r="A176" s="9">
        <v>46075</v>
      </c>
      <c r="B176" s="10">
        <v>5865</v>
      </c>
      <c r="C176" s="10">
        <v>34</v>
      </c>
      <c r="D176" s="10">
        <f t="shared" si="0"/>
        <v>5899</v>
      </c>
      <c r="E176" s="11">
        <f t="shared" si="1"/>
        <v>0.57636887608069165</v>
      </c>
      <c r="F176" s="12"/>
      <c r="G176" s="10">
        <v>5441</v>
      </c>
      <c r="H176" s="10">
        <v>91</v>
      </c>
      <c r="I176" s="10">
        <f t="shared" si="2"/>
        <v>5532</v>
      </c>
      <c r="J176" s="11">
        <f t="shared" si="3"/>
        <v>1.6449746926970354</v>
      </c>
      <c r="K176" s="12"/>
      <c r="L176" s="10">
        <f t="shared" ref="L176:M176" si="181">B176+G176</f>
        <v>11306</v>
      </c>
      <c r="M176" s="10">
        <f t="shared" si="181"/>
        <v>125</v>
      </c>
      <c r="N176" s="10">
        <f t="shared" si="5"/>
        <v>11431</v>
      </c>
      <c r="O176" s="11">
        <f t="shared" si="6"/>
        <v>1.0935176275041554</v>
      </c>
      <c r="P176" s="13">
        <v>1.8</v>
      </c>
      <c r="Q176" s="14">
        <f t="shared" si="7"/>
        <v>0.70648237249584467</v>
      </c>
      <c r="R176" s="14">
        <f ca="1">IFERROR(__xludf.DUMMYFUNCTION("IFERROR(
  AVERAGE(
    FILTER(
      $O$2:O176,
      $A$2:A176 &gt;= A176 - 30,
      $A$2:A176 &lt;= A176,
      $O$2:O176 &gt; 0
    )
  ),
"""")"),2.22872055286461)</f>
        <v>2.2287205528646101</v>
      </c>
      <c r="S176" s="14"/>
    </row>
    <row r="177" spans="1:19" ht="15.75" customHeight="1" x14ac:dyDescent="0.25">
      <c r="A177" s="9">
        <v>46076</v>
      </c>
      <c r="B177" s="10">
        <v>6686</v>
      </c>
      <c r="C177" s="10">
        <v>86</v>
      </c>
      <c r="D177" s="10">
        <f t="shared" si="0"/>
        <v>6772</v>
      </c>
      <c r="E177" s="11">
        <f t="shared" si="1"/>
        <v>1.2699350265800355</v>
      </c>
      <c r="F177" s="12"/>
      <c r="G177" s="10">
        <v>6335</v>
      </c>
      <c r="H177" s="10">
        <v>55</v>
      </c>
      <c r="I177" s="10">
        <f t="shared" si="2"/>
        <v>6390</v>
      </c>
      <c r="J177" s="11">
        <f t="shared" si="3"/>
        <v>0.86071987480438183</v>
      </c>
      <c r="K177" s="12"/>
      <c r="L177" s="10">
        <f t="shared" ref="L177:M177" si="182">B177+G177</f>
        <v>13021</v>
      </c>
      <c r="M177" s="10">
        <f t="shared" si="182"/>
        <v>141</v>
      </c>
      <c r="N177" s="10">
        <f t="shared" si="5"/>
        <v>13162</v>
      </c>
      <c r="O177" s="11">
        <f t="shared" si="6"/>
        <v>1.0712657650812947</v>
      </c>
      <c r="P177" s="13">
        <v>1.8</v>
      </c>
      <c r="Q177" s="14">
        <f t="shared" si="7"/>
        <v>0.72873423491870537</v>
      </c>
      <c r="R177" s="14">
        <f ca="1">IFERROR(__xludf.DUMMYFUNCTION("IFERROR(
  AVERAGE(
    FILTER(
      $O$2:O177,
      $A$2:A177 &gt;= A177 - 30,
      $A$2:A177 &lt;= A177,
      $O$2:O177 &gt; 0
    )
  ),
"""")"),2.06339481508131)</f>
        <v>2.0633948150813102</v>
      </c>
      <c r="S177" s="14"/>
    </row>
    <row r="178" spans="1:19" ht="15.75" customHeight="1" x14ac:dyDescent="0.25">
      <c r="A178" s="9">
        <v>46077</v>
      </c>
      <c r="B178" s="10">
        <v>6512</v>
      </c>
      <c r="C178" s="10">
        <v>69</v>
      </c>
      <c r="D178" s="10">
        <f t="shared" si="0"/>
        <v>6581</v>
      </c>
      <c r="E178" s="11">
        <f t="shared" si="1"/>
        <v>1.0484728764625437</v>
      </c>
      <c r="F178" s="12"/>
      <c r="G178" s="10">
        <v>6357</v>
      </c>
      <c r="H178" s="10">
        <v>38</v>
      </c>
      <c r="I178" s="10">
        <f t="shared" si="2"/>
        <v>6395</v>
      </c>
      <c r="J178" s="11">
        <f t="shared" si="3"/>
        <v>0.59421422986708361</v>
      </c>
      <c r="K178" s="12"/>
      <c r="L178" s="10">
        <f t="shared" ref="L178:M178" si="183">B178+G178</f>
        <v>12869</v>
      </c>
      <c r="M178" s="10">
        <f t="shared" si="183"/>
        <v>107</v>
      </c>
      <c r="N178" s="10">
        <f t="shared" si="5"/>
        <v>12976</v>
      </c>
      <c r="O178" s="11">
        <f t="shared" si="6"/>
        <v>0.82459926017262641</v>
      </c>
      <c r="P178" s="13">
        <v>1.8</v>
      </c>
      <c r="Q178" s="14">
        <f t="shared" si="7"/>
        <v>0.97540073982737363</v>
      </c>
      <c r="R178" s="14">
        <f ca="1">IFERROR(__xludf.DUMMYFUNCTION("IFERROR(
  AVERAGE(
    FILTER(
      $O$2:O178,
      $A$2:A178 &gt;= A178 - 30,
      $A$2:A178 &lt;= A178,
      $O$2:O178 &gt; 0
    )
  ),
"""")"),1.97952901673762)</f>
        <v>1.9795290167376201</v>
      </c>
      <c r="S178" s="14"/>
    </row>
    <row r="179" spans="1:19" ht="15.75" customHeight="1" x14ac:dyDescent="0.25">
      <c r="A179" s="9">
        <v>46078</v>
      </c>
      <c r="B179" s="10">
        <v>6088</v>
      </c>
      <c r="C179" s="10">
        <v>82</v>
      </c>
      <c r="D179" s="10">
        <f t="shared" si="0"/>
        <v>6170</v>
      </c>
      <c r="E179" s="11">
        <f t="shared" si="1"/>
        <v>1.3290113452188006</v>
      </c>
      <c r="F179" s="12"/>
      <c r="G179" s="10">
        <v>6155</v>
      </c>
      <c r="H179" s="10">
        <v>107</v>
      </c>
      <c r="I179" s="10">
        <f t="shared" si="2"/>
        <v>6262</v>
      </c>
      <c r="J179" s="11">
        <f t="shared" si="3"/>
        <v>1.7087192590226765</v>
      </c>
      <c r="K179" s="12"/>
      <c r="L179" s="10">
        <f t="shared" ref="L179:M179" si="184">B179+G179</f>
        <v>12243</v>
      </c>
      <c r="M179" s="10">
        <f t="shared" si="184"/>
        <v>189</v>
      </c>
      <c r="N179" s="10">
        <f t="shared" si="5"/>
        <v>12432</v>
      </c>
      <c r="O179" s="11">
        <f t="shared" si="6"/>
        <v>1.5202702702702704</v>
      </c>
      <c r="P179" s="13">
        <v>1.8</v>
      </c>
      <c r="Q179" s="14">
        <f t="shared" si="7"/>
        <v>0.27972972972972965</v>
      </c>
      <c r="R179" s="14">
        <f ca="1">IFERROR(__xludf.DUMMYFUNCTION("IFERROR(
  AVERAGE(
    FILTER(
      $O$2:O179,
      $A$2:A179 &gt;= A179 - 30,
      $A$2:A179 &lt;= A179,
      $O$2:O179 &gt; 0
    )
  ),
"""")"),2.0063473790425)</f>
        <v>2.0063473790424999</v>
      </c>
      <c r="S179" s="14"/>
    </row>
    <row r="180" spans="1:19" ht="15.75" customHeight="1" x14ac:dyDescent="0.25">
      <c r="A180" s="9">
        <v>46079</v>
      </c>
      <c r="B180" s="10">
        <f>1250+1202+976+1284</f>
        <v>4712</v>
      </c>
      <c r="C180" s="10">
        <v>115</v>
      </c>
      <c r="D180" s="10">
        <f t="shared" si="0"/>
        <v>4827</v>
      </c>
      <c r="E180" s="11">
        <f t="shared" si="1"/>
        <v>2.3824321524756575</v>
      </c>
      <c r="F180" s="12"/>
      <c r="G180" s="10">
        <v>5401</v>
      </c>
      <c r="H180" s="10">
        <v>35</v>
      </c>
      <c r="I180" s="10">
        <f t="shared" si="2"/>
        <v>5436</v>
      </c>
      <c r="J180" s="11">
        <f t="shared" si="3"/>
        <v>0.64385577630610746</v>
      </c>
      <c r="K180" s="12"/>
      <c r="L180" s="10">
        <f t="shared" ref="L180:M180" si="185">B180+G180</f>
        <v>10113</v>
      </c>
      <c r="M180" s="10">
        <f t="shared" si="185"/>
        <v>150</v>
      </c>
      <c r="N180" s="10">
        <f t="shared" si="5"/>
        <v>10263</v>
      </c>
      <c r="O180" s="11">
        <f t="shared" si="6"/>
        <v>1.4615609470914939</v>
      </c>
      <c r="P180" s="13">
        <v>1.8</v>
      </c>
      <c r="Q180" s="14">
        <f t="shared" si="7"/>
        <v>0.33843905290850618</v>
      </c>
      <c r="R180" s="14">
        <f ca="1">IFERROR(__xludf.DUMMYFUNCTION("IFERROR(
  AVERAGE(
    FILTER(
      $O$2:O180,
      $A$2:A180 &gt;= A180 - 30,
      $A$2:A180 &lt;= A180,
      $O$2:O180 &gt; 0
    )
  ),
"""")"),2.04608696831622)</f>
        <v>2.0460869683162199</v>
      </c>
      <c r="S180" s="14"/>
    </row>
    <row r="181" spans="1:19" ht="15.75" customHeight="1" x14ac:dyDescent="0.25">
      <c r="A181" s="9">
        <v>46080</v>
      </c>
      <c r="B181" s="10">
        <v>5602</v>
      </c>
      <c r="C181" s="10">
        <v>113</v>
      </c>
      <c r="D181" s="10">
        <f t="shared" si="0"/>
        <v>5715</v>
      </c>
      <c r="E181" s="11">
        <f t="shared" si="1"/>
        <v>1.9772528433945757</v>
      </c>
      <c r="F181" s="12"/>
      <c r="G181" s="10">
        <v>5471</v>
      </c>
      <c r="H181" s="10">
        <v>45</v>
      </c>
      <c r="I181" s="10">
        <f t="shared" si="2"/>
        <v>5516</v>
      </c>
      <c r="J181" s="11">
        <f t="shared" si="3"/>
        <v>0.81580855692530829</v>
      </c>
      <c r="K181" s="12"/>
      <c r="L181" s="10">
        <f t="shared" ref="L181:M181" si="186">B181+G181</f>
        <v>11073</v>
      </c>
      <c r="M181" s="10">
        <f t="shared" si="186"/>
        <v>158</v>
      </c>
      <c r="N181" s="10">
        <f t="shared" si="5"/>
        <v>11231</v>
      </c>
      <c r="O181" s="11">
        <f t="shared" si="6"/>
        <v>1.4068204077998396</v>
      </c>
      <c r="P181" s="13">
        <v>1.8</v>
      </c>
      <c r="Q181" s="14">
        <f t="shared" si="7"/>
        <v>0.39317959220016041</v>
      </c>
      <c r="R181" s="14">
        <f ca="1">IFERROR(__xludf.DUMMYFUNCTION("IFERROR(
  AVERAGE(
    FILTER(
      $O$2:O181,
      $A$2:A181 &gt;= A181 - 30,
      $A$2:A181 &lt;= A181,
      $O$2:O181 &gt; 0
    )
  ),
"""")"),2.04769079493448)</f>
        <v>2.0476907949344798</v>
      </c>
      <c r="S181" s="14"/>
    </row>
    <row r="182" spans="1:19" ht="15.75" customHeight="1" x14ac:dyDescent="0.25">
      <c r="A182" s="9">
        <v>46081</v>
      </c>
      <c r="B182" s="10">
        <v>4854</v>
      </c>
      <c r="C182" s="10">
        <v>193</v>
      </c>
      <c r="D182" s="10">
        <f t="shared" si="0"/>
        <v>5047</v>
      </c>
      <c r="E182" s="11">
        <f t="shared" si="1"/>
        <v>3.824053893402021</v>
      </c>
      <c r="F182" s="12"/>
      <c r="G182" s="10">
        <v>4935</v>
      </c>
      <c r="H182" s="10">
        <v>84</v>
      </c>
      <c r="I182" s="10">
        <f t="shared" si="2"/>
        <v>5019</v>
      </c>
      <c r="J182" s="11">
        <f t="shared" si="3"/>
        <v>1.6736401673640169</v>
      </c>
      <c r="K182" s="12"/>
      <c r="L182" s="10">
        <f t="shared" ref="L182:M182" si="187">B182+G182</f>
        <v>9789</v>
      </c>
      <c r="M182" s="10">
        <f t="shared" si="187"/>
        <v>277</v>
      </c>
      <c r="N182" s="10">
        <f t="shared" si="5"/>
        <v>10066</v>
      </c>
      <c r="O182" s="11">
        <f t="shared" si="6"/>
        <v>2.7518378700576198</v>
      </c>
      <c r="P182" s="13">
        <v>1.8</v>
      </c>
      <c r="Q182" s="14">
        <f t="shared" si="7"/>
        <v>-0.95183787005761977</v>
      </c>
      <c r="R182" s="14">
        <f ca="1">IFERROR(__xludf.DUMMYFUNCTION("IFERROR(
  AVERAGE(
    FILTER(
      $O$2:O182,
      $A$2:A182 &gt;= A182 - 30,
      $A$2:A182 &lt;= A182,
      $O$2:O182 &gt; 0
    )
  ),
"""")"),2.07219392795034)</f>
        <v>2.0721939279503401</v>
      </c>
      <c r="S182" s="14"/>
    </row>
    <row r="183" spans="1:19" ht="15.75" customHeight="1" x14ac:dyDescent="0.25">
      <c r="A183" s="9">
        <v>46082</v>
      </c>
      <c r="B183" s="10">
        <v>5392</v>
      </c>
      <c r="C183" s="10">
        <v>108</v>
      </c>
      <c r="D183" s="10">
        <f t="shared" si="0"/>
        <v>5500</v>
      </c>
      <c r="E183" s="11">
        <f t="shared" si="1"/>
        <v>1.9636363636363636</v>
      </c>
      <c r="F183" s="12"/>
      <c r="G183" s="10">
        <v>5794</v>
      </c>
      <c r="H183" s="10">
        <v>10</v>
      </c>
      <c r="I183" s="10">
        <f t="shared" si="2"/>
        <v>5804</v>
      </c>
      <c r="J183" s="11">
        <f t="shared" si="3"/>
        <v>0.17229496898690558</v>
      </c>
      <c r="K183" s="12"/>
      <c r="L183" s="10">
        <f t="shared" ref="L183:M183" si="188">B183+G183</f>
        <v>11186</v>
      </c>
      <c r="M183" s="10">
        <f t="shared" si="188"/>
        <v>118</v>
      </c>
      <c r="N183" s="10">
        <f t="shared" si="5"/>
        <v>11304</v>
      </c>
      <c r="O183" s="11">
        <f t="shared" si="6"/>
        <v>1.0438782731776362</v>
      </c>
      <c r="P183" s="13">
        <v>1.8</v>
      </c>
      <c r="Q183" s="14">
        <f t="shared" si="7"/>
        <v>0.75612172682236389</v>
      </c>
      <c r="R183" s="14">
        <f ca="1">IFERROR(__xludf.DUMMYFUNCTION("IFERROR(
  AVERAGE(
    FILTER(
      $O$2:O183,
      $A$2:A183 &gt;= A183 - 30,
      $A$2:A183 &lt;= A183,
      $O$2:O183 &gt; 0
    )
  ),
"""")"),2.01745784038845)</f>
        <v>2.0174578403884502</v>
      </c>
      <c r="S183" s="14"/>
    </row>
    <row r="184" spans="1:19" ht="15.75" customHeight="1" x14ac:dyDescent="0.25">
      <c r="A184" s="9">
        <v>46083</v>
      </c>
      <c r="B184" s="10">
        <v>5097</v>
      </c>
      <c r="C184" s="10">
        <v>253</v>
      </c>
      <c r="D184" s="10">
        <f t="shared" si="0"/>
        <v>5350</v>
      </c>
      <c r="E184" s="11">
        <f t="shared" si="1"/>
        <v>4.7289719626168223</v>
      </c>
      <c r="F184" s="12"/>
      <c r="G184" s="10">
        <v>4376</v>
      </c>
      <c r="H184" s="10">
        <v>111</v>
      </c>
      <c r="I184" s="10">
        <f t="shared" si="2"/>
        <v>4487</v>
      </c>
      <c r="J184" s="11">
        <f t="shared" si="3"/>
        <v>2.4738132382438156</v>
      </c>
      <c r="K184" s="12"/>
      <c r="L184" s="10">
        <f t="shared" ref="L184:M184" si="189">B184+G184</f>
        <v>9473</v>
      </c>
      <c r="M184" s="10">
        <f t="shared" si="189"/>
        <v>364</v>
      </c>
      <c r="N184" s="10">
        <f t="shared" si="5"/>
        <v>9837</v>
      </c>
      <c r="O184" s="11">
        <f t="shared" si="6"/>
        <v>3.7003151367286771</v>
      </c>
      <c r="P184" s="13">
        <v>1.8</v>
      </c>
      <c r="Q184" s="14">
        <f t="shared" si="7"/>
        <v>-1.900315136728677</v>
      </c>
      <c r="R184" s="14">
        <f ca="1">IFERROR(__xludf.DUMMYFUNCTION("IFERROR(
  AVERAGE(
    FILTER(
      $O$2:O184,
      $A$2:A184 &gt;= A184 - 30,
      $A$2:A184 &lt;= A184,
      $O$2:O184 &gt; 0
    )
  ),
"""")"),2.08096010346846)</f>
        <v>2.0809601034684602</v>
      </c>
      <c r="S184" s="14"/>
    </row>
    <row r="185" spans="1:19" ht="15.75" customHeight="1" x14ac:dyDescent="0.25">
      <c r="A185" s="9">
        <v>46084</v>
      </c>
      <c r="B185" s="10">
        <v>5934</v>
      </c>
      <c r="C185" s="10">
        <v>123</v>
      </c>
      <c r="D185" s="10">
        <f t="shared" si="0"/>
        <v>6057</v>
      </c>
      <c r="E185" s="11">
        <f t="shared" si="1"/>
        <v>2.0307082714214957</v>
      </c>
      <c r="F185" s="12"/>
      <c r="G185" s="10">
        <v>3872</v>
      </c>
      <c r="H185" s="10">
        <v>0</v>
      </c>
      <c r="I185" s="10">
        <f t="shared" si="2"/>
        <v>3872</v>
      </c>
      <c r="J185" s="11">
        <f t="shared" si="3"/>
        <v>0</v>
      </c>
      <c r="K185" s="12"/>
      <c r="L185" s="10">
        <f t="shared" ref="L185:M185" si="190">B185+G185</f>
        <v>9806</v>
      </c>
      <c r="M185" s="10">
        <f t="shared" si="190"/>
        <v>123</v>
      </c>
      <c r="N185" s="10">
        <f t="shared" si="5"/>
        <v>9929</v>
      </c>
      <c r="O185" s="11">
        <f t="shared" si="6"/>
        <v>1.2387954476785175</v>
      </c>
      <c r="P185" s="13">
        <v>1.8</v>
      </c>
      <c r="Q185" s="14">
        <f t="shared" si="7"/>
        <v>0.56120455232148259</v>
      </c>
      <c r="R185" s="14">
        <f ca="1">IFERROR(__xludf.DUMMYFUNCTION("IFERROR(
  AVERAGE(
    FILTER(
      $O$2:O185,
      $A$2:A185 &gt;= A185 - 30,
      $A$2:A185 &lt;= A185,
      $O$2:O185 &gt; 0
    )
  ),
"""")"),2.09400115357174)</f>
        <v>2.0940011535717402</v>
      </c>
      <c r="S185" s="14"/>
    </row>
    <row r="186" spans="1:19" ht="15.75" customHeight="1" x14ac:dyDescent="0.25">
      <c r="A186" s="9">
        <v>46085</v>
      </c>
      <c r="B186" s="10">
        <v>3600</v>
      </c>
      <c r="C186" s="10">
        <v>35</v>
      </c>
      <c r="D186" s="10">
        <f t="shared" si="0"/>
        <v>3635</v>
      </c>
      <c r="E186" s="11">
        <f t="shared" si="1"/>
        <v>0.96286107290233836</v>
      </c>
      <c r="F186" s="12"/>
      <c r="G186" s="10">
        <v>3972</v>
      </c>
      <c r="H186" s="10">
        <v>36</v>
      </c>
      <c r="I186" s="10">
        <f t="shared" si="2"/>
        <v>4008</v>
      </c>
      <c r="J186" s="11">
        <f t="shared" si="3"/>
        <v>0.89820359281437134</v>
      </c>
      <c r="K186" s="12"/>
      <c r="L186" s="10">
        <f t="shared" ref="L186:M186" si="191">B186+G186</f>
        <v>7572</v>
      </c>
      <c r="M186" s="10">
        <f t="shared" si="191"/>
        <v>71</v>
      </c>
      <c r="N186" s="10">
        <f t="shared" si="5"/>
        <v>7643</v>
      </c>
      <c r="O186" s="11">
        <f t="shared" si="6"/>
        <v>0.9289545989794582</v>
      </c>
      <c r="P186" s="13">
        <v>1.8</v>
      </c>
      <c r="Q186" s="14">
        <f t="shared" si="7"/>
        <v>0.87104540102054184</v>
      </c>
      <c r="R186" s="14">
        <f ca="1">IFERROR(__xludf.DUMMYFUNCTION("IFERROR(
  AVERAGE(
    FILTER(
      $O$2:O186,
      $A$2:A186 &gt;= A186 - 30,
      $A$2:A186 &lt;= A186,
      $O$2:O186 &gt; 0
    )
  ),
"""")"),2.09552583214346)</f>
        <v>2.0955258321434602</v>
      </c>
      <c r="S186" s="14"/>
    </row>
    <row r="187" spans="1:19" ht="15.75" customHeight="1" x14ac:dyDescent="0.25">
      <c r="A187" s="9">
        <v>46086</v>
      </c>
      <c r="B187" s="10">
        <v>3836</v>
      </c>
      <c r="C187" s="10">
        <v>58</v>
      </c>
      <c r="D187" s="10">
        <f t="shared" si="0"/>
        <v>3894</v>
      </c>
      <c r="E187" s="11">
        <f t="shared" si="1"/>
        <v>1.4894709809964048</v>
      </c>
      <c r="F187" s="12"/>
      <c r="G187" s="10">
        <v>3890</v>
      </c>
      <c r="H187" s="10">
        <v>36</v>
      </c>
      <c r="I187" s="10">
        <f t="shared" si="2"/>
        <v>3926</v>
      </c>
      <c r="J187" s="11">
        <f t="shared" si="3"/>
        <v>0.91696383087111566</v>
      </c>
      <c r="K187" s="12"/>
      <c r="L187" s="10">
        <f t="shared" ref="L187:M187" si="192">B187+G187</f>
        <v>7726</v>
      </c>
      <c r="M187" s="10">
        <f t="shared" si="192"/>
        <v>94</v>
      </c>
      <c r="N187" s="10">
        <f t="shared" si="5"/>
        <v>7820</v>
      </c>
      <c r="O187" s="11">
        <f t="shared" si="6"/>
        <v>1.2020460358056266</v>
      </c>
      <c r="P187" s="13">
        <v>1.8</v>
      </c>
      <c r="Q187" s="14">
        <f t="shared" si="7"/>
        <v>0.59795396419437341</v>
      </c>
      <c r="R187" s="14">
        <f ca="1">IFERROR(__xludf.DUMMYFUNCTION("IFERROR(
  AVERAGE(
    FILTER(
      $O$2:O187,
      $A$2:A187 &gt;= A187 - 30,
      $A$2:A187 &lt;= A187,
      $O$2:O187 &gt; 0
    )
  ),
"""")"),2.09735673787541)</f>
        <v>2.0973567378754101</v>
      </c>
      <c r="S187" s="14"/>
    </row>
    <row r="188" spans="1:19" ht="15.75" customHeight="1" x14ac:dyDescent="0.25">
      <c r="A188" s="9">
        <v>46087</v>
      </c>
      <c r="B188" s="10">
        <v>3612</v>
      </c>
      <c r="C188" s="10">
        <v>253</v>
      </c>
      <c r="D188" s="10">
        <f t="shared" si="0"/>
        <v>3865</v>
      </c>
      <c r="E188" s="11">
        <f t="shared" si="1"/>
        <v>6.5459249676584736</v>
      </c>
      <c r="F188" s="12"/>
      <c r="G188" s="10">
        <v>3752</v>
      </c>
      <c r="H188" s="10">
        <v>48</v>
      </c>
      <c r="I188" s="10">
        <f t="shared" si="2"/>
        <v>3800</v>
      </c>
      <c r="J188" s="11">
        <f t="shared" si="3"/>
        <v>1.263157894736842</v>
      </c>
      <c r="K188" s="12"/>
      <c r="L188" s="10">
        <f t="shared" ref="L188:M188" si="193">B188+G188</f>
        <v>7364</v>
      </c>
      <c r="M188" s="10">
        <f t="shared" si="193"/>
        <v>301</v>
      </c>
      <c r="N188" s="10">
        <f t="shared" si="5"/>
        <v>7665</v>
      </c>
      <c r="O188" s="11">
        <f t="shared" si="6"/>
        <v>3.926940639269406</v>
      </c>
      <c r="P188" s="13">
        <v>1.8</v>
      </c>
      <c r="Q188" s="14">
        <f t="shared" si="7"/>
        <v>-2.1269406392694057</v>
      </c>
      <c r="R188" s="14">
        <f ca="1">IFERROR(__xludf.DUMMYFUNCTION("IFERROR(
  AVERAGE(
    FILTER(
      $O$2:O188,
      $A$2:A188 &gt;= A188 - 30,
      $A$2:A188 &lt;= A188,
      $O$2:O188 &gt; 0
    )
  ),
"""")"),2.11356981857186)</f>
        <v>2.1135698185718601</v>
      </c>
      <c r="S188" s="14"/>
    </row>
    <row r="189" spans="1:19" ht="15.75" customHeight="1" x14ac:dyDescent="0.25">
      <c r="A189" s="9">
        <v>46088</v>
      </c>
      <c r="B189" s="10">
        <v>2083</v>
      </c>
      <c r="C189" s="10">
        <v>75</v>
      </c>
      <c r="D189" s="10">
        <f t="shared" si="0"/>
        <v>2158</v>
      </c>
      <c r="E189" s="11">
        <f t="shared" si="1"/>
        <v>3.4754402224281744</v>
      </c>
      <c r="F189" s="12"/>
      <c r="G189" s="10">
        <v>3758</v>
      </c>
      <c r="H189" s="10">
        <v>1</v>
      </c>
      <c r="I189" s="10">
        <f t="shared" si="2"/>
        <v>3759</v>
      </c>
      <c r="J189" s="11">
        <f t="shared" si="3"/>
        <v>2.6602819898909284E-2</v>
      </c>
      <c r="K189" s="12"/>
      <c r="L189" s="10">
        <f t="shared" ref="L189:M189" si="194">B189+G189</f>
        <v>5841</v>
      </c>
      <c r="M189" s="10">
        <f t="shared" si="194"/>
        <v>76</v>
      </c>
      <c r="N189" s="10">
        <f t="shared" si="5"/>
        <v>5917</v>
      </c>
      <c r="O189" s="11">
        <f t="shared" si="6"/>
        <v>1.2844346797363528</v>
      </c>
      <c r="P189" s="13">
        <v>1.8</v>
      </c>
      <c r="Q189" s="14">
        <f t="shared" si="7"/>
        <v>0.51556532026364721</v>
      </c>
      <c r="R189" s="14">
        <f ca="1">IFERROR(__xludf.DUMMYFUNCTION("IFERROR(
  AVERAGE(
    FILTER(
      $O$2:O189,
      $A$2:A189 &gt;= A189 - 30,
      $A$2:A189 &lt;= A189,
      $O$2:O189 &gt; 0
    )
  ),
"""")"),2.05563001080919)</f>
        <v>2.0556300108091898</v>
      </c>
      <c r="S189" s="14"/>
    </row>
    <row r="190" spans="1:19" ht="15.75" customHeight="1" x14ac:dyDescent="0.25">
      <c r="A190" s="9">
        <v>46089</v>
      </c>
      <c r="B190" s="10">
        <v>5098</v>
      </c>
      <c r="C190" s="10">
        <v>83</v>
      </c>
      <c r="D190" s="10">
        <f t="shared" si="0"/>
        <v>5181</v>
      </c>
      <c r="E190" s="11">
        <f t="shared" si="1"/>
        <v>1.6020073344914108</v>
      </c>
      <c r="F190" s="12"/>
      <c r="G190" s="10">
        <v>4735</v>
      </c>
      <c r="H190" s="10">
        <v>106</v>
      </c>
      <c r="I190" s="10">
        <f t="shared" si="2"/>
        <v>4841</v>
      </c>
      <c r="J190" s="11">
        <f t="shared" si="3"/>
        <v>2.1896302416856024</v>
      </c>
      <c r="K190" s="12"/>
      <c r="L190" s="10">
        <f t="shared" ref="L190:M190" si="195">B190+G190</f>
        <v>9833</v>
      </c>
      <c r="M190" s="10">
        <f t="shared" si="195"/>
        <v>189</v>
      </c>
      <c r="N190" s="10">
        <f t="shared" si="5"/>
        <v>10022</v>
      </c>
      <c r="O190" s="11">
        <f t="shared" si="6"/>
        <v>1.8858511275194572</v>
      </c>
      <c r="P190" s="13">
        <v>1.8</v>
      </c>
      <c r="Q190" s="14">
        <f t="shared" si="7"/>
        <v>-8.5851127519457116E-2</v>
      </c>
      <c r="R190" s="14">
        <f ca="1">IFERROR(__xludf.DUMMYFUNCTION("IFERROR(
  AVERAGE(
    FILTER(
      $O$2:O190,
      $A$2:A190 &gt;= A190 - 30,
      $A$2:A190 &lt;= A190,
      $O$2:O190 &gt; 0
    )
  ),
"""")"),2.06233430638521)</f>
        <v>2.06233430638521</v>
      </c>
      <c r="S190" s="14"/>
    </row>
    <row r="191" spans="1:19" ht="15.75" customHeight="1" x14ac:dyDescent="0.25">
      <c r="A191" s="9">
        <v>46090</v>
      </c>
      <c r="B191" s="10">
        <v>5046</v>
      </c>
      <c r="C191" s="10">
        <v>177</v>
      </c>
      <c r="D191" s="10">
        <f t="shared" si="0"/>
        <v>5223</v>
      </c>
      <c r="E191" s="11">
        <f t="shared" si="1"/>
        <v>3.3888569787478464</v>
      </c>
      <c r="F191" s="12"/>
      <c r="G191" s="10">
        <v>5151</v>
      </c>
      <c r="H191" s="10">
        <v>120</v>
      </c>
      <c r="I191" s="10">
        <f t="shared" si="2"/>
        <v>5271</v>
      </c>
      <c r="J191" s="11">
        <f t="shared" si="3"/>
        <v>2.2766078542970973</v>
      </c>
      <c r="K191" s="12"/>
      <c r="L191" s="10">
        <f t="shared" ref="L191:M191" si="196">B191+G191</f>
        <v>10197</v>
      </c>
      <c r="M191" s="10">
        <f t="shared" si="196"/>
        <v>297</v>
      </c>
      <c r="N191" s="10">
        <f t="shared" si="5"/>
        <v>10494</v>
      </c>
      <c r="O191" s="11">
        <f t="shared" si="6"/>
        <v>2.8301886792452833</v>
      </c>
      <c r="P191" s="13">
        <v>1.8</v>
      </c>
      <c r="Q191" s="14">
        <f t="shared" si="7"/>
        <v>-1.0301886792452832</v>
      </c>
      <c r="R191" s="14">
        <f ca="1">IFERROR(__xludf.DUMMYFUNCTION("IFERROR(
  AVERAGE(
    FILTER(
      $O$2:O191,
      $A$2:A191 &gt;= A191 - 30,
      $A$2:A191 &lt;= A191,
      $O$2:O191 &gt; 0
    )
  ),
"""")"),2.098427182367)</f>
        <v>2.0984271823670002</v>
      </c>
      <c r="S191" s="14"/>
    </row>
    <row r="192" spans="1:19" ht="15.75" customHeight="1" x14ac:dyDescent="0.25">
      <c r="A192" s="9">
        <v>46091</v>
      </c>
      <c r="B192" s="10">
        <v>5124</v>
      </c>
      <c r="C192" s="10">
        <v>240</v>
      </c>
      <c r="D192" s="10">
        <f t="shared" si="0"/>
        <v>5364</v>
      </c>
      <c r="E192" s="11">
        <f t="shared" si="1"/>
        <v>4.4742729306487696</v>
      </c>
      <c r="F192" s="12"/>
      <c r="G192" s="10">
        <v>4592</v>
      </c>
      <c r="H192" s="10">
        <v>126</v>
      </c>
      <c r="I192" s="10">
        <f t="shared" si="2"/>
        <v>4718</v>
      </c>
      <c r="J192" s="11">
        <f t="shared" si="3"/>
        <v>2.6706231454005933</v>
      </c>
      <c r="K192" s="12"/>
      <c r="L192" s="10">
        <f t="shared" ref="L192:M192" si="197">B192+G192</f>
        <v>9716</v>
      </c>
      <c r="M192" s="10">
        <f t="shared" si="197"/>
        <v>366</v>
      </c>
      <c r="N192" s="10">
        <f t="shared" si="5"/>
        <v>10082</v>
      </c>
      <c r="O192" s="11">
        <f t="shared" si="6"/>
        <v>3.6302320968061896</v>
      </c>
      <c r="P192" s="13">
        <v>1.8</v>
      </c>
      <c r="Q192" s="14">
        <f t="shared" si="7"/>
        <v>-1.8302320968061896</v>
      </c>
      <c r="R192" s="14">
        <f ca="1">IFERROR(__xludf.DUMMYFUNCTION("IFERROR(
  AVERAGE(
    FILTER(
      $O$2:O192,
      $A$2:A192 &gt;= A192 - 30,
      $A$2:A192 &lt;= A192,
      $O$2:O192 &gt; 0
    )
  ),
"""")"),2.14955767417235)</f>
        <v>2.1495576741723501</v>
      </c>
      <c r="S192" s="14"/>
    </row>
    <row r="193" spans="1:19" ht="15.75" customHeight="1" x14ac:dyDescent="0.25">
      <c r="A193" s="9">
        <v>46092</v>
      </c>
      <c r="B193" s="10">
        <v>4924</v>
      </c>
      <c r="C193" s="10">
        <v>131</v>
      </c>
      <c r="D193" s="10">
        <f t="shared" si="0"/>
        <v>5055</v>
      </c>
      <c r="E193" s="11">
        <f t="shared" si="1"/>
        <v>2.5914935707220574</v>
      </c>
      <c r="F193" s="12"/>
      <c r="G193" s="10">
        <v>5543</v>
      </c>
      <c r="H193" s="10">
        <v>0</v>
      </c>
      <c r="I193" s="10">
        <f t="shared" si="2"/>
        <v>5543</v>
      </c>
      <c r="J193" s="11">
        <f t="shared" si="3"/>
        <v>0</v>
      </c>
      <c r="K193" s="12"/>
      <c r="L193" s="10">
        <f t="shared" ref="L193:M193" si="198">B193+G193</f>
        <v>10467</v>
      </c>
      <c r="M193" s="10">
        <f t="shared" si="198"/>
        <v>131</v>
      </c>
      <c r="N193" s="10">
        <f t="shared" si="5"/>
        <v>10598</v>
      </c>
      <c r="O193" s="11">
        <f t="shared" si="6"/>
        <v>1.2360822796754105</v>
      </c>
      <c r="P193" s="13">
        <v>1.8</v>
      </c>
      <c r="Q193" s="14">
        <f t="shared" si="7"/>
        <v>0.56391772032458953</v>
      </c>
      <c r="R193" s="14">
        <f ca="1">IFERROR(__xludf.DUMMYFUNCTION("IFERROR(
  AVERAGE(
    FILTER(
      $O$2:O193,
      $A$2:A193 &gt;= A193 - 30,
      $A$2:A193 &lt;= A193,
      $O$2:O193 &gt; 0
    )
  ),
"""")"),1.9730510637995)</f>
        <v>1.9730510637995</v>
      </c>
      <c r="S193" s="14"/>
    </row>
    <row r="194" spans="1:19" ht="15.75" customHeight="1" x14ac:dyDescent="0.25">
      <c r="A194" s="9">
        <v>46093</v>
      </c>
      <c r="B194" s="10">
        <v>5568</v>
      </c>
      <c r="C194" s="10">
        <v>104</v>
      </c>
      <c r="D194" s="10">
        <f t="shared" si="0"/>
        <v>5672</v>
      </c>
      <c r="E194" s="11">
        <f t="shared" si="1"/>
        <v>1.8335684062059239</v>
      </c>
      <c r="F194" s="12"/>
      <c r="G194" s="10">
        <v>5738</v>
      </c>
      <c r="H194" s="10">
        <v>131</v>
      </c>
      <c r="I194" s="10">
        <f t="shared" si="2"/>
        <v>5869</v>
      </c>
      <c r="J194" s="11">
        <f t="shared" si="3"/>
        <v>2.2320667916169707</v>
      </c>
      <c r="K194" s="12"/>
      <c r="L194" s="10">
        <f t="shared" ref="L194:M194" si="199">B194+G194</f>
        <v>11306</v>
      </c>
      <c r="M194" s="10">
        <f t="shared" si="199"/>
        <v>235</v>
      </c>
      <c r="N194" s="10">
        <f t="shared" si="5"/>
        <v>11541</v>
      </c>
      <c r="O194" s="11">
        <f t="shared" si="6"/>
        <v>2.0362186985529851</v>
      </c>
      <c r="P194" s="13">
        <v>1.8</v>
      </c>
      <c r="Q194" s="14">
        <f t="shared" si="7"/>
        <v>-0.23621869855298505</v>
      </c>
      <c r="R194" s="14">
        <f ca="1">IFERROR(__xludf.DUMMYFUNCTION("IFERROR(
  AVERAGE(
    FILTER(
      $O$2:O194,
      $A$2:A194 &gt;= A194 - 30,
      $A$2:A194 &lt;= A194,
      $O$2:O194 &gt; 0
    )
  ),
"""")"),1.95569913857282)</f>
        <v>1.95569913857282</v>
      </c>
      <c r="S194" s="14"/>
    </row>
    <row r="195" spans="1:19" ht="15.75" customHeight="1" x14ac:dyDescent="0.25">
      <c r="A195" s="9">
        <v>46094</v>
      </c>
      <c r="B195" s="10">
        <v>5504</v>
      </c>
      <c r="C195" s="10">
        <v>87</v>
      </c>
      <c r="D195" s="10">
        <f t="shared" si="0"/>
        <v>5591</v>
      </c>
      <c r="E195" s="11">
        <f t="shared" si="1"/>
        <v>1.5560722589876588</v>
      </c>
      <c r="F195" s="12"/>
      <c r="G195" s="10">
        <v>4021</v>
      </c>
      <c r="H195" s="10">
        <v>135</v>
      </c>
      <c r="I195" s="10">
        <f t="shared" si="2"/>
        <v>4156</v>
      </c>
      <c r="J195" s="11">
        <f t="shared" si="3"/>
        <v>3.2483156881616937</v>
      </c>
      <c r="K195" s="12"/>
      <c r="L195" s="10">
        <f t="shared" ref="L195:M195" si="200">B195+G195</f>
        <v>9525</v>
      </c>
      <c r="M195" s="10">
        <f t="shared" si="200"/>
        <v>222</v>
      </c>
      <c r="N195" s="10">
        <f t="shared" si="5"/>
        <v>9747</v>
      </c>
      <c r="O195" s="11">
        <f t="shared" si="6"/>
        <v>2.2776238842720837</v>
      </c>
      <c r="P195" s="13">
        <v>1.8</v>
      </c>
      <c r="Q195" s="14">
        <f t="shared" si="7"/>
        <v>-0.47762388427208369</v>
      </c>
      <c r="R195" s="14">
        <f ca="1">IFERROR(__xludf.DUMMYFUNCTION("IFERROR(
  AVERAGE(
    FILTER(
      $O$2:O195,
      $A$2:A195 &gt;= A195 - 30,
      $A$2:A195 &lt;= A195,
      $O$2:O195 &gt; 0
    )
  ),
"""")"),1.90979904141342)</f>
        <v>1.9097990414134201</v>
      </c>
      <c r="S195" s="14"/>
    </row>
    <row r="196" spans="1:19" ht="15.75" customHeight="1" x14ac:dyDescent="0.25">
      <c r="A196" s="9">
        <v>46095</v>
      </c>
      <c r="B196" s="10">
        <v>5262</v>
      </c>
      <c r="C196" s="10">
        <v>96</v>
      </c>
      <c r="D196" s="10">
        <f t="shared" si="0"/>
        <v>5358</v>
      </c>
      <c r="E196" s="11">
        <f t="shared" si="1"/>
        <v>1.7917133258678613</v>
      </c>
      <c r="F196" s="12"/>
      <c r="G196" s="10">
        <v>3816</v>
      </c>
      <c r="H196" s="10">
        <v>58</v>
      </c>
      <c r="I196" s="10">
        <f t="shared" si="2"/>
        <v>3874</v>
      </c>
      <c r="J196" s="11">
        <f t="shared" si="3"/>
        <v>1.4971605575632421</v>
      </c>
      <c r="K196" s="12"/>
      <c r="L196" s="10">
        <f t="shared" ref="L196:M196" si="201">B196+G196</f>
        <v>9078</v>
      </c>
      <c r="M196" s="10">
        <f t="shared" si="201"/>
        <v>154</v>
      </c>
      <c r="N196" s="10">
        <f t="shared" si="5"/>
        <v>9232</v>
      </c>
      <c r="O196" s="11">
        <f t="shared" si="6"/>
        <v>1.6681109185441942</v>
      </c>
      <c r="P196" s="13">
        <v>1.8</v>
      </c>
      <c r="Q196" s="14">
        <f t="shared" si="7"/>
        <v>0.1318890814558058</v>
      </c>
      <c r="R196" s="14">
        <f ca="1">IFERROR(__xludf.DUMMYFUNCTION("IFERROR(
  AVERAGE(
    FILTER(
      $O$2:O196,
      $A$2:A196 &gt;= A196 - 30,
      $A$2:A196 &lt;= A196,
      $O$2:O196 &gt; 0
    )
  ),
"""")"),1.91322988111048)</f>
        <v>1.91322988111048</v>
      </c>
      <c r="S196" s="14"/>
    </row>
    <row r="197" spans="1:19" ht="15.75" customHeight="1" x14ac:dyDescent="0.25">
      <c r="A197" s="9">
        <v>46096</v>
      </c>
      <c r="B197" s="10">
        <v>6546</v>
      </c>
      <c r="C197" s="10">
        <v>18</v>
      </c>
      <c r="D197" s="10">
        <f t="shared" si="0"/>
        <v>6564</v>
      </c>
      <c r="E197" s="11">
        <f t="shared" si="1"/>
        <v>0.27422303473491771</v>
      </c>
      <c r="F197" s="12"/>
      <c r="G197" s="10">
        <v>3608</v>
      </c>
      <c r="H197" s="10">
        <v>65</v>
      </c>
      <c r="I197" s="10">
        <f t="shared" si="2"/>
        <v>3673</v>
      </c>
      <c r="J197" s="11">
        <f t="shared" si="3"/>
        <v>1.7696705690171524</v>
      </c>
      <c r="K197" s="12"/>
      <c r="L197" s="10">
        <f t="shared" ref="L197:M197" si="202">B197+G197</f>
        <v>10154</v>
      </c>
      <c r="M197" s="10">
        <f t="shared" si="202"/>
        <v>83</v>
      </c>
      <c r="N197" s="10">
        <f t="shared" si="5"/>
        <v>10237</v>
      </c>
      <c r="O197" s="11">
        <f t="shared" si="6"/>
        <v>0.81078440949496922</v>
      </c>
      <c r="P197" s="13">
        <v>1.8</v>
      </c>
      <c r="Q197" s="14">
        <f t="shared" si="7"/>
        <v>0.98921559050503083</v>
      </c>
      <c r="R197" s="14">
        <f ca="1">IFERROR(__xludf.DUMMYFUNCTION("IFERROR(
  AVERAGE(
    FILTER(
      $O$2:O197,
      $A$2:A197 &gt;= A197 - 30,
      $A$2:A197 &lt;= A197,
      $O$2:O197 &gt; 0
    )
  ),
"""")"),1.87333790601216)</f>
        <v>1.87333790601216</v>
      </c>
      <c r="S197" s="14"/>
    </row>
    <row r="198" spans="1:19" ht="15.75" customHeight="1" x14ac:dyDescent="0.25">
      <c r="A198" s="9">
        <v>46097</v>
      </c>
      <c r="B198" s="10">
        <v>6116</v>
      </c>
      <c r="C198" s="10">
        <v>66</v>
      </c>
      <c r="D198" s="10">
        <f t="shared" si="0"/>
        <v>6182</v>
      </c>
      <c r="E198" s="11">
        <f t="shared" si="1"/>
        <v>1.0676156583629892</v>
      </c>
      <c r="F198" s="12"/>
      <c r="G198" s="10">
        <v>3316</v>
      </c>
      <c r="H198" s="10">
        <v>65</v>
      </c>
      <c r="I198" s="10">
        <f t="shared" si="2"/>
        <v>3381</v>
      </c>
      <c r="J198" s="11">
        <f t="shared" si="3"/>
        <v>1.9225081336882577</v>
      </c>
      <c r="K198" s="12"/>
      <c r="L198" s="10">
        <f t="shared" ref="L198:M198" si="203">B198+G198</f>
        <v>9432</v>
      </c>
      <c r="M198" s="10">
        <f t="shared" si="203"/>
        <v>131</v>
      </c>
      <c r="N198" s="10">
        <f t="shared" si="5"/>
        <v>9563</v>
      </c>
      <c r="O198" s="11">
        <f t="shared" si="6"/>
        <v>1.3698630136986303</v>
      </c>
      <c r="P198" s="13">
        <v>1.8</v>
      </c>
      <c r="Q198" s="14">
        <f t="shared" si="7"/>
        <v>0.43013698630136976</v>
      </c>
      <c r="R198" s="14">
        <f ca="1">IFERROR(__xludf.DUMMYFUNCTION("IFERROR(
  AVERAGE(
    FILTER(
      $O$2:O198,
      $A$2:A198 &gt;= A198 - 30,
      $A$2:A198 &lt;= A198,
      $O$2:O198 &gt; 0
    )
  ),
"""")"),1.89350033915705)</f>
        <v>1.89350033915705</v>
      </c>
      <c r="S198" s="14"/>
    </row>
    <row r="199" spans="1:19" ht="15.75" customHeight="1" x14ac:dyDescent="0.25">
      <c r="A199" s="9">
        <v>46098</v>
      </c>
      <c r="B199" s="10">
        <v>5392</v>
      </c>
      <c r="C199" s="10">
        <v>132</v>
      </c>
      <c r="D199" s="10">
        <f t="shared" si="0"/>
        <v>5524</v>
      </c>
      <c r="E199" s="11">
        <f t="shared" si="1"/>
        <v>2.3895727733526431</v>
      </c>
      <c r="F199" s="12"/>
      <c r="G199" s="10">
        <v>3884</v>
      </c>
      <c r="H199" s="10">
        <v>16</v>
      </c>
      <c r="I199" s="10">
        <f t="shared" si="2"/>
        <v>3900</v>
      </c>
      <c r="J199" s="11">
        <f t="shared" si="3"/>
        <v>0.41025641025641024</v>
      </c>
      <c r="K199" s="12"/>
      <c r="L199" s="10">
        <f t="shared" ref="L199:M199" si="204">B199+G199</f>
        <v>9276</v>
      </c>
      <c r="M199" s="10">
        <f t="shared" si="204"/>
        <v>148</v>
      </c>
      <c r="N199" s="10">
        <f t="shared" si="5"/>
        <v>9424</v>
      </c>
      <c r="O199" s="11">
        <f t="shared" si="6"/>
        <v>1.5704584040747029</v>
      </c>
      <c r="P199" s="13">
        <v>1.8</v>
      </c>
      <c r="Q199" s="14">
        <f t="shared" si="7"/>
        <v>0.2295415959252971</v>
      </c>
      <c r="R199" s="14">
        <f ca="1">IFERROR(__xludf.DUMMYFUNCTION("IFERROR(
  AVERAGE(
    FILTER(
      $O$2:O199,
      $A$2:A199 &gt;= A199 - 30,
      $A$2:A199 &lt;= A199,
      $O$2:O199 &gt; 0
    )
  ),
"""")"),1.88051140634906)</f>
        <v>1.88051140634906</v>
      </c>
      <c r="S199" s="14"/>
    </row>
    <row r="200" spans="1:19" ht="15.75" customHeight="1" x14ac:dyDescent="0.25">
      <c r="A200" s="9">
        <v>46099</v>
      </c>
      <c r="B200" s="10">
        <v>5012</v>
      </c>
      <c r="C200" s="10">
        <v>67</v>
      </c>
      <c r="D200" s="10">
        <f t="shared" si="0"/>
        <v>5079</v>
      </c>
      <c r="E200" s="11">
        <f t="shared" si="1"/>
        <v>1.3191573144319748</v>
      </c>
      <c r="F200" s="12"/>
      <c r="G200" s="10">
        <v>3586</v>
      </c>
      <c r="H200" s="10">
        <v>65</v>
      </c>
      <c r="I200" s="10">
        <f t="shared" si="2"/>
        <v>3651</v>
      </c>
      <c r="J200" s="11">
        <f t="shared" si="3"/>
        <v>1.7803341550260203</v>
      </c>
      <c r="K200" s="12"/>
      <c r="L200" s="10">
        <f t="shared" ref="L200:M200" si="205">B200+G200</f>
        <v>8598</v>
      </c>
      <c r="M200" s="10">
        <f t="shared" si="205"/>
        <v>132</v>
      </c>
      <c r="N200" s="10">
        <f t="shared" si="5"/>
        <v>8730</v>
      </c>
      <c r="O200" s="11">
        <f t="shared" si="6"/>
        <v>1.5120274914089347</v>
      </c>
      <c r="P200" s="13">
        <v>1.8</v>
      </c>
      <c r="Q200" s="14">
        <f t="shared" si="7"/>
        <v>0.28797250859106538</v>
      </c>
      <c r="R200" s="14">
        <f ca="1">IFERROR(__xludf.DUMMYFUNCTION("IFERROR(
  AVERAGE(
    FILTER(
      $O$2:O200,
      $A$2:A200 &gt;= A200 - 30,
      $A$2:A200 &lt;= A200,
      $O$2:O200 &gt; 0
    )
  ),
"""")"),1.82791375283102)</f>
        <v>1.8279137528310201</v>
      </c>
      <c r="S200" s="14"/>
    </row>
    <row r="201" spans="1:19" ht="15.75" customHeight="1" x14ac:dyDescent="0.25">
      <c r="A201" s="9">
        <v>46100</v>
      </c>
      <c r="B201" s="10">
        <v>5746</v>
      </c>
      <c r="C201" s="10">
        <v>90</v>
      </c>
      <c r="D201" s="10">
        <f t="shared" si="0"/>
        <v>5836</v>
      </c>
      <c r="E201" s="11">
        <f t="shared" si="1"/>
        <v>1.5421521590130227</v>
      </c>
      <c r="F201" s="12"/>
      <c r="G201" s="10">
        <v>3672</v>
      </c>
      <c r="H201" s="10">
        <v>19</v>
      </c>
      <c r="I201" s="10">
        <f t="shared" si="2"/>
        <v>3691</v>
      </c>
      <c r="J201" s="11">
        <f t="shared" si="3"/>
        <v>0.51476564616635068</v>
      </c>
      <c r="K201" s="12"/>
      <c r="L201" s="10">
        <f t="shared" ref="L201:M201" si="206">B201+G201</f>
        <v>9418</v>
      </c>
      <c r="M201" s="10">
        <f t="shared" si="206"/>
        <v>109</v>
      </c>
      <c r="N201" s="10">
        <f t="shared" si="5"/>
        <v>9527</v>
      </c>
      <c r="O201" s="11">
        <f t="shared" si="6"/>
        <v>1.144116720898499</v>
      </c>
      <c r="P201" s="13">
        <v>1.8</v>
      </c>
      <c r="Q201" s="14">
        <f t="shared" si="7"/>
        <v>0.65588327910150102</v>
      </c>
      <c r="R201" s="14">
        <f ca="1">IFERROR(__xludf.DUMMYFUNCTION("IFERROR(
  AVERAGE(
    FILTER(
      $O$2:O201,
      $A$2:A201 &gt;= A201 - 30,
      $A$2:A201 &lt;= A201,
      $O$2:O201 &gt; 0
    )
  ),
"""")"),1.80393383451325)</f>
        <v>1.8039338345132501</v>
      </c>
      <c r="S201" s="14"/>
    </row>
    <row r="202" spans="1:19" ht="15.75" customHeight="1" x14ac:dyDescent="0.25">
      <c r="A202" s="9">
        <v>46101</v>
      </c>
      <c r="B202" s="10">
        <v>5198</v>
      </c>
      <c r="C202" s="10">
        <v>105</v>
      </c>
      <c r="D202" s="10">
        <f t="shared" si="0"/>
        <v>5303</v>
      </c>
      <c r="E202" s="11">
        <f t="shared" si="1"/>
        <v>1.9800113143503677</v>
      </c>
      <c r="F202" s="12"/>
      <c r="G202" s="10">
        <v>3644</v>
      </c>
      <c r="H202" s="10">
        <v>37</v>
      </c>
      <c r="I202" s="10">
        <f t="shared" si="2"/>
        <v>3681</v>
      </c>
      <c r="J202" s="11">
        <f t="shared" si="3"/>
        <v>1.0051616408584623</v>
      </c>
      <c r="K202" s="12"/>
      <c r="L202" s="10">
        <f t="shared" ref="L202:M202" si="207">B202+G202</f>
        <v>8842</v>
      </c>
      <c r="M202" s="10">
        <f t="shared" si="207"/>
        <v>142</v>
      </c>
      <c r="N202" s="10">
        <f t="shared" si="5"/>
        <v>8984</v>
      </c>
      <c r="O202" s="11">
        <f t="shared" si="6"/>
        <v>1.5805877114870881</v>
      </c>
      <c r="P202" s="13">
        <v>1.8</v>
      </c>
      <c r="Q202" s="14">
        <f t="shared" si="7"/>
        <v>0.21941228851291195</v>
      </c>
      <c r="R202" s="14">
        <f ca="1">IFERROR(__xludf.DUMMYFUNCTION("IFERROR(
  AVERAGE(
    FILTER(
      $O$2:O202,
      $A$2:A202 &gt;= A202 - 30,
      $A$2:A202 &lt;= A202,
      $O$2:O202 &gt; 0
    )
  ),
"""")"),1.80852914325876)</f>
        <v>1.80852914325876</v>
      </c>
      <c r="S202" s="14"/>
    </row>
    <row r="203" spans="1:19" ht="15.75" customHeight="1" x14ac:dyDescent="0.25">
      <c r="A203" s="9">
        <v>46102</v>
      </c>
      <c r="B203" s="10">
        <v>7120</v>
      </c>
      <c r="C203" s="10">
        <v>150</v>
      </c>
      <c r="D203" s="10">
        <f t="shared" si="0"/>
        <v>7270</v>
      </c>
      <c r="E203" s="11">
        <f t="shared" si="1"/>
        <v>2.0632737276478679</v>
      </c>
      <c r="F203" s="12"/>
      <c r="G203" s="10">
        <v>3794</v>
      </c>
      <c r="H203" s="10">
        <v>32</v>
      </c>
      <c r="I203" s="10">
        <f t="shared" si="2"/>
        <v>3826</v>
      </c>
      <c r="J203" s="11">
        <f t="shared" si="3"/>
        <v>0.83638264506011506</v>
      </c>
      <c r="K203" s="12"/>
      <c r="L203" s="10">
        <f t="shared" ref="L203:M203" si="208">B203+G203</f>
        <v>10914</v>
      </c>
      <c r="M203" s="10">
        <f t="shared" si="208"/>
        <v>182</v>
      </c>
      <c r="N203" s="10">
        <f t="shared" si="5"/>
        <v>11096</v>
      </c>
      <c r="O203" s="11">
        <f t="shared" si="6"/>
        <v>1.6402307137707284</v>
      </c>
      <c r="P203" s="13">
        <v>1.8</v>
      </c>
      <c r="Q203" s="14">
        <f t="shared" si="7"/>
        <v>0.15976928622927167</v>
      </c>
      <c r="R203" s="14">
        <f ca="1">IFERROR(__xludf.DUMMYFUNCTION("IFERROR(
  AVERAGE(
    FILTER(
      $O$2:O203,
      $A$2:A203 &gt;= A203 - 30,
      $A$2:A203 &lt;= A203,
      $O$2:O203 &gt; 0
    )
  ),
"""")"),1.83227189505227)</f>
        <v>1.8322718950522701</v>
      </c>
      <c r="S203" s="14"/>
    </row>
    <row r="204" spans="1:19" ht="15.75" customHeight="1" x14ac:dyDescent="0.25">
      <c r="A204" s="9">
        <v>46103</v>
      </c>
      <c r="B204" s="10">
        <v>6136</v>
      </c>
      <c r="C204" s="10">
        <v>174</v>
      </c>
      <c r="D204" s="10">
        <f t="shared" si="0"/>
        <v>6310</v>
      </c>
      <c r="E204" s="11">
        <f t="shared" si="1"/>
        <v>2.7575277337559427</v>
      </c>
      <c r="F204" s="12"/>
      <c r="G204" s="10">
        <v>3854</v>
      </c>
      <c r="H204" s="10">
        <v>36</v>
      </c>
      <c r="I204" s="10">
        <f t="shared" si="2"/>
        <v>3890</v>
      </c>
      <c r="J204" s="11">
        <f t="shared" si="3"/>
        <v>0.92544987146529567</v>
      </c>
      <c r="K204" s="12"/>
      <c r="L204" s="10">
        <f t="shared" ref="L204:M204" si="209">B204+G204</f>
        <v>9990</v>
      </c>
      <c r="M204" s="10">
        <f t="shared" si="209"/>
        <v>210</v>
      </c>
      <c r="N204" s="10">
        <f t="shared" si="5"/>
        <v>10200</v>
      </c>
      <c r="O204" s="11">
        <f t="shared" si="6"/>
        <v>2.0588235294117645</v>
      </c>
      <c r="P204" s="13">
        <v>1.8</v>
      </c>
      <c r="Q204" s="14">
        <f t="shared" si="7"/>
        <v>-0.25882352941176445</v>
      </c>
      <c r="R204" s="14">
        <f ca="1">IFERROR(__xludf.DUMMYFUNCTION("IFERROR(
  AVERAGE(
    FILTER(
      $O$2:O204,
      $A$2:A204 &gt;= A204 - 30,
      $A$2:A204 &lt;= A204,
      $O$2:O204 &gt; 0
    )
  ),
"""")"),1.86549999896561)</f>
        <v>1.86549999896561</v>
      </c>
      <c r="S204" s="14"/>
    </row>
    <row r="205" spans="1:19" ht="15.75" customHeight="1" x14ac:dyDescent="0.25">
      <c r="A205" s="9">
        <v>46104</v>
      </c>
      <c r="B205" s="10">
        <v>4902</v>
      </c>
      <c r="C205" s="10">
        <v>129</v>
      </c>
      <c r="D205" s="10">
        <f t="shared" si="0"/>
        <v>5031</v>
      </c>
      <c r="E205" s="11">
        <f t="shared" si="1"/>
        <v>2.5641025641025639</v>
      </c>
      <c r="F205" s="12"/>
      <c r="G205" s="10">
        <v>4114</v>
      </c>
      <c r="H205" s="10">
        <v>84</v>
      </c>
      <c r="I205" s="10">
        <f t="shared" si="2"/>
        <v>4198</v>
      </c>
      <c r="J205" s="11">
        <f t="shared" si="3"/>
        <v>2.0009528346831824</v>
      </c>
      <c r="K205" s="12"/>
      <c r="L205" s="10">
        <f t="shared" ref="L205:M205" si="210">B205+G205</f>
        <v>9016</v>
      </c>
      <c r="M205" s="10">
        <f t="shared" si="210"/>
        <v>213</v>
      </c>
      <c r="N205" s="10">
        <f t="shared" si="5"/>
        <v>9229</v>
      </c>
      <c r="O205" s="11">
        <f t="shared" si="6"/>
        <v>2.30794235561816</v>
      </c>
      <c r="P205" s="13">
        <v>1.8</v>
      </c>
      <c r="Q205" s="14">
        <f t="shared" si="7"/>
        <v>-0.50794235561815992</v>
      </c>
      <c r="R205" s="14">
        <f ca="1">IFERROR(__xludf.DUMMYFUNCTION("IFERROR(
  AVERAGE(
    FILTER(
      $O$2:O205,
      $A$2:A205 &gt;= A205 - 30,
      $A$2:A205 &lt;= A205,
      $O$2:O205 &gt; 0
    )
  ),
"""")"),1.82426423846464)</f>
        <v>1.8242642384646399</v>
      </c>
      <c r="S205" s="14"/>
    </row>
    <row r="206" spans="1:19" ht="15.75" customHeight="1" x14ac:dyDescent="0.25">
      <c r="A206" s="9">
        <v>46105</v>
      </c>
      <c r="B206" s="10">
        <v>2894</v>
      </c>
      <c r="C206" s="10">
        <v>55</v>
      </c>
      <c r="D206" s="10">
        <f t="shared" si="0"/>
        <v>2949</v>
      </c>
      <c r="E206" s="11">
        <f t="shared" si="1"/>
        <v>1.8650389962699221</v>
      </c>
      <c r="F206" s="12"/>
      <c r="G206" s="10">
        <v>5592</v>
      </c>
      <c r="H206" s="10">
        <v>40</v>
      </c>
      <c r="I206" s="10">
        <f t="shared" si="2"/>
        <v>5632</v>
      </c>
      <c r="J206" s="11">
        <f t="shared" si="3"/>
        <v>0.71022727272727271</v>
      </c>
      <c r="K206" s="12"/>
      <c r="L206" s="10">
        <f t="shared" ref="L206:M206" si="211">B206+G206</f>
        <v>8486</v>
      </c>
      <c r="M206" s="10">
        <f t="shared" si="211"/>
        <v>95</v>
      </c>
      <c r="N206" s="10">
        <f t="shared" si="5"/>
        <v>8581</v>
      </c>
      <c r="O206" s="11">
        <f t="shared" si="6"/>
        <v>1.1070970749329914</v>
      </c>
      <c r="P206" s="13">
        <v>1.8</v>
      </c>
      <c r="Q206" s="14">
        <f t="shared" si="7"/>
        <v>0.69290292506700868</v>
      </c>
      <c r="R206" s="14">
        <f ca="1">IFERROR(__xludf.DUMMYFUNCTION("IFERROR(
  AVERAGE(
    FILTER(
      $O$2:O206,
      $A$2:A206 &gt;= A206 - 30,
      $A$2:A206 &lt;= A206,
      $O$2:O206 &gt; 0
    )
  ),
"""")"),1.74585406673435)</f>
        <v>1.7458540667343501</v>
      </c>
      <c r="S206" s="14"/>
    </row>
    <row r="207" spans="1:19" ht="15.75" customHeight="1" x14ac:dyDescent="0.25">
      <c r="A207" s="9">
        <v>46106</v>
      </c>
      <c r="B207" s="10">
        <v>2670</v>
      </c>
      <c r="C207" s="10">
        <v>80</v>
      </c>
      <c r="D207" s="10">
        <f t="shared" si="0"/>
        <v>2750</v>
      </c>
      <c r="E207" s="11">
        <f t="shared" si="1"/>
        <v>2.9090909090909092</v>
      </c>
      <c r="F207" s="12"/>
      <c r="G207" s="10">
        <v>4716</v>
      </c>
      <c r="H207" s="10">
        <v>53</v>
      </c>
      <c r="I207" s="10">
        <f t="shared" si="2"/>
        <v>4769</v>
      </c>
      <c r="J207" s="11">
        <f t="shared" si="3"/>
        <v>1.1113440972950304</v>
      </c>
      <c r="K207" s="12"/>
      <c r="L207" s="10">
        <f t="shared" ref="L207:M207" si="212">B207+G207</f>
        <v>7386</v>
      </c>
      <c r="M207" s="10">
        <f t="shared" si="212"/>
        <v>133</v>
      </c>
      <c r="N207" s="10">
        <f t="shared" si="5"/>
        <v>7519</v>
      </c>
      <c r="O207" s="11">
        <f t="shared" si="6"/>
        <v>1.7688522409894933</v>
      </c>
      <c r="P207" s="13">
        <v>1.8</v>
      </c>
      <c r="Q207" s="14">
        <f t="shared" si="7"/>
        <v>3.1147759010506704E-2</v>
      </c>
      <c r="R207" s="14">
        <f ca="1">IFERROR(__xludf.DUMMYFUNCTION("IFERROR(
  AVERAGE(
    FILTER(
      $O$2:O207,
      $A$2:A207 &gt;= A207 - 30,
      $A$2:A207 &lt;= A207,
      $O$2:O207 &gt; 0
    )
  ),
"""")"),1.76763905426614)</f>
        <v>1.76763905426614</v>
      </c>
      <c r="S207" s="14"/>
    </row>
    <row r="208" spans="1:19" ht="15.75" customHeight="1" x14ac:dyDescent="0.25">
      <c r="A208" s="9">
        <v>46107</v>
      </c>
      <c r="B208" s="10">
        <v>3476</v>
      </c>
      <c r="C208" s="10">
        <v>40</v>
      </c>
      <c r="D208" s="10">
        <f t="shared" si="0"/>
        <v>3516</v>
      </c>
      <c r="E208" s="11">
        <f t="shared" si="1"/>
        <v>1.137656427758817</v>
      </c>
      <c r="F208" s="12"/>
      <c r="G208" s="10">
        <v>5789</v>
      </c>
      <c r="H208" s="10">
        <v>68</v>
      </c>
      <c r="I208" s="10">
        <f t="shared" si="2"/>
        <v>5857</v>
      </c>
      <c r="J208" s="11">
        <f t="shared" si="3"/>
        <v>1.1610039269250469</v>
      </c>
      <c r="K208" s="12"/>
      <c r="L208" s="10">
        <f t="shared" ref="L208:M208" si="213">B208+G208</f>
        <v>9265</v>
      </c>
      <c r="M208" s="10">
        <f t="shared" si="213"/>
        <v>108</v>
      </c>
      <c r="N208" s="10">
        <f t="shared" si="5"/>
        <v>9373</v>
      </c>
      <c r="O208" s="11">
        <f t="shared" si="6"/>
        <v>1.1522458124399872</v>
      </c>
      <c r="P208" s="13">
        <v>1.8</v>
      </c>
      <c r="Q208" s="14">
        <f t="shared" si="7"/>
        <v>0.6477541875600128</v>
      </c>
      <c r="R208" s="14">
        <f ca="1">IFERROR(__xludf.DUMMYFUNCTION("IFERROR(
  AVERAGE(
    FILTER(
      $O$2:O208,
      $A$2:A208 &gt;= A208 - 30,
      $A$2:A208 &lt;= A208,
      $O$2:O208 &gt; 0
    )
  ),
"""")"),1.77025131385835)</f>
        <v>1.77025131385835</v>
      </c>
      <c r="S208" s="14"/>
    </row>
    <row r="209" spans="1:19" ht="15.75" customHeight="1" x14ac:dyDescent="0.25">
      <c r="A209" s="9">
        <v>46108</v>
      </c>
      <c r="B209" s="10">
        <v>3550</v>
      </c>
      <c r="C209" s="10">
        <v>50</v>
      </c>
      <c r="D209" s="10">
        <f t="shared" si="0"/>
        <v>3600</v>
      </c>
      <c r="E209" s="11">
        <f t="shared" si="1"/>
        <v>1.3888888888888888</v>
      </c>
      <c r="F209" s="12"/>
      <c r="G209" s="10">
        <v>5376</v>
      </c>
      <c r="H209" s="10">
        <v>85</v>
      </c>
      <c r="I209" s="10">
        <f t="shared" si="2"/>
        <v>5461</v>
      </c>
      <c r="J209" s="11">
        <f t="shared" si="3"/>
        <v>1.5564914850759934</v>
      </c>
      <c r="K209" s="12"/>
      <c r="L209" s="10">
        <f t="shared" ref="L209:M209" si="214">B209+G209</f>
        <v>8926</v>
      </c>
      <c r="M209" s="10">
        <f t="shared" si="214"/>
        <v>135</v>
      </c>
      <c r="N209" s="10">
        <f t="shared" si="5"/>
        <v>9061</v>
      </c>
      <c r="O209" s="11">
        <f t="shared" si="6"/>
        <v>1.4899017768458227</v>
      </c>
      <c r="P209" s="13">
        <v>1.8</v>
      </c>
      <c r="Q209" s="14">
        <f t="shared" si="7"/>
        <v>0.31009822315417734</v>
      </c>
      <c r="R209" s="14">
        <f ca="1">IFERROR(__xludf.DUMMYFUNCTION("IFERROR(
  AVERAGE(
    FILTER(
      $O$2:O209,
      $A$2:A209 &gt;= A209 - 30,
      $A$2:A209 &lt;= A209,
      $O$2:O209 &gt; 0
    )
  ),
"""")"),1.79171268536394)</f>
        <v>1.79171268536394</v>
      </c>
      <c r="S209" s="14"/>
    </row>
    <row r="210" spans="1:19" ht="15.75" customHeight="1" x14ac:dyDescent="0.25">
      <c r="A210" s="9">
        <v>46109</v>
      </c>
      <c r="B210" s="10">
        <v>2710</v>
      </c>
      <c r="C210" s="10">
        <v>30</v>
      </c>
      <c r="D210" s="10">
        <f t="shared" si="0"/>
        <v>2740</v>
      </c>
      <c r="E210" s="11">
        <f t="shared" si="1"/>
        <v>1.0948905109489051</v>
      </c>
      <c r="F210" s="12"/>
      <c r="G210" s="10">
        <v>5755</v>
      </c>
      <c r="H210" s="10">
        <v>2</v>
      </c>
      <c r="I210" s="10">
        <f t="shared" si="2"/>
        <v>5757</v>
      </c>
      <c r="J210" s="11">
        <f t="shared" si="3"/>
        <v>3.4740316136876843E-2</v>
      </c>
      <c r="K210" s="12"/>
      <c r="L210" s="10">
        <f t="shared" ref="L210:M210" si="215">B210+G210</f>
        <v>8465</v>
      </c>
      <c r="M210" s="10">
        <f t="shared" si="215"/>
        <v>32</v>
      </c>
      <c r="N210" s="10">
        <f t="shared" si="5"/>
        <v>8497</v>
      </c>
      <c r="O210" s="11">
        <f t="shared" si="6"/>
        <v>0.37660350712016005</v>
      </c>
      <c r="P210" s="13">
        <v>1.8</v>
      </c>
      <c r="Q210" s="14">
        <f t="shared" si="7"/>
        <v>1.4233964928798399</v>
      </c>
      <c r="R210" s="14">
        <f ca="1">IFERROR(__xludf.DUMMYFUNCTION("IFERROR(
  AVERAGE(
    FILTER(
      $O$2:O210,
      $A$2:A210 &gt;= A210 - 30,
      $A$2:A210 &lt;= A210,
      $O$2:O210 &gt; 0
    )
  ),
"""")"),1.75482020913329)</f>
        <v>1.7548202091332901</v>
      </c>
      <c r="S210" s="14"/>
    </row>
    <row r="211" spans="1:19" ht="15.75" customHeight="1" x14ac:dyDescent="0.25">
      <c r="A211" s="9">
        <v>46110</v>
      </c>
      <c r="B211" s="10">
        <v>2972</v>
      </c>
      <c r="C211" s="10">
        <v>73</v>
      </c>
      <c r="D211" s="10">
        <f t="shared" si="0"/>
        <v>3045</v>
      </c>
      <c r="E211" s="11">
        <f t="shared" si="1"/>
        <v>2.3973727422003286</v>
      </c>
      <c r="F211" s="12"/>
      <c r="G211" s="10">
        <v>4786</v>
      </c>
      <c r="H211" s="10">
        <v>53</v>
      </c>
      <c r="I211" s="10">
        <f t="shared" si="2"/>
        <v>4839</v>
      </c>
      <c r="J211" s="11">
        <f t="shared" si="3"/>
        <v>1.0952676172762967</v>
      </c>
      <c r="K211" s="12"/>
      <c r="L211" s="10">
        <f t="shared" ref="L211:M211" si="216">B211+G211</f>
        <v>7758</v>
      </c>
      <c r="M211" s="10">
        <f t="shared" si="216"/>
        <v>126</v>
      </c>
      <c r="N211" s="10">
        <f t="shared" si="5"/>
        <v>7884</v>
      </c>
      <c r="O211" s="11">
        <f t="shared" si="6"/>
        <v>1.5981735159817352</v>
      </c>
      <c r="P211" s="13">
        <v>1.8</v>
      </c>
      <c r="Q211" s="14">
        <f t="shared" si="7"/>
        <v>0.20182648401826486</v>
      </c>
      <c r="R211" s="14">
        <f ca="1">IFERROR(__xludf.DUMMYFUNCTION("IFERROR(
  AVERAGE(
    FILTER(
      $O$2:O211,
      $A$2:A211 &gt;= A211 - 30,
      $A$2:A211 &lt;= A211,
      $O$2:O211 &gt; 0
    )
  ),
"""")"),1.75922706619427)</f>
        <v>1.7592270661942699</v>
      </c>
      <c r="S211" s="14"/>
    </row>
    <row r="212" spans="1:19" ht="15.75" customHeight="1" x14ac:dyDescent="0.25">
      <c r="A212" s="9">
        <v>46111</v>
      </c>
      <c r="B212" s="10">
        <v>3442</v>
      </c>
      <c r="C212" s="10">
        <v>48</v>
      </c>
      <c r="D212" s="10">
        <f t="shared" si="0"/>
        <v>3490</v>
      </c>
      <c r="E212" s="11">
        <f t="shared" si="1"/>
        <v>1.3753581661891119</v>
      </c>
      <c r="F212" s="12"/>
      <c r="G212" s="10">
        <v>5168</v>
      </c>
      <c r="H212" s="10">
        <v>166</v>
      </c>
      <c r="I212" s="10">
        <f t="shared" si="2"/>
        <v>5334</v>
      </c>
      <c r="J212" s="11">
        <f t="shared" si="3"/>
        <v>3.112110986126734</v>
      </c>
      <c r="K212" s="12"/>
      <c r="L212" s="10">
        <f t="shared" ref="L212:M212" si="217">B212+G212</f>
        <v>8610</v>
      </c>
      <c r="M212" s="10">
        <f t="shared" si="217"/>
        <v>214</v>
      </c>
      <c r="N212" s="10">
        <f t="shared" si="5"/>
        <v>8824</v>
      </c>
      <c r="O212" s="11">
        <f t="shared" si="6"/>
        <v>2.4252039891205803</v>
      </c>
      <c r="P212" s="13">
        <v>1.8</v>
      </c>
      <c r="Q212" s="14">
        <f t="shared" si="7"/>
        <v>-0.62520398912058028</v>
      </c>
      <c r="R212" s="14">
        <f ca="1">IFERROR(__xludf.DUMMYFUNCTION("IFERROR(
  AVERAGE(
    FILTER(
      $O$2:O212,
      $A$2:A212 &gt;= A212 - 30,
      $A$2:A212 &lt;= A212,
      $O$2:O212 &gt; 0
    )
  ),
"""")"),1.79207814946268)</f>
        <v>1.7920781494626801</v>
      </c>
      <c r="S212" s="14"/>
    </row>
    <row r="213" spans="1:19" ht="15.75" customHeight="1" x14ac:dyDescent="0.25">
      <c r="A213" s="9">
        <v>46112</v>
      </c>
      <c r="B213" s="10">
        <v>2666</v>
      </c>
      <c r="C213" s="10">
        <v>20</v>
      </c>
      <c r="D213" s="10">
        <f t="shared" si="0"/>
        <v>2686</v>
      </c>
      <c r="E213" s="11">
        <f t="shared" si="1"/>
        <v>0.74460163812360391</v>
      </c>
      <c r="F213" s="12"/>
      <c r="G213" s="10">
        <v>5180</v>
      </c>
      <c r="H213" s="10">
        <v>25</v>
      </c>
      <c r="I213" s="10">
        <f t="shared" si="2"/>
        <v>5205</v>
      </c>
      <c r="J213" s="11">
        <f t="shared" si="3"/>
        <v>0.48030739673390971</v>
      </c>
      <c r="K213" s="12"/>
      <c r="L213" s="10">
        <f t="shared" ref="L213:M213" si="218">B213+G213</f>
        <v>7846</v>
      </c>
      <c r="M213" s="10">
        <f t="shared" si="218"/>
        <v>45</v>
      </c>
      <c r="N213" s="10">
        <f t="shared" si="5"/>
        <v>7891</v>
      </c>
      <c r="O213" s="11">
        <f t="shared" si="6"/>
        <v>0.5702699277658092</v>
      </c>
      <c r="P213" s="13">
        <v>1.8</v>
      </c>
      <c r="Q213" s="14">
        <f t="shared" si="7"/>
        <v>1.2297300722341908</v>
      </c>
      <c r="R213" s="14">
        <f ca="1">IFERROR(__xludf.DUMMYFUNCTION("IFERROR(
  AVERAGE(
    FILTER(
      $O$2:O213,
      $A$2:A213 &gt;= A213 - 30,
      $A$2:A213 &lt;= A213,
      $O$2:O213 &gt; 0
    )
  ),
"""")"),1.72170499003391)</f>
        <v>1.7217049900339101</v>
      </c>
      <c r="S213" s="14"/>
    </row>
    <row r="214" spans="1:19" ht="15.75" customHeight="1" x14ac:dyDescent="0.25">
      <c r="A214" s="9">
        <v>46113</v>
      </c>
      <c r="B214" s="10">
        <v>4618</v>
      </c>
      <c r="C214" s="10">
        <v>26</v>
      </c>
      <c r="D214" s="10">
        <f t="shared" si="0"/>
        <v>4644</v>
      </c>
      <c r="E214" s="11">
        <f t="shared" si="1"/>
        <v>0.55986218776916452</v>
      </c>
      <c r="F214" s="12"/>
      <c r="G214" s="10">
        <v>5731</v>
      </c>
      <c r="H214" s="10">
        <v>90</v>
      </c>
      <c r="I214" s="10">
        <f t="shared" si="2"/>
        <v>5821</v>
      </c>
      <c r="J214" s="11">
        <f t="shared" si="3"/>
        <v>1.5461260951726508</v>
      </c>
      <c r="K214" s="12"/>
      <c r="L214" s="10">
        <f t="shared" ref="L214:M214" si="219">B214+G214</f>
        <v>10349</v>
      </c>
      <c r="M214" s="10">
        <f t="shared" si="219"/>
        <v>116</v>
      </c>
      <c r="N214" s="10">
        <f t="shared" si="5"/>
        <v>10465</v>
      </c>
      <c r="O214" s="11">
        <f t="shared" si="6"/>
        <v>1.1084567606306737</v>
      </c>
      <c r="P214" s="13">
        <v>1.8</v>
      </c>
      <c r="Q214" s="14">
        <f t="shared" si="7"/>
        <v>0.69154323936932638</v>
      </c>
      <c r="R214" s="14">
        <f ca="1">IFERROR(__xludf.DUMMYFUNCTION("IFERROR(
  AVERAGE(
    FILTER(
      $O$2:O214,
      $A$2:A214 &gt;= A214 - 30,
      $A$2:A214 &lt;= A214,
      $O$2:O214 &gt; 0
    )
  ),
"""")"),1.72378816704852)</f>
        <v>1.72378816704852</v>
      </c>
      <c r="S214" s="14"/>
    </row>
    <row r="215" spans="1:19" ht="15.75" customHeight="1" x14ac:dyDescent="0.25">
      <c r="A215" s="9">
        <v>46114</v>
      </c>
      <c r="B215" s="10">
        <v>1340</v>
      </c>
      <c r="C215" s="10">
        <v>0</v>
      </c>
      <c r="D215" s="10">
        <f t="shared" si="0"/>
        <v>1340</v>
      </c>
      <c r="E215" s="11">
        <f t="shared" si="1"/>
        <v>0</v>
      </c>
      <c r="F215" s="12"/>
      <c r="G215" s="10">
        <v>2629</v>
      </c>
      <c r="H215" s="10">
        <v>190</v>
      </c>
      <c r="I215" s="10">
        <f t="shared" si="2"/>
        <v>2819</v>
      </c>
      <c r="J215" s="11">
        <f t="shared" si="3"/>
        <v>6.7399787158566866</v>
      </c>
      <c r="K215" s="12"/>
      <c r="L215" s="10">
        <f t="shared" ref="L215:M215" si="220">B215+G215</f>
        <v>3969</v>
      </c>
      <c r="M215" s="10">
        <f t="shared" si="220"/>
        <v>190</v>
      </c>
      <c r="N215" s="10">
        <f t="shared" si="5"/>
        <v>4159</v>
      </c>
      <c r="O215" s="11">
        <f t="shared" si="6"/>
        <v>4.5684058667949019</v>
      </c>
      <c r="P215" s="13">
        <v>1.8</v>
      </c>
      <c r="Q215" s="14">
        <f t="shared" si="7"/>
        <v>-2.7684058667949021</v>
      </c>
      <c r="R215" s="14">
        <f ca="1">IFERROR(__xludf.DUMMYFUNCTION("IFERROR(
  AVERAGE(
    FILTER(
      $O$2:O215,
      $A$2:A215 &gt;= A215 - 30,
      $A$2:A215 &lt;= A215,
      $O$2:O215 &gt; 0
    )
  ),
"""")"),1.75179109382485)</f>
        <v>1.75179109382485</v>
      </c>
      <c r="S215" s="14"/>
    </row>
    <row r="216" spans="1:19" ht="15.75" customHeight="1" x14ac:dyDescent="0.25">
      <c r="A216" s="9">
        <v>46115</v>
      </c>
      <c r="B216" s="10">
        <v>0</v>
      </c>
      <c r="C216" s="10">
        <v>0</v>
      </c>
      <c r="D216" s="10">
        <f t="shared" si="0"/>
        <v>0</v>
      </c>
      <c r="E216" s="11" t="e">
        <f t="shared" si="1"/>
        <v>#DIV/0!</v>
      </c>
      <c r="F216" s="12"/>
      <c r="G216" s="10">
        <v>3672</v>
      </c>
      <c r="H216" s="10">
        <v>0</v>
      </c>
      <c r="I216" s="10">
        <f t="shared" si="2"/>
        <v>3672</v>
      </c>
      <c r="J216" s="11">
        <f t="shared" si="3"/>
        <v>0</v>
      </c>
      <c r="K216" s="12"/>
      <c r="L216" s="10">
        <f t="shared" ref="L216:M216" si="221">B216+G216</f>
        <v>3672</v>
      </c>
      <c r="M216" s="10">
        <f t="shared" si="221"/>
        <v>0</v>
      </c>
      <c r="N216" s="10">
        <f t="shared" si="5"/>
        <v>3672</v>
      </c>
      <c r="O216" s="11">
        <f t="shared" si="6"/>
        <v>0</v>
      </c>
      <c r="P216" s="13">
        <v>1.8</v>
      </c>
      <c r="Q216" s="14">
        <f t="shared" si="7"/>
        <v>1.8</v>
      </c>
      <c r="R216" s="14">
        <f ca="1">IFERROR(__xludf.DUMMYFUNCTION("IFERROR(
  AVERAGE(
    FILTER(
      $O$2:O216,
      $A$2:A216 &gt;= A216 - 30,
      $A$2:A216 &lt;= A216,
      $O$2:O216 &gt; 0
    )
  ),
"""")"),1.7688909486964)</f>
        <v>1.7688909486964</v>
      </c>
      <c r="S216" s="14"/>
    </row>
    <row r="217" spans="1:19" ht="15.75" customHeight="1" x14ac:dyDescent="0.25">
      <c r="A217" s="9">
        <v>46116</v>
      </c>
      <c r="B217" s="10">
        <v>0</v>
      </c>
      <c r="C217" s="10">
        <v>0</v>
      </c>
      <c r="D217" s="10">
        <f t="shared" si="0"/>
        <v>0</v>
      </c>
      <c r="E217" s="11" t="e">
        <f t="shared" si="1"/>
        <v>#DIV/0!</v>
      </c>
      <c r="F217" s="12"/>
      <c r="G217" s="10">
        <v>3352</v>
      </c>
      <c r="H217" s="10">
        <v>20</v>
      </c>
      <c r="I217" s="10">
        <f t="shared" si="2"/>
        <v>3372</v>
      </c>
      <c r="J217" s="11">
        <f t="shared" si="3"/>
        <v>0.59311981020166071</v>
      </c>
      <c r="K217" s="12"/>
      <c r="L217" s="10">
        <f t="shared" ref="L217:M217" si="222">B217+G217</f>
        <v>3352</v>
      </c>
      <c r="M217" s="10">
        <f t="shared" si="222"/>
        <v>20</v>
      </c>
      <c r="N217" s="10">
        <f t="shared" si="5"/>
        <v>3372</v>
      </c>
      <c r="O217" s="11">
        <f t="shared" si="6"/>
        <v>0.59311981020166071</v>
      </c>
      <c r="P217" s="13">
        <v>1.8</v>
      </c>
      <c r="Q217" s="14">
        <f t="shared" si="7"/>
        <v>1.2068801897983392</v>
      </c>
      <c r="R217" s="14">
        <f ca="1">IFERROR(__xludf.DUMMYFUNCTION("IFERROR(
  AVERAGE(
    FILTER(
      $O$2:O217,
      $A$2:A217 &gt;= A217 - 30,
      $A$2:A217 &lt;= A217,
      $O$2:O217 &gt; 0
    )
  ),
"""")"),1.75769645573714)</f>
        <v>1.75769645573714</v>
      </c>
      <c r="S217" s="14"/>
    </row>
    <row r="218" spans="1:19" ht="15.75" customHeight="1" x14ac:dyDescent="0.25">
      <c r="A218" s="9">
        <v>46117</v>
      </c>
      <c r="B218" s="10">
        <v>0</v>
      </c>
      <c r="C218" s="10">
        <v>0</v>
      </c>
      <c r="D218" s="10">
        <f t="shared" si="0"/>
        <v>0</v>
      </c>
      <c r="E218" s="11" t="e">
        <f t="shared" si="1"/>
        <v>#DIV/0!</v>
      </c>
      <c r="F218" s="12"/>
      <c r="G218" s="10">
        <v>4236</v>
      </c>
      <c r="H218" s="10">
        <v>40</v>
      </c>
      <c r="I218" s="10">
        <f t="shared" si="2"/>
        <v>4276</v>
      </c>
      <c r="J218" s="11">
        <f t="shared" si="3"/>
        <v>0.93545369504209541</v>
      </c>
      <c r="K218" s="12"/>
      <c r="L218" s="10">
        <f t="shared" ref="L218:M218" si="223">B218+G218</f>
        <v>4236</v>
      </c>
      <c r="M218" s="10">
        <f t="shared" si="223"/>
        <v>40</v>
      </c>
      <c r="N218" s="10">
        <f t="shared" si="5"/>
        <v>4276</v>
      </c>
      <c r="O218" s="11">
        <f t="shared" si="6"/>
        <v>0.93545369504209541</v>
      </c>
      <c r="P218" s="13">
        <v>1.8</v>
      </c>
      <c r="Q218" s="14">
        <f t="shared" si="7"/>
        <v>0.86454630495790463</v>
      </c>
      <c r="R218" s="14">
        <f ca="1">IFERROR(__xludf.DUMMYFUNCTION("IFERROR(
  AVERAGE(
    FILTER(
      $O$2:O218,
      $A$2:A218 &gt;= A218 - 30,
      $A$2:A218 &lt;= A218,
      $O$2:O218 &gt; 0
    )
  ),
"""")"),1.74881004437835)</f>
        <v>1.7488100443783501</v>
      </c>
      <c r="S218" s="14"/>
    </row>
    <row r="219" spans="1:19" ht="15.75" customHeight="1" x14ac:dyDescent="0.25">
      <c r="A219" s="9">
        <v>46118</v>
      </c>
      <c r="B219" s="10">
        <v>2598</v>
      </c>
      <c r="C219" s="10">
        <v>131</v>
      </c>
      <c r="D219" s="10">
        <f t="shared" si="0"/>
        <v>2729</v>
      </c>
      <c r="E219" s="11">
        <f t="shared" si="1"/>
        <v>4.8002931476731403</v>
      </c>
      <c r="F219" s="12"/>
      <c r="G219" s="10">
        <v>4052</v>
      </c>
      <c r="H219" s="10">
        <v>0</v>
      </c>
      <c r="I219" s="10">
        <f t="shared" si="2"/>
        <v>4052</v>
      </c>
      <c r="J219" s="11">
        <f t="shared" si="3"/>
        <v>0</v>
      </c>
      <c r="K219" s="12"/>
      <c r="L219" s="10">
        <f t="shared" ref="L219:M219" si="224">B219+G219</f>
        <v>6650</v>
      </c>
      <c r="M219" s="10">
        <f t="shared" si="224"/>
        <v>131</v>
      </c>
      <c r="N219" s="10">
        <f t="shared" si="5"/>
        <v>6781</v>
      </c>
      <c r="O219" s="11">
        <f t="shared" si="6"/>
        <v>1.9318684559799439</v>
      </c>
      <c r="P219" s="13">
        <v>1.8</v>
      </c>
      <c r="Q219" s="14">
        <f t="shared" si="7"/>
        <v>-0.1318684559799439</v>
      </c>
      <c r="R219" s="14">
        <f ca="1">IFERROR(__xludf.DUMMYFUNCTION("IFERROR(
  AVERAGE(
    FILTER(
      $O$2:O219,
      $A$2:A219 &gt;= A219 - 30,
      $A$2:A219 &lt;= A219,
      $O$2:O219 &gt; 0
    )
  ),
"""")"),1.6823076382687)</f>
        <v>1.6823076382686999</v>
      </c>
      <c r="S219" s="14"/>
    </row>
    <row r="220" spans="1:19" ht="15.75" customHeight="1" x14ac:dyDescent="0.25">
      <c r="A220" s="9">
        <v>46119</v>
      </c>
      <c r="B220" s="10">
        <v>5296</v>
      </c>
      <c r="C220" s="10">
        <v>272</v>
      </c>
      <c r="D220" s="10">
        <f t="shared" si="0"/>
        <v>5568</v>
      </c>
      <c r="E220" s="11">
        <f t="shared" si="1"/>
        <v>4.8850574712643677</v>
      </c>
      <c r="F220" s="12"/>
      <c r="G220" s="10">
        <v>3380</v>
      </c>
      <c r="H220" s="10">
        <v>16</v>
      </c>
      <c r="I220" s="10">
        <f t="shared" si="2"/>
        <v>3396</v>
      </c>
      <c r="J220" s="11">
        <f t="shared" si="3"/>
        <v>0.47114252061248524</v>
      </c>
      <c r="K220" s="12"/>
      <c r="L220" s="10">
        <f t="shared" ref="L220:M220" si="225">B220+G220</f>
        <v>8676</v>
      </c>
      <c r="M220" s="10">
        <f t="shared" si="225"/>
        <v>288</v>
      </c>
      <c r="N220" s="10">
        <f t="shared" si="5"/>
        <v>8964</v>
      </c>
      <c r="O220" s="11">
        <f t="shared" si="6"/>
        <v>3.2128514056224899</v>
      </c>
      <c r="P220" s="13">
        <v>1.8</v>
      </c>
      <c r="Q220" s="14">
        <f t="shared" si="7"/>
        <v>-1.4128514056224899</v>
      </c>
      <c r="R220" s="14">
        <f ca="1">IFERROR(__xludf.DUMMYFUNCTION("IFERROR(
  AVERAGE(
    FILTER(
      $O$2:O220,
      $A$2:A220 &gt;= A220 - 30,
      $A$2:A220 &lt;= A220,
      $O$2:O220 &gt; 0
    )
  ),
"""")"),1.74658819579824)</f>
        <v>1.7465881957982401</v>
      </c>
      <c r="S220" s="14"/>
    </row>
    <row r="221" spans="1:19" ht="15.75" customHeight="1" x14ac:dyDescent="0.25">
      <c r="A221" s="9">
        <v>46120</v>
      </c>
      <c r="B221" s="10">
        <v>4820</v>
      </c>
      <c r="C221" s="10">
        <v>127</v>
      </c>
      <c r="D221" s="10">
        <f t="shared" si="0"/>
        <v>4947</v>
      </c>
      <c r="E221" s="11">
        <f t="shared" si="1"/>
        <v>2.5672124519911059</v>
      </c>
      <c r="F221" s="12"/>
      <c r="G221" s="10">
        <v>4228</v>
      </c>
      <c r="H221" s="10">
        <v>16</v>
      </c>
      <c r="I221" s="10">
        <f t="shared" si="2"/>
        <v>4244</v>
      </c>
      <c r="J221" s="11">
        <f t="shared" si="3"/>
        <v>0.37700282752120645</v>
      </c>
      <c r="K221" s="12"/>
      <c r="L221" s="10">
        <f t="shared" ref="L221:M221" si="226">B221+G221</f>
        <v>9048</v>
      </c>
      <c r="M221" s="10">
        <f t="shared" si="226"/>
        <v>143</v>
      </c>
      <c r="N221" s="10">
        <f t="shared" si="5"/>
        <v>9191</v>
      </c>
      <c r="O221" s="11">
        <f t="shared" si="6"/>
        <v>1.5558698727015559</v>
      </c>
      <c r="P221" s="13">
        <v>1.8</v>
      </c>
      <c r="Q221" s="14">
        <f t="shared" si="7"/>
        <v>0.24413012729844419</v>
      </c>
      <c r="R221" s="14">
        <f ca="1">IFERROR(__xludf.DUMMYFUNCTION("IFERROR(
  AVERAGE(
    FILTER(
      $O$2:O221,
      $A$2:A221 &gt;= A221 - 30,
      $A$2:A221 &lt;= A221,
      $O$2:O221 &gt; 0
    )
  ),
"""")"),1.73558882063765)</f>
        <v>1.73558882063765</v>
      </c>
      <c r="S221" s="14"/>
    </row>
    <row r="222" spans="1:19" ht="15.75" customHeight="1" x14ac:dyDescent="0.25">
      <c r="A222" s="9">
        <v>46121</v>
      </c>
      <c r="B222" s="10">
        <v>6030</v>
      </c>
      <c r="C222" s="10">
        <v>67</v>
      </c>
      <c r="D222" s="10">
        <f t="shared" si="0"/>
        <v>6097</v>
      </c>
      <c r="E222" s="11">
        <f t="shared" si="1"/>
        <v>1.098901098901099</v>
      </c>
      <c r="F222" s="12"/>
      <c r="G222" s="10">
        <v>3330</v>
      </c>
      <c r="H222" s="10">
        <v>45</v>
      </c>
      <c r="I222" s="10">
        <f t="shared" si="2"/>
        <v>3375</v>
      </c>
      <c r="J222" s="11">
        <f t="shared" si="3"/>
        <v>1.3333333333333333</v>
      </c>
      <c r="K222" s="12"/>
      <c r="L222" s="10">
        <f t="shared" ref="L222:M222" si="227">B222+G222</f>
        <v>9360</v>
      </c>
      <c r="M222" s="10">
        <f t="shared" si="227"/>
        <v>112</v>
      </c>
      <c r="N222" s="10">
        <f t="shared" si="5"/>
        <v>9472</v>
      </c>
      <c r="O222" s="11">
        <f t="shared" si="6"/>
        <v>1.1824324324324325</v>
      </c>
      <c r="P222" s="13">
        <v>1.8</v>
      </c>
      <c r="Q222" s="14">
        <f t="shared" si="7"/>
        <v>0.61756756756756759</v>
      </c>
      <c r="R222" s="14">
        <f ca="1">IFERROR(__xludf.DUMMYFUNCTION("IFERROR(
  AVERAGE(
    FILTER(
      $O$2:O222,
      $A$2:A222 &gt;= A222 - 30,
      $A$2:A222 &lt;= A222,
      $O$2:O222 &gt; 0
    )
  ),
"""")"),1.68066361241055)</f>
        <v>1.6806636124105501</v>
      </c>
      <c r="S222" s="14"/>
    </row>
    <row r="223" spans="1:19" ht="15.75" customHeight="1" x14ac:dyDescent="0.25">
      <c r="A223" s="9">
        <v>46122</v>
      </c>
      <c r="B223" s="10">
        <v>4848</v>
      </c>
      <c r="C223" s="10">
        <v>132</v>
      </c>
      <c r="D223" s="10">
        <f t="shared" si="0"/>
        <v>4980</v>
      </c>
      <c r="E223" s="11">
        <f t="shared" si="1"/>
        <v>2.6506024096385543</v>
      </c>
      <c r="F223" s="12"/>
      <c r="G223" s="10">
        <v>4628</v>
      </c>
      <c r="H223" s="10">
        <v>206</v>
      </c>
      <c r="I223" s="10">
        <f t="shared" si="2"/>
        <v>4834</v>
      </c>
      <c r="J223" s="11">
        <f t="shared" si="3"/>
        <v>4.261481175010343</v>
      </c>
      <c r="K223" s="12"/>
      <c r="L223" s="10">
        <f t="shared" ref="L223:M223" si="228">B223+G223</f>
        <v>9476</v>
      </c>
      <c r="M223" s="10">
        <f t="shared" si="228"/>
        <v>338</v>
      </c>
      <c r="N223" s="10">
        <f t="shared" si="5"/>
        <v>9814</v>
      </c>
      <c r="O223" s="11">
        <f t="shared" si="6"/>
        <v>3.4440595068269819</v>
      </c>
      <c r="P223" s="13">
        <v>1.8</v>
      </c>
      <c r="Q223" s="14">
        <f t="shared" si="7"/>
        <v>-1.6440595068269819</v>
      </c>
      <c r="R223" s="14">
        <f ca="1">IFERROR(__xludf.DUMMYFUNCTION("IFERROR(
  AVERAGE(
    FILTER(
      $O$2:O223,
      $A$2:A223 &gt;= A223 - 30,
      $A$2:A223 &lt;= A223,
      $O$2:O223 &gt; 0
    )
  ),
"""")"),1.67445785941124)</f>
        <v>1.67445785941124</v>
      </c>
      <c r="S223" s="14"/>
    </row>
    <row r="224" spans="1:19" ht="15.75" customHeight="1" x14ac:dyDescent="0.25">
      <c r="A224" s="9">
        <v>46123</v>
      </c>
      <c r="B224" s="10">
        <v>5340</v>
      </c>
      <c r="C224" s="10">
        <v>92</v>
      </c>
      <c r="D224" s="10">
        <f t="shared" si="0"/>
        <v>5432</v>
      </c>
      <c r="E224" s="11">
        <f t="shared" si="1"/>
        <v>1.6936671575846833</v>
      </c>
      <c r="F224" s="12"/>
      <c r="G224" s="10">
        <v>2002</v>
      </c>
      <c r="H224" s="10">
        <v>0</v>
      </c>
      <c r="I224" s="10">
        <f t="shared" si="2"/>
        <v>2002</v>
      </c>
      <c r="J224" s="11">
        <f t="shared" si="3"/>
        <v>0</v>
      </c>
      <c r="K224" s="12"/>
      <c r="L224" s="10">
        <f t="shared" ref="L224:M224" si="229">B224+G224</f>
        <v>7342</v>
      </c>
      <c r="M224" s="10">
        <f t="shared" si="229"/>
        <v>92</v>
      </c>
      <c r="N224" s="10">
        <f t="shared" si="5"/>
        <v>7434</v>
      </c>
      <c r="O224" s="11">
        <f t="shared" si="6"/>
        <v>1.2375571697605596</v>
      </c>
      <c r="P224" s="13">
        <v>1.8</v>
      </c>
      <c r="Q224" s="14">
        <f t="shared" si="7"/>
        <v>0.56244283023944042</v>
      </c>
      <c r="R224" s="14">
        <f ca="1">IFERROR(__xludf.DUMMYFUNCTION("IFERROR(
  AVERAGE(
    FILTER(
      $O$2:O224,
      $A$2:A224 &gt;= A224 - 30,
      $A$2:A224 &lt;= A224,
      $O$2:O224 &gt; 0
    )
  ),
"""")"),1.67450702241408)</f>
        <v>1.6745070224140799</v>
      </c>
      <c r="S224" s="14"/>
    </row>
    <row r="225" spans="1:19" ht="15.75" customHeight="1" x14ac:dyDescent="0.25">
      <c r="A225" s="9">
        <v>46124</v>
      </c>
      <c r="B225" s="10">
        <v>5340</v>
      </c>
      <c r="C225" s="10">
        <v>76</v>
      </c>
      <c r="D225" s="10">
        <f t="shared" si="0"/>
        <v>5416</v>
      </c>
      <c r="E225" s="11">
        <f t="shared" si="1"/>
        <v>1.4032496307237814</v>
      </c>
      <c r="F225" s="12"/>
      <c r="G225" s="10">
        <v>3241</v>
      </c>
      <c r="H225" s="10">
        <v>233</v>
      </c>
      <c r="I225" s="10">
        <f t="shared" si="2"/>
        <v>3474</v>
      </c>
      <c r="J225" s="11">
        <f t="shared" si="3"/>
        <v>6.7069660333909038</v>
      </c>
      <c r="K225" s="12"/>
      <c r="L225" s="10">
        <f t="shared" ref="L225:M225" si="230">B225+G225</f>
        <v>8581</v>
      </c>
      <c r="M225" s="10">
        <f t="shared" si="230"/>
        <v>309</v>
      </c>
      <c r="N225" s="10">
        <f t="shared" si="5"/>
        <v>8890</v>
      </c>
      <c r="O225" s="11">
        <f t="shared" si="6"/>
        <v>3.4758155230596173</v>
      </c>
      <c r="P225" s="13">
        <v>1.8</v>
      </c>
      <c r="Q225" s="14">
        <f t="shared" si="7"/>
        <v>-1.6758155230596172</v>
      </c>
      <c r="R225" s="14">
        <f ca="1">IFERROR(__xludf.DUMMYFUNCTION("IFERROR(
  AVERAGE(
    FILTER(
      $O$2:O225,
      $A$2:A225 &gt;= A225 - 30,
      $A$2:A225 &lt;= A225,
      $O$2:O225 &gt; 0
    )
  ),
"""")"),1.72249358323097)</f>
        <v>1.72249358323097</v>
      </c>
      <c r="S225" s="14"/>
    </row>
    <row r="226" spans="1:19" ht="15.75" customHeight="1" x14ac:dyDescent="0.25">
      <c r="A226" s="9">
        <v>46125</v>
      </c>
      <c r="B226" s="10">
        <v>5078</v>
      </c>
      <c r="C226" s="10">
        <v>83</v>
      </c>
      <c r="D226" s="10">
        <f t="shared" si="0"/>
        <v>5161</v>
      </c>
      <c r="E226" s="11">
        <f t="shared" si="1"/>
        <v>1.6082154621197442</v>
      </c>
      <c r="F226" s="12"/>
      <c r="G226" s="10">
        <v>4285</v>
      </c>
      <c r="H226" s="10">
        <v>36</v>
      </c>
      <c r="I226" s="10">
        <f t="shared" si="2"/>
        <v>4321</v>
      </c>
      <c r="J226" s="11">
        <f t="shared" si="3"/>
        <v>0.83314047674149505</v>
      </c>
      <c r="K226" s="12"/>
      <c r="L226" s="10">
        <f t="shared" ref="L226:M226" si="231">B226+G226</f>
        <v>9363</v>
      </c>
      <c r="M226" s="10">
        <f t="shared" si="231"/>
        <v>119</v>
      </c>
      <c r="N226" s="10">
        <f t="shared" si="5"/>
        <v>9482</v>
      </c>
      <c r="O226" s="11">
        <f t="shared" si="6"/>
        <v>1.2550094916684245</v>
      </c>
      <c r="P226" s="13">
        <v>1.8</v>
      </c>
      <c r="Q226" s="14">
        <f t="shared" si="7"/>
        <v>0.54499050833157558</v>
      </c>
      <c r="R226" s="14">
        <f ca="1">IFERROR(__xludf.DUMMYFUNCTION("IFERROR(
  AVERAGE(
    FILTER(
      $O$2:O226,
      $A$2:A226 &gt;= A226 - 30,
      $A$2:A226 &lt;= A226,
      $O$2:O226 &gt; 0
    )
  ),
"""")"),1.68840643681085)</f>
        <v>1.68840643681085</v>
      </c>
      <c r="S226" s="14"/>
    </row>
    <row r="227" spans="1:19" ht="15.75" customHeight="1" x14ac:dyDescent="0.25">
      <c r="A227" s="9">
        <v>46126</v>
      </c>
      <c r="B227" s="10">
        <v>5512</v>
      </c>
      <c r="C227" s="10">
        <v>209</v>
      </c>
      <c r="D227" s="10">
        <f t="shared" si="0"/>
        <v>5721</v>
      </c>
      <c r="E227" s="11">
        <f t="shared" si="1"/>
        <v>3.6532074812095785</v>
      </c>
      <c r="F227" s="12"/>
      <c r="G227" s="10">
        <v>6248</v>
      </c>
      <c r="H227" s="10">
        <v>163</v>
      </c>
      <c r="I227" s="10">
        <f t="shared" si="2"/>
        <v>6411</v>
      </c>
      <c r="J227" s="11">
        <f t="shared" si="3"/>
        <v>2.5425050694119484</v>
      </c>
      <c r="K227" s="12"/>
      <c r="L227" s="10">
        <f t="shared" ref="L227:M227" si="232">B227+G227</f>
        <v>11760</v>
      </c>
      <c r="M227" s="10">
        <f t="shared" si="232"/>
        <v>372</v>
      </c>
      <c r="N227" s="10">
        <f t="shared" si="5"/>
        <v>12132</v>
      </c>
      <c r="O227" s="11">
        <f t="shared" si="6"/>
        <v>3.066271018793274</v>
      </c>
      <c r="P227" s="13">
        <v>1.8</v>
      </c>
      <c r="Q227" s="14">
        <f t="shared" si="7"/>
        <v>-1.266271018793274</v>
      </c>
      <c r="R227" s="14">
        <f ca="1">IFERROR(__xludf.DUMMYFUNCTION("IFERROR(
  AVERAGE(
    FILTER(
      $O$2:O227,
      $A$2:A227 &gt;= A227 - 30,
      $A$2:A227 &lt;= A227,
      $O$2:O227 &gt; 0
    )
  ),
"""")"),1.73501177348582)</f>
        <v>1.7350117734858199</v>
      </c>
      <c r="S227" s="14"/>
    </row>
    <row r="228" spans="1:19" ht="15.75" customHeight="1" x14ac:dyDescent="0.25">
      <c r="A228" s="9">
        <v>46127</v>
      </c>
      <c r="B228" s="10">
        <v>4944</v>
      </c>
      <c r="C228" s="10">
        <v>233</v>
      </c>
      <c r="D228" s="10">
        <f t="shared" si="0"/>
        <v>5177</v>
      </c>
      <c r="E228" s="11">
        <f t="shared" si="1"/>
        <v>4.5006760672203976</v>
      </c>
      <c r="F228" s="12"/>
      <c r="G228" s="10">
        <v>5280</v>
      </c>
      <c r="H228" s="10">
        <v>40</v>
      </c>
      <c r="I228" s="10">
        <f t="shared" si="2"/>
        <v>5320</v>
      </c>
      <c r="J228" s="11">
        <f t="shared" si="3"/>
        <v>0.75187969924812026</v>
      </c>
      <c r="K228" s="12"/>
      <c r="L228" s="10">
        <f t="shared" ref="L228:M228" si="233">B228+G228</f>
        <v>10224</v>
      </c>
      <c r="M228" s="10">
        <f t="shared" si="233"/>
        <v>273</v>
      </c>
      <c r="N228" s="10">
        <f t="shared" si="5"/>
        <v>10497</v>
      </c>
      <c r="O228" s="11">
        <f t="shared" si="6"/>
        <v>2.6007430694484137</v>
      </c>
      <c r="P228" s="13">
        <v>1.8</v>
      </c>
      <c r="Q228" s="14">
        <f t="shared" si="7"/>
        <v>-0.80074306944841367</v>
      </c>
      <c r="R228" s="14">
        <f ca="1">IFERROR(__xludf.DUMMYFUNCTION("IFERROR(
  AVERAGE(
    FILTER(
      $O$2:O228,
      $A$2:A228 &gt;= A228 - 30,
      $A$2:A228 &lt;= A228,
      $O$2:O228 &gt; 0
    )
  ),
"""")"),1.79467706215093)</f>
        <v>1.79467706215093</v>
      </c>
      <c r="S228" s="14"/>
    </row>
    <row r="229" spans="1:19" ht="15.75" customHeight="1" x14ac:dyDescent="0.25">
      <c r="A229" s="9">
        <v>46128</v>
      </c>
      <c r="B229" s="10">
        <v>6188</v>
      </c>
      <c r="C229" s="10">
        <v>183</v>
      </c>
      <c r="D229" s="10">
        <f t="shared" si="0"/>
        <v>6371</v>
      </c>
      <c r="E229" s="11">
        <f t="shared" si="1"/>
        <v>2.872390519541673</v>
      </c>
      <c r="F229" s="12"/>
      <c r="G229" s="10">
        <v>5650</v>
      </c>
      <c r="H229" s="10">
        <v>82</v>
      </c>
      <c r="I229" s="10">
        <f t="shared" si="2"/>
        <v>5732</v>
      </c>
      <c r="J229" s="11">
        <f t="shared" si="3"/>
        <v>1.4305652477320308</v>
      </c>
      <c r="K229" s="12"/>
      <c r="L229" s="10">
        <f t="shared" ref="L229:M229" si="234">B229+G229</f>
        <v>11838</v>
      </c>
      <c r="M229" s="10">
        <f t="shared" si="234"/>
        <v>265</v>
      </c>
      <c r="N229" s="10">
        <f t="shared" si="5"/>
        <v>12103</v>
      </c>
      <c r="O229" s="11">
        <f t="shared" si="6"/>
        <v>2.1895397835247459</v>
      </c>
      <c r="P229" s="13">
        <v>1.8</v>
      </c>
      <c r="Q229" s="14">
        <f t="shared" si="7"/>
        <v>-0.38953978352474583</v>
      </c>
      <c r="R229" s="14">
        <f ca="1">IFERROR(__xludf.DUMMYFUNCTION("IFERROR(
  AVERAGE(
    FILTER(
      $O$2:O229,
      $A$2:A229 &gt;= A229 - 30,
      $A$2:A229 &lt;= A229,
      $O$2:O229 &gt; 0
    )
  ),
"""")"),1.82199962114514)</f>
        <v>1.8219996211451399</v>
      </c>
      <c r="S229" s="14"/>
    </row>
    <row r="230" spans="1:19" ht="15.75" customHeight="1" x14ac:dyDescent="0.25">
      <c r="A230" s="9">
        <v>46129</v>
      </c>
      <c r="B230" s="10">
        <v>5412</v>
      </c>
      <c r="C230" s="10">
        <v>176</v>
      </c>
      <c r="D230" s="10">
        <f t="shared" si="0"/>
        <v>5588</v>
      </c>
      <c r="E230" s="11">
        <f t="shared" si="1"/>
        <v>3.1496062992125982</v>
      </c>
      <c r="F230" s="12"/>
      <c r="G230" s="10">
        <v>5056</v>
      </c>
      <c r="H230" s="10">
        <v>34</v>
      </c>
      <c r="I230" s="10">
        <f t="shared" si="2"/>
        <v>5090</v>
      </c>
      <c r="J230" s="11">
        <f t="shared" si="3"/>
        <v>0.66797642436149318</v>
      </c>
      <c r="K230" s="12"/>
      <c r="L230" s="10">
        <f t="shared" ref="L230:M230" si="235">B230+G230</f>
        <v>10468</v>
      </c>
      <c r="M230" s="10">
        <f t="shared" si="235"/>
        <v>210</v>
      </c>
      <c r="N230" s="10">
        <f t="shared" si="5"/>
        <v>10678</v>
      </c>
      <c r="O230" s="11">
        <f t="shared" si="6"/>
        <v>1.9666604233002434</v>
      </c>
      <c r="P230" s="13">
        <v>1.8</v>
      </c>
      <c r="Q230" s="14">
        <f t="shared" si="7"/>
        <v>-0.16666042330024333</v>
      </c>
      <c r="R230" s="14">
        <f ca="1">IFERROR(__xludf.DUMMYFUNCTION("IFERROR(
  AVERAGE(
    FILTER(
      $O$2:O230,
      $A$2:A230 &gt;= A230 - 30,
      $A$2:A230 &lt;= A230,
      $O$2:O230 &gt; 0
    )
  ),
"""")"),1.83520635511932)</f>
        <v>1.8352063551193201</v>
      </c>
      <c r="S230" s="14"/>
    </row>
    <row r="231" spans="1:19" ht="15.75" customHeight="1" x14ac:dyDescent="0.25">
      <c r="A231" s="9">
        <v>46130</v>
      </c>
      <c r="B231" s="10">
        <v>5210</v>
      </c>
      <c r="C231" s="10">
        <v>95</v>
      </c>
      <c r="D231" s="10">
        <f t="shared" si="0"/>
        <v>5305</v>
      </c>
      <c r="E231" s="11">
        <f t="shared" si="1"/>
        <v>1.7907634307257305</v>
      </c>
      <c r="F231" s="12"/>
      <c r="G231" s="10">
        <v>3468</v>
      </c>
      <c r="H231" s="10">
        <v>58</v>
      </c>
      <c r="I231" s="10">
        <f t="shared" si="2"/>
        <v>3526</v>
      </c>
      <c r="J231" s="11">
        <f t="shared" si="3"/>
        <v>1.644923425978446</v>
      </c>
      <c r="K231" s="12"/>
      <c r="L231" s="10">
        <f t="shared" ref="L231:M231" si="236">B231+G231</f>
        <v>8678</v>
      </c>
      <c r="M231" s="10">
        <f t="shared" si="236"/>
        <v>153</v>
      </c>
      <c r="N231" s="10">
        <f t="shared" si="5"/>
        <v>8831</v>
      </c>
      <c r="O231" s="11">
        <f t="shared" si="6"/>
        <v>1.7325331219567432</v>
      </c>
      <c r="P231" s="13">
        <v>1.8</v>
      </c>
      <c r="Q231" s="14">
        <f t="shared" si="7"/>
        <v>6.7466878043256795E-2</v>
      </c>
      <c r="R231" s="14">
        <f ca="1">IFERROR(__xludf.DUMMYFUNCTION("IFERROR(
  AVERAGE(
    FILTER(
      $O$2:O231,
      $A$2:A231 &gt;= A231 - 30,
      $A$2:A231 &lt;= A231,
      $O$2:O231 &gt; 0
    )
  ),
"""")"),1.84255654280425)</f>
        <v>1.8425565428042501</v>
      </c>
      <c r="S231" s="14"/>
    </row>
    <row r="232" spans="1:19" ht="15.75" customHeight="1" x14ac:dyDescent="0.25">
      <c r="A232" s="9">
        <v>46131</v>
      </c>
      <c r="B232" s="10">
        <v>4440</v>
      </c>
      <c r="C232" s="10">
        <v>52</v>
      </c>
      <c r="D232" s="10">
        <f t="shared" si="0"/>
        <v>4492</v>
      </c>
      <c r="E232" s="11">
        <f t="shared" si="1"/>
        <v>1.1576135351736421</v>
      </c>
      <c r="F232" s="12"/>
      <c r="G232" s="10">
        <v>3984</v>
      </c>
      <c r="H232" s="10">
        <v>82</v>
      </c>
      <c r="I232" s="10">
        <f t="shared" si="2"/>
        <v>4066</v>
      </c>
      <c r="J232" s="11">
        <f t="shared" si="3"/>
        <v>2.0167240531234629</v>
      </c>
      <c r="K232" s="12"/>
      <c r="L232" s="10">
        <f t="shared" ref="L232:M232" si="237">B232+G232</f>
        <v>8424</v>
      </c>
      <c r="M232" s="10">
        <f t="shared" si="237"/>
        <v>134</v>
      </c>
      <c r="N232" s="10">
        <f t="shared" si="5"/>
        <v>8558</v>
      </c>
      <c r="O232" s="11">
        <f t="shared" si="6"/>
        <v>1.565786398691283</v>
      </c>
      <c r="P232" s="13">
        <v>1.8</v>
      </c>
      <c r="Q232" s="14">
        <f t="shared" si="7"/>
        <v>0.23421360130871705</v>
      </c>
      <c r="R232" s="14">
        <f ca="1">IFERROR(__xludf.DUMMYFUNCTION("IFERROR(
  AVERAGE(
    FILTER(
      $O$2:O232,
      $A$2:A232 &gt;= A232 - 30,
      $A$2:A232 &lt;= A232,
      $O$2:O232 &gt; 0
    )
  ),
"""")"),1.85661219873067)</f>
        <v>1.8566121987306701</v>
      </c>
      <c r="S232" s="14"/>
    </row>
    <row r="233" spans="1:19" ht="15.75" customHeight="1" x14ac:dyDescent="0.25">
      <c r="A233" s="9">
        <v>46132</v>
      </c>
      <c r="B233" s="10">
        <v>2598</v>
      </c>
      <c r="C233" s="10">
        <v>35</v>
      </c>
      <c r="D233" s="10">
        <f t="shared" si="0"/>
        <v>2633</v>
      </c>
      <c r="E233" s="11">
        <f t="shared" si="1"/>
        <v>1.329282187618686</v>
      </c>
      <c r="F233" s="12"/>
      <c r="G233" s="10">
        <v>3796</v>
      </c>
      <c r="H233" s="10">
        <v>13</v>
      </c>
      <c r="I233" s="10">
        <f t="shared" si="2"/>
        <v>3809</v>
      </c>
      <c r="J233" s="11">
        <f t="shared" si="3"/>
        <v>0.34129692832764502</v>
      </c>
      <c r="K233" s="12"/>
      <c r="L233" s="10">
        <f t="shared" ref="L233:M233" si="238">B233+G233</f>
        <v>6394</v>
      </c>
      <c r="M233" s="10">
        <f t="shared" si="238"/>
        <v>48</v>
      </c>
      <c r="N233" s="10">
        <f t="shared" si="5"/>
        <v>6442</v>
      </c>
      <c r="O233" s="11">
        <f t="shared" si="6"/>
        <v>0.74511021421918655</v>
      </c>
      <c r="P233" s="13">
        <v>1.8</v>
      </c>
      <c r="Q233" s="14">
        <f t="shared" si="7"/>
        <v>1.0548897857808135</v>
      </c>
      <c r="R233" s="14">
        <f ca="1">IFERROR(__xludf.DUMMYFUNCTION("IFERROR(
  AVERAGE(
    FILTER(
      $O$2:O233,
      $A$2:A233 &gt;= A233 - 30,
      $A$2:A233 &lt;= A233,
      $O$2:O233 &gt; 0
    )
  ),
"""")"),1.82876294882174)</f>
        <v>1.8287629488217401</v>
      </c>
      <c r="S233" s="14"/>
    </row>
    <row r="234" spans="1:19" ht="15.75" customHeight="1" x14ac:dyDescent="0.25">
      <c r="A234" s="9">
        <v>46133</v>
      </c>
      <c r="B234" s="10">
        <v>3416</v>
      </c>
      <c r="C234" s="10">
        <v>22</v>
      </c>
      <c r="D234" s="10">
        <f t="shared" si="0"/>
        <v>3438</v>
      </c>
      <c r="E234" s="11">
        <f t="shared" si="1"/>
        <v>0.63990692262943571</v>
      </c>
      <c r="F234" s="12"/>
      <c r="G234" s="10">
        <v>3396</v>
      </c>
      <c r="H234" s="10">
        <v>55</v>
      </c>
      <c r="I234" s="10">
        <f t="shared" si="2"/>
        <v>3451</v>
      </c>
      <c r="J234" s="11">
        <f t="shared" si="3"/>
        <v>1.5937409446537236</v>
      </c>
      <c r="K234" s="12"/>
      <c r="L234" s="10">
        <f t="shared" ref="L234:M234" si="239">B234+G234</f>
        <v>6812</v>
      </c>
      <c r="M234" s="10">
        <f t="shared" si="239"/>
        <v>77</v>
      </c>
      <c r="N234" s="10">
        <f t="shared" si="5"/>
        <v>6889</v>
      </c>
      <c r="O234" s="11">
        <f t="shared" si="6"/>
        <v>1.1177239076789085</v>
      </c>
      <c r="P234" s="13">
        <v>1.8</v>
      </c>
      <c r="Q234" s="14">
        <f t="shared" si="7"/>
        <v>0.68227609232109154</v>
      </c>
      <c r="R234" s="14">
        <f ca="1">IFERROR(__xludf.DUMMYFUNCTION("IFERROR(
  AVERAGE(
    FILTER(
      $O$2:O234,
      $A$2:A234 &gt;= A234 - 30,
      $A$2:A234 &lt;= A234,
      $O$2:O234 &gt; 0
    )
  ),
"""")"),1.81134605528535)</f>
        <v>1.81134605528535</v>
      </c>
      <c r="S234" s="14"/>
    </row>
    <row r="235" spans="1:19" ht="15.75" customHeight="1" x14ac:dyDescent="0.25">
      <c r="A235" s="9">
        <v>46134</v>
      </c>
      <c r="B235" s="10">
        <v>3488</v>
      </c>
      <c r="C235" s="10">
        <v>41</v>
      </c>
      <c r="D235" s="10">
        <f t="shared" si="0"/>
        <v>3529</v>
      </c>
      <c r="E235" s="11">
        <f t="shared" si="1"/>
        <v>1.1618022102578633</v>
      </c>
      <c r="F235" s="12"/>
      <c r="G235" s="10">
        <v>3818</v>
      </c>
      <c r="H235" s="10">
        <v>0</v>
      </c>
      <c r="I235" s="10">
        <f t="shared" si="2"/>
        <v>3818</v>
      </c>
      <c r="J235" s="11">
        <f t="shared" si="3"/>
        <v>0</v>
      </c>
      <c r="K235" s="12"/>
      <c r="L235" s="10">
        <f t="shared" ref="L235:M235" si="240">B235+G235</f>
        <v>7306</v>
      </c>
      <c r="M235" s="10">
        <f t="shared" si="240"/>
        <v>41</v>
      </c>
      <c r="N235" s="10">
        <f t="shared" si="5"/>
        <v>7347</v>
      </c>
      <c r="O235" s="11">
        <f t="shared" si="6"/>
        <v>0.55805090513134614</v>
      </c>
      <c r="P235" s="13">
        <v>1.8</v>
      </c>
      <c r="Q235" s="14">
        <f t="shared" si="7"/>
        <v>1.2419490948686538</v>
      </c>
      <c r="R235" s="14">
        <f ca="1">IFERROR(__xludf.DUMMYFUNCTION("IFERROR(
  AVERAGE(
    FILTER(
      $O$2:O235,
      $A$2:A235 &gt;= A235 - 30,
      $A$2:A235 &lt;= A235,
      $O$2:O235 &gt; 0
    )
  ),
"""")"),1.76132030114267)</f>
        <v>1.7613203011426699</v>
      </c>
      <c r="S235" s="14"/>
    </row>
    <row r="236" spans="1:19" ht="15.75" customHeight="1" x14ac:dyDescent="0.25">
      <c r="A236" s="9">
        <v>46135</v>
      </c>
      <c r="B236" s="10">
        <v>2660</v>
      </c>
      <c r="C236" s="10">
        <v>60</v>
      </c>
      <c r="D236" s="10">
        <f t="shared" si="0"/>
        <v>2720</v>
      </c>
      <c r="E236" s="11">
        <f t="shared" si="1"/>
        <v>2.2058823529411766</v>
      </c>
      <c r="F236" s="12"/>
      <c r="G236" s="10">
        <v>4298</v>
      </c>
      <c r="H236" s="10">
        <v>18</v>
      </c>
      <c r="I236" s="10">
        <f t="shared" si="2"/>
        <v>4316</v>
      </c>
      <c r="J236" s="11">
        <f t="shared" si="3"/>
        <v>0.41705282669138094</v>
      </c>
      <c r="K236" s="12"/>
      <c r="L236" s="10">
        <f t="shared" ref="L236:M236" si="241">B236+G236</f>
        <v>6958</v>
      </c>
      <c r="M236" s="10">
        <f t="shared" si="241"/>
        <v>78</v>
      </c>
      <c r="N236" s="10">
        <f t="shared" si="5"/>
        <v>7036</v>
      </c>
      <c r="O236" s="11">
        <f t="shared" si="6"/>
        <v>1.1085844229675952</v>
      </c>
      <c r="P236" s="13">
        <v>1.8</v>
      </c>
      <c r="Q236" s="14">
        <f t="shared" si="7"/>
        <v>0.69141557703240486</v>
      </c>
      <c r="R236" s="14">
        <f ca="1">IFERROR(__xludf.DUMMYFUNCTION("IFERROR(
  AVERAGE(
    FILTER(
      $O$2:O236,
      $A$2:A236 &gt;= A236 - 30,
      $A$2:A236 &lt;= A236,
      $O$2:O236 &gt; 0
    )
  ),
"""")"),1.72134170338765)</f>
        <v>1.7213417033876499</v>
      </c>
      <c r="S236" s="14"/>
    </row>
    <row r="237" spans="1:19" ht="15.75" customHeight="1" x14ac:dyDescent="0.25">
      <c r="A237" s="9">
        <v>46136</v>
      </c>
      <c r="B237" s="10">
        <v>2820</v>
      </c>
      <c r="C237" s="10">
        <v>21</v>
      </c>
      <c r="D237" s="10">
        <f t="shared" si="0"/>
        <v>2841</v>
      </c>
      <c r="E237" s="11">
        <f t="shared" si="1"/>
        <v>0.73917634635691654</v>
      </c>
      <c r="F237" s="12"/>
      <c r="G237" s="10">
        <v>3582</v>
      </c>
      <c r="H237" s="10">
        <v>60</v>
      </c>
      <c r="I237" s="10">
        <f t="shared" si="2"/>
        <v>3642</v>
      </c>
      <c r="J237" s="11">
        <f t="shared" si="3"/>
        <v>1.6474464579901154</v>
      </c>
      <c r="K237" s="12"/>
      <c r="L237" s="10">
        <f t="shared" ref="L237:M237" si="242">B237+G237</f>
        <v>6402</v>
      </c>
      <c r="M237" s="10">
        <f t="shared" si="242"/>
        <v>81</v>
      </c>
      <c r="N237" s="10">
        <f t="shared" si="5"/>
        <v>6483</v>
      </c>
      <c r="O237" s="11">
        <f t="shared" si="6"/>
        <v>1.2494215640906987</v>
      </c>
      <c r="P237" s="13">
        <v>1.8</v>
      </c>
      <c r="Q237" s="14">
        <f t="shared" si="7"/>
        <v>0.55057843590930133</v>
      </c>
      <c r="R237" s="14">
        <f ca="1">IFERROR(__xludf.DUMMYFUNCTION("IFERROR(
  AVERAGE(
    FILTER(
      $O$2:O237,
      $A$2:A237 &gt;= A237 - 30,
      $A$2:A237 &lt;= A237,
      $O$2:O237 &gt; 0
    )
  ),
"""")"),1.72608585302624)</f>
        <v>1.72608585302624</v>
      </c>
      <c r="S237" s="14"/>
    </row>
    <row r="238" spans="1:19" ht="15.75" customHeight="1" x14ac:dyDescent="0.25">
      <c r="A238" s="9">
        <v>46137</v>
      </c>
      <c r="B238" s="10">
        <v>2888</v>
      </c>
      <c r="C238" s="10">
        <v>20</v>
      </c>
      <c r="D238" s="10">
        <f t="shared" si="0"/>
        <v>2908</v>
      </c>
      <c r="E238" s="11">
        <f t="shared" si="1"/>
        <v>0.68775790921595603</v>
      </c>
      <c r="F238" s="12"/>
      <c r="G238" s="10">
        <v>3642</v>
      </c>
      <c r="H238" s="10">
        <v>30</v>
      </c>
      <c r="I238" s="10">
        <f t="shared" si="2"/>
        <v>3672</v>
      </c>
      <c r="J238" s="11">
        <f t="shared" si="3"/>
        <v>0.81699346405228757</v>
      </c>
      <c r="K238" s="12"/>
      <c r="L238" s="10">
        <f t="shared" ref="L238:M238" si="243">B238+G238</f>
        <v>6530</v>
      </c>
      <c r="M238" s="10">
        <f t="shared" si="243"/>
        <v>50</v>
      </c>
      <c r="N238" s="10">
        <f t="shared" si="5"/>
        <v>6580</v>
      </c>
      <c r="O238" s="11">
        <f t="shared" si="6"/>
        <v>0.75987841945288759</v>
      </c>
      <c r="P238" s="13">
        <v>1.8</v>
      </c>
      <c r="Q238" s="14">
        <f t="shared" si="7"/>
        <v>1.0401215805471125</v>
      </c>
      <c r="R238" s="14">
        <f ca="1">IFERROR(__xludf.DUMMYFUNCTION("IFERROR(
  AVERAGE(
    FILTER(
      $O$2:O238,
      $A$2:A238 &gt;= A238 - 30,
      $A$2:A238 &lt;= A238,
      $O$2:O238 &gt; 0
    )
  ),
"""")"),1.69245339230835)</f>
        <v>1.69245339230835</v>
      </c>
      <c r="S238" s="14"/>
    </row>
    <row r="239" spans="1:19" ht="15.75" customHeight="1" x14ac:dyDescent="0.25">
      <c r="A239" s="9">
        <v>46138</v>
      </c>
      <c r="B239" s="10">
        <v>2666</v>
      </c>
      <c r="C239" s="10">
        <v>86</v>
      </c>
      <c r="D239" s="10">
        <f t="shared" si="0"/>
        <v>2752</v>
      </c>
      <c r="E239" s="11">
        <f t="shared" si="1"/>
        <v>3.125</v>
      </c>
      <c r="F239" s="12"/>
      <c r="G239" s="10">
        <v>3760</v>
      </c>
      <c r="H239" s="10">
        <v>48</v>
      </c>
      <c r="I239" s="10">
        <f t="shared" si="2"/>
        <v>3808</v>
      </c>
      <c r="J239" s="11">
        <f t="shared" si="3"/>
        <v>1.2605042016806722</v>
      </c>
      <c r="K239" s="12"/>
      <c r="L239" s="10">
        <f t="shared" ref="L239:M239" si="244">B239+G239</f>
        <v>6426</v>
      </c>
      <c r="M239" s="10">
        <f t="shared" si="244"/>
        <v>134</v>
      </c>
      <c r="N239" s="10">
        <f t="shared" si="5"/>
        <v>6560</v>
      </c>
      <c r="O239" s="11">
        <f t="shared" si="6"/>
        <v>2.0426829268292686</v>
      </c>
      <c r="P239" s="13">
        <v>1.8</v>
      </c>
      <c r="Q239" s="14">
        <f t="shared" si="7"/>
        <v>-0.24268292682926851</v>
      </c>
      <c r="R239" s="14">
        <f ca="1">IFERROR(__xludf.DUMMYFUNCTION("IFERROR(
  AVERAGE(
    FILTER(
      $O$2:O239,
      $A$2:A239 &gt;= A239 - 30,
      $A$2:A239 &lt;= A239,
      $O$2:O239 &gt; 0
    )
  ),
"""")"),1.72213462945466)</f>
        <v>1.72213462945466</v>
      </c>
      <c r="S239" s="14"/>
    </row>
    <row r="240" spans="1:19" ht="15.75" customHeight="1" x14ac:dyDescent="0.25">
      <c r="A240" s="9">
        <v>46139</v>
      </c>
      <c r="B240" s="10">
        <v>4053</v>
      </c>
      <c r="C240" s="10">
        <v>77</v>
      </c>
      <c r="D240" s="10">
        <f t="shared" si="0"/>
        <v>4130</v>
      </c>
      <c r="E240" s="11">
        <f t="shared" si="1"/>
        <v>1.8644067796610171</v>
      </c>
      <c r="F240" s="12"/>
      <c r="G240" s="10">
        <v>3780</v>
      </c>
      <c r="H240" s="10">
        <v>0</v>
      </c>
      <c r="I240" s="10">
        <f t="shared" si="2"/>
        <v>3780</v>
      </c>
      <c r="J240" s="11">
        <f t="shared" si="3"/>
        <v>0</v>
      </c>
      <c r="K240" s="12"/>
      <c r="L240" s="10">
        <f t="shared" ref="L240:M240" si="245">B240+G240</f>
        <v>7833</v>
      </c>
      <c r="M240" s="10">
        <f t="shared" si="245"/>
        <v>77</v>
      </c>
      <c r="N240" s="10">
        <f t="shared" si="5"/>
        <v>7910</v>
      </c>
      <c r="O240" s="11">
        <f t="shared" si="6"/>
        <v>0.97345132743362839</v>
      </c>
      <c r="P240" s="13">
        <v>1.8</v>
      </c>
      <c r="Q240" s="14">
        <f t="shared" si="7"/>
        <v>0.82654867256637166</v>
      </c>
      <c r="R240" s="14">
        <f ca="1">IFERROR(__xludf.DUMMYFUNCTION("IFERROR(
  AVERAGE(
    FILTER(
      $O$2:O240,
      $A$2:A240 &gt;= A240 - 30,
      $A$2:A240 &lt;= A240,
      $O$2:O240 &gt; 0
    )
  ),
"""")"),1.70491961447426)</f>
        <v>1.70491961447426</v>
      </c>
      <c r="S240" s="14"/>
    </row>
    <row r="241" spans="1:19" ht="15.75" customHeight="1" x14ac:dyDescent="0.25">
      <c r="A241" s="9">
        <v>46140</v>
      </c>
      <c r="B241" s="10">
        <v>5976</v>
      </c>
      <c r="C241" s="10">
        <v>39</v>
      </c>
      <c r="D241" s="10">
        <f t="shared" si="0"/>
        <v>6015</v>
      </c>
      <c r="E241" s="11">
        <f t="shared" si="1"/>
        <v>0.64837905236907734</v>
      </c>
      <c r="F241" s="12"/>
      <c r="G241" s="10">
        <v>3330</v>
      </c>
      <c r="H241" s="10">
        <v>66</v>
      </c>
      <c r="I241" s="10">
        <f t="shared" si="2"/>
        <v>3396</v>
      </c>
      <c r="J241" s="11">
        <f t="shared" si="3"/>
        <v>1.9434628975265018</v>
      </c>
      <c r="K241" s="12"/>
      <c r="L241" s="10">
        <f t="shared" ref="L241:M241" si="246">B241+G241</f>
        <v>9306</v>
      </c>
      <c r="M241" s="10">
        <f t="shared" si="246"/>
        <v>105</v>
      </c>
      <c r="N241" s="10">
        <f t="shared" si="5"/>
        <v>9411</v>
      </c>
      <c r="O241" s="11">
        <f t="shared" si="6"/>
        <v>1.1157156518967166</v>
      </c>
      <c r="P241" s="13">
        <v>1.8</v>
      </c>
      <c r="Q241" s="14">
        <f t="shared" si="7"/>
        <v>0.68428434810328342</v>
      </c>
      <c r="R241" s="14">
        <f ca="1">IFERROR(__xludf.DUMMYFUNCTION("IFERROR(
  AVERAGE(
    FILTER(
      $O$2:O241,
      $A$2:A241 &gt;= A241 - 30,
      $A$2:A241 &lt;= A241,
      $O$2:O241 &gt; 0
    )
  ),
"""")"),1.72955668596681)</f>
        <v>1.7295566859668099</v>
      </c>
      <c r="S241" s="14"/>
    </row>
    <row r="242" spans="1:19" ht="15.75" customHeight="1" x14ac:dyDescent="0.25">
      <c r="A242" s="9">
        <v>46141</v>
      </c>
      <c r="B242" s="10">
        <v>4790</v>
      </c>
      <c r="C242" s="10">
        <v>102</v>
      </c>
      <c r="D242" s="10">
        <f t="shared" si="0"/>
        <v>4892</v>
      </c>
      <c r="E242" s="11">
        <f t="shared" si="1"/>
        <v>2.0850367947669666</v>
      </c>
      <c r="F242" s="12"/>
      <c r="G242" s="10">
        <v>3790</v>
      </c>
      <c r="H242" s="10">
        <v>75</v>
      </c>
      <c r="I242" s="10">
        <f t="shared" si="2"/>
        <v>3865</v>
      </c>
      <c r="J242" s="11">
        <f t="shared" si="3"/>
        <v>1.9404915912031049</v>
      </c>
      <c r="K242" s="12"/>
      <c r="L242" s="10">
        <f t="shared" ref="L242:M242" si="247">B242+G242</f>
        <v>8580</v>
      </c>
      <c r="M242" s="10">
        <f t="shared" si="247"/>
        <v>177</v>
      </c>
      <c r="N242" s="10">
        <f t="shared" si="5"/>
        <v>8757</v>
      </c>
      <c r="O242" s="11">
        <f t="shared" si="6"/>
        <v>2.0212401507365536</v>
      </c>
      <c r="P242" s="13">
        <v>1.8</v>
      </c>
      <c r="Q242" s="14">
        <f t="shared" si="7"/>
        <v>-0.22124015073655356</v>
      </c>
      <c r="R242" s="14">
        <f ca="1">IFERROR(__xludf.DUMMYFUNCTION("IFERROR(
  AVERAGE(
    FILTER(
      $O$2:O242,
      $A$2:A242 &gt;= A242 - 30,
      $A$2:A242 &lt;= A242,
      $O$2:O242 &gt; 0
    )
  ),
"""")"),1.7436589071253)</f>
        <v>1.7436589071252999</v>
      </c>
      <c r="S242" s="14"/>
    </row>
    <row r="243" spans="1:19" ht="15.75" customHeight="1" x14ac:dyDescent="0.25">
      <c r="A243" s="9">
        <v>46142</v>
      </c>
      <c r="B243" s="10"/>
      <c r="C243" s="10"/>
      <c r="D243" s="10">
        <f t="shared" si="0"/>
        <v>0</v>
      </c>
      <c r="E243" s="11" t="e">
        <f t="shared" si="1"/>
        <v>#DIV/0!</v>
      </c>
      <c r="F243" s="12"/>
      <c r="G243" s="10"/>
      <c r="H243" s="10"/>
      <c r="I243" s="10">
        <f t="shared" si="2"/>
        <v>0</v>
      </c>
      <c r="J243" s="11" t="e">
        <f t="shared" si="3"/>
        <v>#DIV/0!</v>
      </c>
      <c r="K243" s="12"/>
      <c r="L243" s="10">
        <f t="shared" ref="L243:M243" si="248">B243+G243</f>
        <v>0</v>
      </c>
      <c r="M243" s="10">
        <f t="shared" si="248"/>
        <v>0</v>
      </c>
      <c r="N243" s="10">
        <f t="shared" si="5"/>
        <v>0</v>
      </c>
      <c r="O243" s="11" t="e">
        <f t="shared" si="6"/>
        <v>#DIV/0!</v>
      </c>
      <c r="P243" s="13">
        <v>1.8</v>
      </c>
      <c r="Q243" s="14" t="e">
        <f t="shared" si="7"/>
        <v>#DIV/0!</v>
      </c>
      <c r="R243" s="14">
        <f ca="1">IFERROR(__xludf.DUMMYFUNCTION("IFERROR(
  AVERAGE(
    FILTER(
      $O$2:O243,
      $A$2:A243 &gt;= A243 - 30,
      $A$2:A243 &lt;= A243,
      $O$2:O243 &gt; 0
    )
  ),
"""")"),1.72015735257374)</f>
        <v>1.7201573525737399</v>
      </c>
      <c r="S243" s="14"/>
    </row>
    <row r="244" spans="1:19" ht="15.75" customHeight="1" x14ac:dyDescent="0.25">
      <c r="A244" s="9">
        <v>46143</v>
      </c>
      <c r="B244" s="10"/>
      <c r="C244" s="10"/>
      <c r="D244" s="10">
        <f t="shared" si="0"/>
        <v>0</v>
      </c>
      <c r="E244" s="11" t="e">
        <f t="shared" si="1"/>
        <v>#DIV/0!</v>
      </c>
      <c r="F244" s="12"/>
      <c r="G244" s="10"/>
      <c r="H244" s="10"/>
      <c r="I244" s="10">
        <f t="shared" si="2"/>
        <v>0</v>
      </c>
      <c r="J244" s="11" t="e">
        <f t="shared" si="3"/>
        <v>#DIV/0!</v>
      </c>
      <c r="K244" s="12"/>
      <c r="L244" s="10">
        <f t="shared" ref="L244:M244" si="249">B244+G244</f>
        <v>0</v>
      </c>
      <c r="M244" s="10">
        <f t="shared" si="249"/>
        <v>0</v>
      </c>
      <c r="N244" s="10">
        <f t="shared" si="5"/>
        <v>0</v>
      </c>
      <c r="O244" s="11" t="e">
        <f t="shared" si="6"/>
        <v>#DIV/0!</v>
      </c>
      <c r="P244" s="13">
        <v>1.8</v>
      </c>
      <c r="Q244" s="14" t="e">
        <f t="shared" si="7"/>
        <v>#DIV/0!</v>
      </c>
      <c r="R244" s="14">
        <f ca="1">IFERROR(__xludf.DUMMYFUNCTION("IFERROR(
  AVERAGE(
    FILTER(
      $O$2:O244,
      $A$2:A244 &gt;= A244 - 30,
      $A$2:A244 &lt;= A244,
      $O$2:O244 &gt; 0
    )
  ),
"""")"),1.7612247606026)</f>
        <v>1.7612247606025999</v>
      </c>
      <c r="S244" s="14"/>
    </row>
    <row r="245" spans="1:19" ht="15.75" customHeight="1" x14ac:dyDescent="0.25">
      <c r="A245" s="9"/>
      <c r="B245" s="10"/>
      <c r="C245" s="10"/>
      <c r="D245" s="10">
        <f t="shared" si="0"/>
        <v>0</v>
      </c>
      <c r="E245" s="11" t="e">
        <f t="shared" si="1"/>
        <v>#DIV/0!</v>
      </c>
      <c r="F245" s="12"/>
      <c r="G245" s="10"/>
      <c r="H245" s="10"/>
      <c r="I245" s="10">
        <f t="shared" si="2"/>
        <v>0</v>
      </c>
      <c r="J245" s="11" t="e">
        <f t="shared" si="3"/>
        <v>#DIV/0!</v>
      </c>
      <c r="K245" s="12"/>
      <c r="L245" s="10">
        <f t="shared" ref="L245:M245" si="250">B245+G245</f>
        <v>0</v>
      </c>
      <c r="M245" s="10">
        <f t="shared" si="250"/>
        <v>0</v>
      </c>
      <c r="N245" s="10">
        <f t="shared" si="5"/>
        <v>0</v>
      </c>
      <c r="O245" s="11" t="e">
        <f t="shared" si="6"/>
        <v>#DIV/0!</v>
      </c>
      <c r="P245" s="13">
        <v>1.8</v>
      </c>
      <c r="Q245" s="14" t="e">
        <f t="shared" si="7"/>
        <v>#DIV/0!</v>
      </c>
      <c r="R245" s="14" t="str">
        <f ca="1">IFERROR(__xludf.DUMMYFUNCTION("IFERROR(
  AVERAGE(
    FILTER(
      $O$2:O245,
      $A$2:A245 &gt;= A245 - 30,
      $A$2:A245 &lt;= A245,
      $O$2:O245 &gt; 0
    )
  ),
"""")"),"")</f>
        <v/>
      </c>
      <c r="S245" s="14"/>
    </row>
    <row r="246" spans="1:19" ht="15.75" customHeight="1" x14ac:dyDescent="0.25">
      <c r="A246" s="9"/>
      <c r="B246" s="10"/>
      <c r="C246" s="10"/>
      <c r="D246" s="10">
        <f t="shared" si="0"/>
        <v>0</v>
      </c>
      <c r="E246" s="11" t="e">
        <f t="shared" si="1"/>
        <v>#DIV/0!</v>
      </c>
      <c r="F246" s="12"/>
      <c r="G246" s="10"/>
      <c r="H246" s="10"/>
      <c r="I246" s="10">
        <f t="shared" si="2"/>
        <v>0</v>
      </c>
      <c r="J246" s="11" t="e">
        <f t="shared" si="3"/>
        <v>#DIV/0!</v>
      </c>
      <c r="K246" s="12"/>
      <c r="L246" s="10">
        <f t="shared" ref="L246:M246" si="251">B246+G246</f>
        <v>0</v>
      </c>
      <c r="M246" s="10">
        <f t="shared" si="251"/>
        <v>0</v>
      </c>
      <c r="N246" s="10">
        <f t="shared" si="5"/>
        <v>0</v>
      </c>
      <c r="O246" s="11" t="e">
        <f t="shared" si="6"/>
        <v>#DIV/0!</v>
      </c>
      <c r="P246" s="13">
        <v>1.8</v>
      </c>
      <c r="Q246" s="14" t="e">
        <f t="shared" si="7"/>
        <v>#DIV/0!</v>
      </c>
      <c r="R246" s="14" t="str">
        <f ca="1">IFERROR(__xludf.DUMMYFUNCTION("IFERROR(
  AVERAGE(
    FILTER(
      $O$2:O246,
      $A$2:A246 &gt;= A246 - 30,
      $A$2:A246 &lt;= A246,
      $O$2:O246 &gt; 0
    )
  ),
"""")"),"")</f>
        <v/>
      </c>
      <c r="S246" s="14"/>
    </row>
    <row r="247" spans="1:19" ht="15.75" customHeight="1" x14ac:dyDescent="0.25">
      <c r="A247" s="9"/>
      <c r="B247" s="10"/>
      <c r="C247" s="10"/>
      <c r="D247" s="10">
        <f t="shared" si="0"/>
        <v>0</v>
      </c>
      <c r="E247" s="11" t="e">
        <f t="shared" si="1"/>
        <v>#DIV/0!</v>
      </c>
      <c r="F247" s="12"/>
      <c r="G247" s="10"/>
      <c r="H247" s="10"/>
      <c r="I247" s="10">
        <f t="shared" si="2"/>
        <v>0</v>
      </c>
      <c r="J247" s="11" t="e">
        <f t="shared" si="3"/>
        <v>#DIV/0!</v>
      </c>
      <c r="K247" s="12"/>
      <c r="L247" s="10">
        <f t="shared" ref="L247:M247" si="252">B247+G247</f>
        <v>0</v>
      </c>
      <c r="M247" s="10">
        <f t="shared" si="252"/>
        <v>0</v>
      </c>
      <c r="N247" s="10">
        <f t="shared" si="5"/>
        <v>0</v>
      </c>
      <c r="O247" s="11" t="e">
        <f t="shared" si="6"/>
        <v>#DIV/0!</v>
      </c>
      <c r="P247" s="13">
        <v>1.8</v>
      </c>
      <c r="Q247" s="14" t="e">
        <f t="shared" si="7"/>
        <v>#DIV/0!</v>
      </c>
      <c r="R247" s="14" t="str">
        <f ca="1">IFERROR(__xludf.DUMMYFUNCTION("IFERROR(
  AVERAGE(
    FILTER(
      $O$2:O247,
      $A$2:A247 &gt;= A247 - 30,
      $A$2:A247 &lt;= A247,
      $O$2:O247 &gt; 0
    )
  ),
"""")"),"")</f>
        <v/>
      </c>
      <c r="S247" s="14"/>
    </row>
    <row r="248" spans="1:19" ht="15.75" customHeight="1" x14ac:dyDescent="0.25">
      <c r="A248" s="9"/>
      <c r="B248" s="10"/>
      <c r="C248" s="10"/>
      <c r="D248" s="10">
        <f t="shared" si="0"/>
        <v>0</v>
      </c>
      <c r="E248" s="11" t="e">
        <f t="shared" si="1"/>
        <v>#DIV/0!</v>
      </c>
      <c r="F248" s="12"/>
      <c r="G248" s="10"/>
      <c r="H248" s="10"/>
      <c r="I248" s="10">
        <f t="shared" si="2"/>
        <v>0</v>
      </c>
      <c r="J248" s="11" t="e">
        <f t="shared" si="3"/>
        <v>#DIV/0!</v>
      </c>
      <c r="K248" s="12"/>
      <c r="L248" s="10">
        <f t="shared" ref="L248:M248" si="253">B248+G248</f>
        <v>0</v>
      </c>
      <c r="M248" s="10">
        <f t="shared" si="253"/>
        <v>0</v>
      </c>
      <c r="N248" s="10">
        <f t="shared" si="5"/>
        <v>0</v>
      </c>
      <c r="O248" s="11" t="e">
        <f t="shared" si="6"/>
        <v>#DIV/0!</v>
      </c>
      <c r="P248" s="13">
        <v>1.8</v>
      </c>
      <c r="Q248" s="14" t="e">
        <f t="shared" si="7"/>
        <v>#DIV/0!</v>
      </c>
      <c r="R248" s="14" t="str">
        <f ca="1">IFERROR(__xludf.DUMMYFUNCTION("IFERROR(
  AVERAGE(
    FILTER(
      $O$2:O248,
      $A$2:A248 &gt;= A248 - 30,
      $A$2:A248 &lt;= A248,
      $O$2:O248 &gt; 0
    )
  ),
"""")"),"")</f>
        <v/>
      </c>
      <c r="S248" s="14"/>
    </row>
    <row r="249" spans="1:19" ht="15.75" customHeight="1" x14ac:dyDescent="0.25">
      <c r="A249" s="9"/>
      <c r="B249" s="10"/>
      <c r="C249" s="10"/>
      <c r="D249" s="10">
        <f t="shared" si="0"/>
        <v>0</v>
      </c>
      <c r="E249" s="11" t="e">
        <f t="shared" si="1"/>
        <v>#DIV/0!</v>
      </c>
      <c r="F249" s="12"/>
      <c r="G249" s="10"/>
      <c r="H249" s="10"/>
      <c r="I249" s="10">
        <f t="shared" si="2"/>
        <v>0</v>
      </c>
      <c r="J249" s="11" t="e">
        <f t="shared" si="3"/>
        <v>#DIV/0!</v>
      </c>
      <c r="K249" s="12"/>
      <c r="L249" s="10">
        <f t="shared" ref="L249:M249" si="254">B249+G249</f>
        <v>0</v>
      </c>
      <c r="M249" s="10">
        <f t="shared" si="254"/>
        <v>0</v>
      </c>
      <c r="N249" s="10">
        <f t="shared" si="5"/>
        <v>0</v>
      </c>
      <c r="O249" s="11" t="e">
        <f t="shared" si="6"/>
        <v>#DIV/0!</v>
      </c>
      <c r="P249" s="13">
        <v>1.8</v>
      </c>
      <c r="Q249" s="14" t="e">
        <f t="shared" si="7"/>
        <v>#DIV/0!</v>
      </c>
      <c r="R249" s="14" t="str">
        <f ca="1">IFERROR(__xludf.DUMMYFUNCTION("IFERROR(
  AVERAGE(
    FILTER(
      $O$2:O249,
      $A$2:A249 &gt;= A249 - 30,
      $A$2:A249 &lt;= A249,
      $O$2:O249 &gt; 0
    )
  ),
"""")"),"")</f>
        <v/>
      </c>
      <c r="S249" s="14"/>
    </row>
    <row r="250" spans="1:19" ht="15.75" customHeight="1" x14ac:dyDescent="0.25">
      <c r="A250" s="9"/>
      <c r="B250" s="10"/>
      <c r="C250" s="10"/>
      <c r="D250" s="10">
        <f t="shared" si="0"/>
        <v>0</v>
      </c>
      <c r="E250" s="11" t="e">
        <f t="shared" si="1"/>
        <v>#DIV/0!</v>
      </c>
      <c r="F250" s="12"/>
      <c r="G250" s="10"/>
      <c r="H250" s="10"/>
      <c r="I250" s="10">
        <f t="shared" si="2"/>
        <v>0</v>
      </c>
      <c r="J250" s="11" t="e">
        <f t="shared" si="3"/>
        <v>#DIV/0!</v>
      </c>
      <c r="K250" s="12"/>
      <c r="L250" s="10">
        <f t="shared" ref="L250:M250" si="255">B250+G250</f>
        <v>0</v>
      </c>
      <c r="M250" s="10">
        <f t="shared" si="255"/>
        <v>0</v>
      </c>
      <c r="N250" s="10">
        <f t="shared" si="5"/>
        <v>0</v>
      </c>
      <c r="O250" s="11" t="e">
        <f t="shared" si="6"/>
        <v>#DIV/0!</v>
      </c>
      <c r="P250" s="13">
        <v>1.8</v>
      </c>
      <c r="Q250" s="14" t="e">
        <f t="shared" si="7"/>
        <v>#DIV/0!</v>
      </c>
      <c r="R250" s="14" t="str">
        <f ca="1">IFERROR(__xludf.DUMMYFUNCTION("IFERROR(
  AVERAGE(
    FILTER(
      $O$2:O250,
      $A$2:A250 &gt;= A250 - 30,
      $A$2:A250 &lt;= A250,
      $O$2:O250 &gt; 0
    )
  ),
"""")"),"")</f>
        <v/>
      </c>
      <c r="S250" s="14"/>
    </row>
    <row r="251" spans="1:19" ht="15.75" customHeight="1" x14ac:dyDescent="0.25">
      <c r="A251" s="9"/>
      <c r="B251" s="10"/>
      <c r="C251" s="10"/>
      <c r="D251" s="10">
        <f t="shared" si="0"/>
        <v>0</v>
      </c>
      <c r="E251" s="11" t="e">
        <f t="shared" si="1"/>
        <v>#DIV/0!</v>
      </c>
      <c r="F251" s="12"/>
      <c r="G251" s="10"/>
      <c r="H251" s="10"/>
      <c r="I251" s="10">
        <f t="shared" si="2"/>
        <v>0</v>
      </c>
      <c r="J251" s="11" t="e">
        <f t="shared" si="3"/>
        <v>#DIV/0!</v>
      </c>
      <c r="K251" s="12"/>
      <c r="L251" s="10">
        <f t="shared" ref="L251:M251" si="256">B251+G251</f>
        <v>0</v>
      </c>
      <c r="M251" s="10">
        <f t="shared" si="256"/>
        <v>0</v>
      </c>
      <c r="N251" s="10">
        <f t="shared" si="5"/>
        <v>0</v>
      </c>
      <c r="O251" s="11" t="e">
        <f t="shared" si="6"/>
        <v>#DIV/0!</v>
      </c>
      <c r="P251" s="13">
        <v>1.8</v>
      </c>
      <c r="Q251" s="14" t="e">
        <f t="shared" si="7"/>
        <v>#DIV/0!</v>
      </c>
      <c r="R251" s="14" t="str">
        <f ca="1">IFERROR(__xludf.DUMMYFUNCTION("IFERROR(
  AVERAGE(
    FILTER(
      $O$2:O251,
      $A$2:A251 &gt;= A251 - 30,
      $A$2:A251 &lt;= A251,
      $O$2:O251 &gt; 0
    )
  ),
"""")"),"")</f>
        <v/>
      </c>
      <c r="S251" s="14"/>
    </row>
    <row r="252" spans="1:19" ht="15.75" customHeight="1" x14ac:dyDescent="0.25">
      <c r="A252" s="9"/>
      <c r="B252" s="10"/>
      <c r="C252" s="10"/>
      <c r="D252" s="10">
        <f t="shared" si="0"/>
        <v>0</v>
      </c>
      <c r="E252" s="11" t="e">
        <f t="shared" si="1"/>
        <v>#DIV/0!</v>
      </c>
      <c r="F252" s="12"/>
      <c r="G252" s="10"/>
      <c r="H252" s="10"/>
      <c r="I252" s="10">
        <f t="shared" si="2"/>
        <v>0</v>
      </c>
      <c r="J252" s="11" t="e">
        <f t="shared" si="3"/>
        <v>#DIV/0!</v>
      </c>
      <c r="K252" s="12"/>
      <c r="L252" s="10">
        <f t="shared" ref="L252:M252" si="257">B252+G252</f>
        <v>0</v>
      </c>
      <c r="M252" s="10">
        <f t="shared" si="257"/>
        <v>0</v>
      </c>
      <c r="N252" s="10">
        <f t="shared" si="5"/>
        <v>0</v>
      </c>
      <c r="O252" s="11" t="e">
        <f t="shared" si="6"/>
        <v>#DIV/0!</v>
      </c>
      <c r="P252" s="13">
        <v>1.8</v>
      </c>
      <c r="Q252" s="14" t="e">
        <f t="shared" si="7"/>
        <v>#DIV/0!</v>
      </c>
      <c r="R252" s="14" t="str">
        <f ca="1">IFERROR(__xludf.DUMMYFUNCTION("IFERROR(
  AVERAGE(
    FILTER(
      $O$2:O252,
      $A$2:A252 &gt;= A252 - 30,
      $A$2:A252 &lt;= A252,
      $O$2:O252 &gt; 0
    )
  ),
"""")"),"")</f>
        <v/>
      </c>
      <c r="S252" s="14"/>
    </row>
    <row r="253" spans="1:19" ht="15.75" customHeight="1" x14ac:dyDescent="0.25">
      <c r="A253" s="9"/>
      <c r="B253" s="10"/>
      <c r="C253" s="10"/>
      <c r="D253" s="10">
        <f t="shared" si="0"/>
        <v>0</v>
      </c>
      <c r="E253" s="11" t="e">
        <f t="shared" si="1"/>
        <v>#DIV/0!</v>
      </c>
      <c r="F253" s="12"/>
      <c r="G253" s="10"/>
      <c r="H253" s="10"/>
      <c r="I253" s="10">
        <f t="shared" si="2"/>
        <v>0</v>
      </c>
      <c r="J253" s="11" t="e">
        <f t="shared" si="3"/>
        <v>#DIV/0!</v>
      </c>
      <c r="K253" s="12"/>
      <c r="L253" s="10">
        <f t="shared" ref="L253:M253" si="258">B253+G253</f>
        <v>0</v>
      </c>
      <c r="M253" s="10">
        <f t="shared" si="258"/>
        <v>0</v>
      </c>
      <c r="N253" s="10">
        <f t="shared" si="5"/>
        <v>0</v>
      </c>
      <c r="O253" s="11" t="e">
        <f t="shared" si="6"/>
        <v>#DIV/0!</v>
      </c>
      <c r="P253" s="13">
        <v>1.8</v>
      </c>
      <c r="Q253" s="14" t="e">
        <f t="shared" si="7"/>
        <v>#DIV/0!</v>
      </c>
      <c r="R253" s="14" t="str">
        <f ca="1">IFERROR(__xludf.DUMMYFUNCTION("IFERROR(
  AVERAGE(
    FILTER(
      $O$2:O253,
      $A$2:A253 &gt;= A253 - 30,
      $A$2:A253 &lt;= A253,
      $O$2:O253 &gt; 0
    )
  ),
"""")"),"")</f>
        <v/>
      </c>
      <c r="S253" s="14"/>
    </row>
    <row r="254" spans="1:19" ht="15.75" customHeight="1" x14ac:dyDescent="0.25">
      <c r="A254" s="9"/>
      <c r="B254" s="10"/>
      <c r="C254" s="10"/>
      <c r="D254" s="10">
        <f t="shared" si="0"/>
        <v>0</v>
      </c>
      <c r="E254" s="11" t="e">
        <f t="shared" si="1"/>
        <v>#DIV/0!</v>
      </c>
      <c r="F254" s="12"/>
      <c r="G254" s="10"/>
      <c r="H254" s="10"/>
      <c r="I254" s="10">
        <f t="shared" si="2"/>
        <v>0</v>
      </c>
      <c r="J254" s="11" t="e">
        <f t="shared" si="3"/>
        <v>#DIV/0!</v>
      </c>
      <c r="K254" s="12"/>
      <c r="L254" s="10">
        <f t="shared" ref="L254:M254" si="259">B254+G254</f>
        <v>0</v>
      </c>
      <c r="M254" s="10">
        <f t="shared" si="259"/>
        <v>0</v>
      </c>
      <c r="N254" s="10">
        <f t="shared" si="5"/>
        <v>0</v>
      </c>
      <c r="O254" s="11" t="e">
        <f t="shared" si="6"/>
        <v>#DIV/0!</v>
      </c>
      <c r="P254" s="13">
        <v>1.8</v>
      </c>
      <c r="Q254" s="14" t="e">
        <f t="shared" si="7"/>
        <v>#DIV/0!</v>
      </c>
      <c r="R254" s="14" t="str">
        <f ca="1">IFERROR(__xludf.DUMMYFUNCTION("IFERROR(
  AVERAGE(
    FILTER(
      $O$2:O254,
      $A$2:A254 &gt;= A254 - 30,
      $A$2:A254 &lt;= A254,
      $O$2:O254 &gt; 0
    )
  ),
"""")"),"")</f>
        <v/>
      </c>
      <c r="S254" s="14"/>
    </row>
    <row r="255" spans="1:19" ht="15.75" customHeight="1" x14ac:dyDescent="0.25">
      <c r="A255" s="9"/>
      <c r="B255" s="10"/>
      <c r="C255" s="10"/>
      <c r="D255" s="10">
        <f t="shared" si="0"/>
        <v>0</v>
      </c>
      <c r="E255" s="11" t="e">
        <f t="shared" si="1"/>
        <v>#DIV/0!</v>
      </c>
      <c r="F255" s="12"/>
      <c r="G255" s="10"/>
      <c r="H255" s="10"/>
      <c r="I255" s="10">
        <f t="shared" si="2"/>
        <v>0</v>
      </c>
      <c r="J255" s="11" t="e">
        <f t="shared" si="3"/>
        <v>#DIV/0!</v>
      </c>
      <c r="K255" s="12"/>
      <c r="L255" s="10">
        <f t="shared" ref="L255:M255" si="260">B255+G255</f>
        <v>0</v>
      </c>
      <c r="M255" s="10">
        <f t="shared" si="260"/>
        <v>0</v>
      </c>
      <c r="N255" s="10">
        <f t="shared" si="5"/>
        <v>0</v>
      </c>
      <c r="O255" s="11" t="e">
        <f t="shared" si="6"/>
        <v>#DIV/0!</v>
      </c>
      <c r="P255" s="13">
        <v>1.8</v>
      </c>
      <c r="Q255" s="14" t="e">
        <f t="shared" si="7"/>
        <v>#DIV/0!</v>
      </c>
      <c r="R255" s="14" t="str">
        <f ca="1">IFERROR(__xludf.DUMMYFUNCTION("IFERROR(
  AVERAGE(
    FILTER(
      $O$2:O255,
      $A$2:A255 &gt;= A255 - 30,
      $A$2:A255 &lt;= A255,
      $O$2:O255 &gt; 0
    )
  ),
"""")"),"")</f>
        <v/>
      </c>
      <c r="S255" s="14"/>
    </row>
    <row r="256" spans="1:19" ht="15.75" customHeight="1" x14ac:dyDescent="0.25">
      <c r="A256" s="9"/>
      <c r="B256" s="10"/>
      <c r="C256" s="10"/>
      <c r="D256" s="10">
        <f t="shared" si="0"/>
        <v>0</v>
      </c>
      <c r="E256" s="11" t="e">
        <f t="shared" si="1"/>
        <v>#DIV/0!</v>
      </c>
      <c r="F256" s="12"/>
      <c r="G256" s="10"/>
      <c r="H256" s="10"/>
      <c r="I256" s="10">
        <f t="shared" si="2"/>
        <v>0</v>
      </c>
      <c r="J256" s="11" t="e">
        <f t="shared" si="3"/>
        <v>#DIV/0!</v>
      </c>
      <c r="K256" s="12"/>
      <c r="L256" s="10">
        <f t="shared" ref="L256:M256" si="261">B256+G256</f>
        <v>0</v>
      </c>
      <c r="M256" s="10">
        <f t="shared" si="261"/>
        <v>0</v>
      </c>
      <c r="N256" s="10">
        <f t="shared" si="5"/>
        <v>0</v>
      </c>
      <c r="O256" s="11" t="e">
        <f t="shared" si="6"/>
        <v>#DIV/0!</v>
      </c>
      <c r="P256" s="13">
        <v>1.8</v>
      </c>
      <c r="Q256" s="14" t="e">
        <f t="shared" si="7"/>
        <v>#DIV/0!</v>
      </c>
      <c r="R256" s="14" t="str">
        <f ca="1">IFERROR(__xludf.DUMMYFUNCTION("IFERROR(
  AVERAGE(
    FILTER(
      $O$2:O256,
      $A$2:A256 &gt;= A256 - 30,
      $A$2:A256 &lt;= A256,
      $O$2:O256 &gt; 0
    )
  ),
"""")"),"")</f>
        <v/>
      </c>
      <c r="S256" s="14"/>
    </row>
    <row r="257" spans="1:19" ht="15.75" customHeight="1" x14ac:dyDescent="0.25">
      <c r="A257" s="9"/>
      <c r="B257" s="10"/>
      <c r="C257" s="10"/>
      <c r="D257" s="10">
        <f t="shared" ref="D257:D261" si="262">B257+C257</f>
        <v>0</v>
      </c>
      <c r="E257" s="11" t="e">
        <f t="shared" ref="E257:E261" si="263">C257/D257%</f>
        <v>#DIV/0!</v>
      </c>
      <c r="F257" s="12"/>
      <c r="G257" s="10"/>
      <c r="H257" s="10"/>
      <c r="I257" s="10">
        <f t="shared" ref="I257:I261" si="264">G257+H257</f>
        <v>0</v>
      </c>
      <c r="J257" s="11" t="e">
        <f t="shared" ref="J257:J261" si="265">H257/I257%</f>
        <v>#DIV/0!</v>
      </c>
      <c r="K257" s="12"/>
      <c r="L257" s="10">
        <f t="shared" ref="L257:M257" si="266">B257+G257</f>
        <v>0</v>
      </c>
      <c r="M257" s="10">
        <f t="shared" si="266"/>
        <v>0</v>
      </c>
      <c r="N257" s="10">
        <f t="shared" ref="N257:N261" si="267">L257+M257</f>
        <v>0</v>
      </c>
      <c r="O257" s="11" t="e">
        <f t="shared" ref="O257:O261" si="268">M257/N257%</f>
        <v>#DIV/0!</v>
      </c>
      <c r="P257" s="13">
        <v>1.8</v>
      </c>
      <c r="Q257" s="14" t="e">
        <f t="shared" ref="Q257:Q261" si="269">P257-O257</f>
        <v>#DIV/0!</v>
      </c>
      <c r="R257" s="14" t="str">
        <f ca="1">IFERROR(__xludf.DUMMYFUNCTION("IFERROR(
  AVERAGE(
    FILTER(
      $O$2:O257,
      $A$2:A257 &gt;= A257 - 30,
      $A$2:A257 &lt;= A257,
      $O$2:O257 &gt; 0
    )
  ),
"""")"),"")</f>
        <v/>
      </c>
      <c r="S257" s="14"/>
    </row>
    <row r="258" spans="1:19" ht="15.75" customHeight="1" x14ac:dyDescent="0.25">
      <c r="A258" s="9"/>
      <c r="B258" s="10"/>
      <c r="C258" s="10"/>
      <c r="D258" s="10">
        <f t="shared" si="262"/>
        <v>0</v>
      </c>
      <c r="E258" s="11" t="e">
        <f t="shared" si="263"/>
        <v>#DIV/0!</v>
      </c>
      <c r="F258" s="12"/>
      <c r="G258" s="10"/>
      <c r="H258" s="10"/>
      <c r="I258" s="10">
        <f t="shared" si="264"/>
        <v>0</v>
      </c>
      <c r="J258" s="11" t="e">
        <f t="shared" si="265"/>
        <v>#DIV/0!</v>
      </c>
      <c r="K258" s="12"/>
      <c r="L258" s="10">
        <f t="shared" ref="L258:M258" si="270">B258+G258</f>
        <v>0</v>
      </c>
      <c r="M258" s="10">
        <f t="shared" si="270"/>
        <v>0</v>
      </c>
      <c r="N258" s="10">
        <f t="shared" si="267"/>
        <v>0</v>
      </c>
      <c r="O258" s="11" t="e">
        <f t="shared" si="268"/>
        <v>#DIV/0!</v>
      </c>
      <c r="P258" s="13">
        <v>1.8</v>
      </c>
      <c r="Q258" s="14" t="e">
        <f t="shared" si="269"/>
        <v>#DIV/0!</v>
      </c>
      <c r="R258" s="14" t="str">
        <f ca="1">IFERROR(__xludf.DUMMYFUNCTION("IFERROR(
  AVERAGE(
    FILTER(
      $O$2:O258,
      $A$2:A258 &gt;= A258 - 30,
      $A$2:A258 &lt;= A258,
      $O$2:O258 &gt; 0
    )
  ),
"""")"),"")</f>
        <v/>
      </c>
      <c r="S258" s="14"/>
    </row>
    <row r="259" spans="1:19" ht="15.75" customHeight="1" x14ac:dyDescent="0.25">
      <c r="A259" s="9"/>
      <c r="B259" s="10"/>
      <c r="C259" s="10"/>
      <c r="D259" s="10">
        <f t="shared" si="262"/>
        <v>0</v>
      </c>
      <c r="E259" s="11" t="e">
        <f t="shared" si="263"/>
        <v>#DIV/0!</v>
      </c>
      <c r="F259" s="12"/>
      <c r="G259" s="10"/>
      <c r="H259" s="10"/>
      <c r="I259" s="10">
        <f t="shared" si="264"/>
        <v>0</v>
      </c>
      <c r="J259" s="11" t="e">
        <f t="shared" si="265"/>
        <v>#DIV/0!</v>
      </c>
      <c r="K259" s="12"/>
      <c r="L259" s="10">
        <f t="shared" ref="L259:M259" si="271">B259+G259</f>
        <v>0</v>
      </c>
      <c r="M259" s="10">
        <f t="shared" si="271"/>
        <v>0</v>
      </c>
      <c r="N259" s="10">
        <f t="shared" si="267"/>
        <v>0</v>
      </c>
      <c r="O259" s="11" t="e">
        <f t="shared" si="268"/>
        <v>#DIV/0!</v>
      </c>
      <c r="P259" s="13">
        <v>1.8</v>
      </c>
      <c r="Q259" s="14" t="e">
        <f t="shared" si="269"/>
        <v>#DIV/0!</v>
      </c>
      <c r="R259" s="14" t="str">
        <f ca="1">IFERROR(__xludf.DUMMYFUNCTION("IFERROR(
  AVERAGE(
    FILTER(
      $O$2:O259,
      $A$2:A259 &gt;= A259 - 30,
      $A$2:A259 &lt;= A259,
      $O$2:O259 &gt; 0
    )
  ),
"""")"),"")</f>
        <v/>
      </c>
      <c r="S259" s="14"/>
    </row>
    <row r="260" spans="1:19" ht="15.75" customHeight="1" x14ac:dyDescent="0.25">
      <c r="A260" s="9"/>
      <c r="B260" s="10"/>
      <c r="C260" s="10"/>
      <c r="D260" s="10">
        <f t="shared" si="262"/>
        <v>0</v>
      </c>
      <c r="E260" s="11" t="e">
        <f t="shared" si="263"/>
        <v>#DIV/0!</v>
      </c>
      <c r="F260" s="12"/>
      <c r="G260" s="10"/>
      <c r="H260" s="10"/>
      <c r="I260" s="10">
        <f t="shared" si="264"/>
        <v>0</v>
      </c>
      <c r="J260" s="11" t="e">
        <f t="shared" si="265"/>
        <v>#DIV/0!</v>
      </c>
      <c r="K260" s="12"/>
      <c r="L260" s="10">
        <f t="shared" ref="L260:M260" si="272">B260+G260</f>
        <v>0</v>
      </c>
      <c r="M260" s="10">
        <f t="shared" si="272"/>
        <v>0</v>
      </c>
      <c r="N260" s="10">
        <f t="shared" si="267"/>
        <v>0</v>
      </c>
      <c r="O260" s="11" t="e">
        <f t="shared" si="268"/>
        <v>#DIV/0!</v>
      </c>
      <c r="P260" s="13">
        <v>1.8</v>
      </c>
      <c r="Q260" s="14" t="e">
        <f t="shared" si="269"/>
        <v>#DIV/0!</v>
      </c>
      <c r="R260" s="14" t="str">
        <f ca="1">IFERROR(__xludf.DUMMYFUNCTION("IFERROR(
  AVERAGE(
    FILTER(
      $O$2:O260,
      $A$2:A260 &gt;= A260 - 30,
      $A$2:A260 &lt;= A260,
      $O$2:O260 &gt; 0
    )
  ),
"""")"),"")</f>
        <v/>
      </c>
      <c r="S260" s="14"/>
    </row>
    <row r="261" spans="1:19" ht="15.75" customHeight="1" x14ac:dyDescent="0.25">
      <c r="A261" s="9"/>
      <c r="B261" s="10"/>
      <c r="C261" s="10"/>
      <c r="D261" s="10">
        <f t="shared" si="262"/>
        <v>0</v>
      </c>
      <c r="E261" s="11" t="e">
        <f t="shared" si="263"/>
        <v>#DIV/0!</v>
      </c>
      <c r="F261" s="12"/>
      <c r="G261" s="10"/>
      <c r="H261" s="10"/>
      <c r="I261" s="10">
        <f t="shared" si="264"/>
        <v>0</v>
      </c>
      <c r="J261" s="11" t="e">
        <f t="shared" si="265"/>
        <v>#DIV/0!</v>
      </c>
      <c r="K261" s="12"/>
      <c r="L261" s="10">
        <f t="shared" ref="L261:M261" si="273">B261+G261</f>
        <v>0</v>
      </c>
      <c r="M261" s="10">
        <f t="shared" si="273"/>
        <v>0</v>
      </c>
      <c r="N261" s="10">
        <f t="shared" si="267"/>
        <v>0</v>
      </c>
      <c r="O261" s="11" t="e">
        <f t="shared" si="268"/>
        <v>#DIV/0!</v>
      </c>
      <c r="P261" s="13">
        <v>1.8</v>
      </c>
      <c r="Q261" s="14" t="e">
        <f t="shared" si="269"/>
        <v>#DIV/0!</v>
      </c>
      <c r="R261" s="14" t="str">
        <f ca="1">IFERROR(__xludf.DUMMYFUNCTION("IFERROR(
  AVERAGE(
    FILTER(
      $O$2:O261,
      $A$2:A261 &gt;= A261 - 30,
      $A$2:A261 &lt;= A261,
      $O$2:O261 &gt; 0
    )
  ),
"""")"),"")</f>
        <v/>
      </c>
      <c r="S261" s="14"/>
    </row>
    <row r="262" spans="1:19" ht="15.75" customHeight="1" x14ac:dyDescent="0.25">
      <c r="A262" s="9"/>
      <c r="B262" s="10"/>
      <c r="C262" s="10"/>
      <c r="D262" s="10"/>
      <c r="E262" s="11"/>
      <c r="F262" s="12"/>
      <c r="G262" s="10"/>
      <c r="H262" s="10"/>
      <c r="I262" s="10"/>
      <c r="J262" s="11"/>
      <c r="K262" s="12"/>
      <c r="L262" s="10"/>
      <c r="M262" s="10"/>
      <c r="N262" s="10"/>
      <c r="O262" s="11"/>
      <c r="P262" s="13"/>
      <c r="Q262" s="14"/>
      <c r="R262" s="14"/>
      <c r="S262" s="14"/>
    </row>
    <row r="263" spans="1:19" ht="15.75" customHeight="1" x14ac:dyDescent="0.25">
      <c r="A263" s="9"/>
      <c r="B263" s="10"/>
      <c r="C263" s="10"/>
      <c r="D263" s="10"/>
      <c r="E263" s="11"/>
      <c r="F263" s="12"/>
      <c r="G263" s="10"/>
      <c r="H263" s="10"/>
      <c r="I263" s="10"/>
      <c r="J263" s="11"/>
      <c r="K263" s="12"/>
      <c r="L263" s="10"/>
      <c r="M263" s="10"/>
      <c r="N263" s="10"/>
      <c r="O263" s="11"/>
      <c r="P263" s="13"/>
      <c r="Q263" s="14"/>
      <c r="R263" s="14"/>
      <c r="S263" s="14"/>
    </row>
  </sheetData>
  <autoFilter ref="A1:S263" xr:uid="{00000000-0009-0000-0000-000000000000}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34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4.42578125" defaultRowHeight="15" customHeight="1" x14ac:dyDescent="0.25"/>
  <cols>
    <col min="1" max="1" width="10.5703125" customWidth="1"/>
    <col min="2" max="2" width="11.28515625" customWidth="1"/>
    <col min="3" max="3" width="8.5703125" customWidth="1"/>
    <col min="4" max="4" width="10.140625" customWidth="1"/>
    <col min="5" max="5" width="10.5703125" customWidth="1"/>
    <col min="6" max="6" width="12.28515625" customWidth="1"/>
    <col min="7" max="7" width="12.42578125" customWidth="1"/>
    <col min="8" max="8" width="11.28515625" customWidth="1"/>
    <col min="9" max="9" width="12.42578125" customWidth="1"/>
    <col min="10" max="10" width="9.7109375" customWidth="1"/>
    <col min="11" max="11" width="11.85546875" customWidth="1"/>
    <col min="12" max="12" width="14" customWidth="1"/>
    <col min="13" max="13" width="12.28515625" customWidth="1"/>
    <col min="14" max="14" width="14.140625" customWidth="1"/>
    <col min="15" max="15" width="13.28515625" customWidth="1"/>
    <col min="16" max="16" width="13.7109375" customWidth="1"/>
    <col min="17" max="17" width="2.28515625" customWidth="1"/>
    <col min="18" max="18" width="13" customWidth="1"/>
    <col min="19" max="19" width="12.7109375" customWidth="1"/>
    <col min="20" max="21" width="12.28515625" customWidth="1"/>
    <col min="22" max="22" width="12.42578125" customWidth="1"/>
    <col min="23" max="23" width="12.7109375" customWidth="1"/>
    <col min="24" max="24" width="2.28515625" customWidth="1"/>
    <col min="25" max="25" width="10.28515625" customWidth="1"/>
    <col min="26" max="26" width="10.42578125" customWidth="1"/>
    <col min="27" max="28" width="12.28515625" customWidth="1"/>
    <col min="29" max="30" width="10.42578125" customWidth="1"/>
    <col min="31" max="31" width="12" customWidth="1"/>
  </cols>
  <sheetData>
    <row r="1" spans="1:31" ht="60" x14ac:dyDescent="0.25">
      <c r="A1" s="15" t="s">
        <v>0</v>
      </c>
      <c r="B1" s="4" t="s">
        <v>17</v>
      </c>
      <c r="C1" s="2" t="s">
        <v>18</v>
      </c>
      <c r="D1" s="2" t="s">
        <v>19</v>
      </c>
      <c r="E1" s="5" t="s">
        <v>20</v>
      </c>
      <c r="F1" s="6" t="s">
        <v>21</v>
      </c>
      <c r="G1" s="7" t="s">
        <v>22</v>
      </c>
      <c r="H1" s="16" t="s">
        <v>23</v>
      </c>
      <c r="I1" s="7" t="s">
        <v>24</v>
      </c>
      <c r="J1" s="4" t="s">
        <v>25</v>
      </c>
      <c r="K1" s="2" t="s">
        <v>26</v>
      </c>
      <c r="L1" s="17" t="s">
        <v>27</v>
      </c>
      <c r="M1" s="5" t="s">
        <v>28</v>
      </c>
      <c r="N1" s="6" t="s">
        <v>29</v>
      </c>
      <c r="O1" s="7" t="s">
        <v>30</v>
      </c>
      <c r="P1" s="16" t="s">
        <v>31</v>
      </c>
      <c r="Q1" s="2"/>
      <c r="R1" s="2" t="s">
        <v>32</v>
      </c>
      <c r="S1" s="17" t="s">
        <v>33</v>
      </c>
      <c r="T1" s="5" t="s">
        <v>34</v>
      </c>
      <c r="U1" s="6" t="s">
        <v>35</v>
      </c>
      <c r="V1" s="7" t="s">
        <v>36</v>
      </c>
      <c r="W1" s="16" t="s">
        <v>37</v>
      </c>
      <c r="X1" s="2"/>
      <c r="Y1" s="18" t="s">
        <v>38</v>
      </c>
      <c r="Z1" s="2" t="s">
        <v>39</v>
      </c>
      <c r="AA1" s="5" t="s">
        <v>40</v>
      </c>
      <c r="AB1" s="6" t="s">
        <v>41</v>
      </c>
      <c r="AC1" s="7" t="s">
        <v>42</v>
      </c>
      <c r="AD1" s="16" t="s">
        <v>43</v>
      </c>
      <c r="AE1" s="7" t="s">
        <v>24</v>
      </c>
    </row>
    <row r="2" spans="1:31" x14ac:dyDescent="0.25">
      <c r="A2" s="9">
        <v>45901</v>
      </c>
      <c r="B2" s="10"/>
      <c r="C2" s="10">
        <v>1567</v>
      </c>
      <c r="D2" s="10">
        <v>139</v>
      </c>
      <c r="E2" s="11">
        <f t="shared" ref="E2:E256" si="0">D2/C2*100</f>
        <v>8.8704530950861518</v>
      </c>
      <c r="F2" s="13">
        <v>6</v>
      </c>
      <c r="G2" s="14">
        <f t="shared" ref="G2:G256" si="1">F2-E2</f>
        <v>-2.8704530950861518</v>
      </c>
      <c r="H2" s="13">
        <f ca="1">IFERROR(__xludf.DUMMYFUNCTION("IFERROR(
  AVERAGE(
    FILTER(
      $E$2:$E2,
      $A$2:$A2&gt;=A2-30,
      $A$2:$A2&lt;=A2,
      $E$2:$E2&gt;0
    )
  ),
  """"
)"),8.87045309508615)</f>
        <v>8.87045309508615</v>
      </c>
      <c r="I2" s="14"/>
      <c r="J2" s="10"/>
      <c r="K2" s="10">
        <v>200</v>
      </c>
      <c r="L2" s="10">
        <v>5</v>
      </c>
      <c r="M2" s="11">
        <f t="shared" ref="M2:M256" si="2">L2/K2*100</f>
        <v>2.5</v>
      </c>
      <c r="N2" s="13">
        <v>8</v>
      </c>
      <c r="O2" s="14">
        <f t="shared" ref="O2:O256" si="3">N2-M2</f>
        <v>5.5</v>
      </c>
      <c r="P2" s="13" t="str">
        <f ca="1">IFERROR(__xludf.DUMMYFUNCTION("IFERROR(
  AVERAGE(
    FILTER(
      $AA$2:$AA2,
      $A$2:$A2 &gt;= #REF! - 30,
      $A$2:$A2 &lt;= #REF!,
      $AA$2:$AA2 &gt; 0
    )
  ),
"""")"),"")</f>
        <v/>
      </c>
      <c r="Q2" s="10"/>
      <c r="R2" s="10">
        <v>8286</v>
      </c>
      <c r="S2" s="10">
        <v>582</v>
      </c>
      <c r="T2" s="11">
        <f t="shared" ref="T2:T256" si="4">S2/R2*100</f>
        <v>7.0238957277335272</v>
      </c>
      <c r="U2" s="13">
        <v>8</v>
      </c>
      <c r="V2" s="14">
        <f t="shared" ref="V2:V256" si="5">U2-T2</f>
        <v>0.97610427226647278</v>
      </c>
      <c r="W2" s="13" t="str">
        <f ca="1">IFERROR(__xludf.DUMMYFUNCTION("IFERROR(
  AVERAGE(
    FILTER(
      $AA$2:$AA2,
      $A$2:$A2 &gt;= #REF! - 30,
      $A$2:$A2 &lt;= #REF!,
      $AA$2:$AA2 &gt; 0
    )
  ),
"""")"),"")</f>
        <v/>
      </c>
      <c r="X2" s="10"/>
      <c r="Y2" s="10">
        <f t="shared" ref="Y2:Y221" si="6">K2+R2</f>
        <v>8486</v>
      </c>
      <c r="Z2" s="10">
        <f t="shared" ref="Z2:Z221" si="7">D2+L2+S2</f>
        <v>726</v>
      </c>
      <c r="AA2" s="11">
        <f t="shared" ref="AA2:AA242" si="8">Z2/Y2*100</f>
        <v>8.5552674994107942</v>
      </c>
      <c r="AB2" s="13">
        <v>8</v>
      </c>
      <c r="AC2" s="14">
        <f t="shared" ref="AC2:AC242" si="9">AB2-AA2</f>
        <v>-0.55526749941079423</v>
      </c>
      <c r="AD2" s="13">
        <f ca="1">IFERROR(__xludf.DUMMYFUNCTION("IFERROR(
  AVERAGE(
    FILTER(
      $AA$2:$AA2,
      $A$2:$A2 &gt;= A2 - 30,
      $A$2:$A2 &lt;= A2,
      $AA$2:$AA2 &gt; 0
    )
  ),
"""")"),8.55526749941079)</f>
        <v>8.5552674994107907</v>
      </c>
      <c r="AE2" s="14"/>
    </row>
    <row r="3" spans="1:31" x14ac:dyDescent="0.25">
      <c r="A3" s="9">
        <v>45902</v>
      </c>
      <c r="B3" s="10"/>
      <c r="C3" s="10">
        <v>700</v>
      </c>
      <c r="D3" s="10">
        <v>118</v>
      </c>
      <c r="E3" s="11">
        <f t="shared" si="0"/>
        <v>16.857142857142858</v>
      </c>
      <c r="F3" s="13">
        <v>6</v>
      </c>
      <c r="G3" s="14">
        <f t="shared" si="1"/>
        <v>-10.857142857142858</v>
      </c>
      <c r="H3" s="13">
        <f ca="1">IFERROR(__xludf.DUMMYFUNCTION("IFERROR(
  AVERAGE(
    FILTER(
      $E$2:$E3,
      $A$2:$A3&gt;=A3-30,
      $A$2:$A3&lt;=A3,
      $E$2:$E3&gt;0
    )
  ),
  """"
)"),12.8637979761145)</f>
        <v>12.863797976114499</v>
      </c>
      <c r="I3" s="14"/>
      <c r="J3" s="10"/>
      <c r="K3" s="10">
        <v>1478</v>
      </c>
      <c r="L3" s="10">
        <v>109</v>
      </c>
      <c r="M3" s="11">
        <f t="shared" si="2"/>
        <v>7.3748308525033837</v>
      </c>
      <c r="N3" s="13">
        <v>8</v>
      </c>
      <c r="O3" s="14">
        <f t="shared" si="3"/>
        <v>0.62516914749661634</v>
      </c>
      <c r="P3" s="13" t="str">
        <f ca="1">IFERROR(__xludf.DUMMYFUNCTION("IFERROR(
  AVERAGE(
    FILTER(
      $AA$2:$AA3,
      $A$2:$A3 &gt;= #REF! - 30,
      $A$2:$A3 &lt;= #REF!,
      $AA$2:$AA3 &gt; 0
    )
  ),
"""")"),"")</f>
        <v/>
      </c>
      <c r="Q3" s="10"/>
      <c r="R3" s="10">
        <v>5084</v>
      </c>
      <c r="S3" s="10">
        <v>739</v>
      </c>
      <c r="T3" s="11">
        <f t="shared" si="4"/>
        <v>14.535798583792289</v>
      </c>
      <c r="U3" s="13">
        <v>8</v>
      </c>
      <c r="V3" s="14">
        <f t="shared" si="5"/>
        <v>-6.535798583792289</v>
      </c>
      <c r="W3" s="13" t="str">
        <f ca="1">IFERROR(__xludf.DUMMYFUNCTION("IFERROR(
  AVERAGE(
    FILTER(
      $AA$2:$AA3,
      $A$2:$A3 &gt;= #REF! - 30,
      $A$2:$A3 &lt;= #REF!,
      $AA$2:$AA3 &gt; 0
    )
  ),
"""")"),"")</f>
        <v/>
      </c>
      <c r="X3" s="10"/>
      <c r="Y3" s="10">
        <f t="shared" si="6"/>
        <v>6562</v>
      </c>
      <c r="Z3" s="10">
        <f t="shared" si="7"/>
        <v>966</v>
      </c>
      <c r="AA3" s="11">
        <f t="shared" si="8"/>
        <v>14.721121609265467</v>
      </c>
      <c r="AB3" s="13">
        <v>8</v>
      </c>
      <c r="AC3" s="14">
        <f t="shared" si="9"/>
        <v>-6.7211216092654666</v>
      </c>
      <c r="AD3" s="13">
        <f ca="1">IFERROR(__xludf.DUMMYFUNCTION("IFERROR(
  AVERAGE(
    FILTER(
      $AA$2:$AA3,
      $A$2:$A3 &gt;= A3 - 30,
      $A$2:$A3 &lt;= A3,
      $AA$2:$AA3 &gt; 0
    )
  ),
"""")"),11.6381945543381)</f>
        <v>11.638194554338099</v>
      </c>
      <c r="AE3" s="14"/>
    </row>
    <row r="4" spans="1:31" x14ac:dyDescent="0.25">
      <c r="A4" s="9">
        <v>45903</v>
      </c>
      <c r="B4" s="10"/>
      <c r="C4" s="10">
        <v>2244</v>
      </c>
      <c r="D4" s="10">
        <v>199</v>
      </c>
      <c r="E4" s="11">
        <f t="shared" si="0"/>
        <v>8.8680926916221043</v>
      </c>
      <c r="F4" s="13">
        <v>6</v>
      </c>
      <c r="G4" s="14">
        <f t="shared" si="1"/>
        <v>-2.8680926916221043</v>
      </c>
      <c r="H4" s="13">
        <f ca="1">IFERROR(__xludf.DUMMYFUNCTION("IFERROR(
  AVERAGE(
    FILTER(
      $E$2:$E4,
      $A$2:$A4&gt;=A4-30,
      $A$2:$A4&lt;=A4,
      $E$2:$E4&gt;0
    )
  ),
  """"
)"),11.531896214617)</f>
        <v>11.531896214616999</v>
      </c>
      <c r="I4" s="14"/>
      <c r="J4" s="10"/>
      <c r="K4" s="10">
        <v>3964</v>
      </c>
      <c r="L4" s="10">
        <v>167</v>
      </c>
      <c r="M4" s="11">
        <f t="shared" si="2"/>
        <v>4.2129162462159435</v>
      </c>
      <c r="N4" s="13">
        <v>8</v>
      </c>
      <c r="O4" s="14">
        <f t="shared" si="3"/>
        <v>3.7870837537840565</v>
      </c>
      <c r="P4" s="13" t="str">
        <f ca="1">IFERROR(__xludf.DUMMYFUNCTION("IFERROR(
  AVERAGE(
    FILTER(
      $AA$2:$AA4,
      $A$2:$A4 &gt;= #REF! - 30,
      $A$2:$A4 &lt;= #REF!,
      $AA$2:$AA4 &gt; 0
    )
  ),
"""")"),"")</f>
        <v/>
      </c>
      <c r="Q4" s="10"/>
      <c r="R4" s="10">
        <v>9586</v>
      </c>
      <c r="S4" s="10">
        <v>810</v>
      </c>
      <c r="T4" s="11">
        <f t="shared" si="4"/>
        <v>8.4498226580429794</v>
      </c>
      <c r="U4" s="13">
        <v>8</v>
      </c>
      <c r="V4" s="14">
        <f t="shared" si="5"/>
        <v>-0.44982265804297938</v>
      </c>
      <c r="W4" s="13" t="str">
        <f ca="1">IFERROR(__xludf.DUMMYFUNCTION("IFERROR(
  AVERAGE(
    FILTER(
      $AA$2:$AA4,
      $A$2:$A4 &gt;= #REF! - 30,
      $A$2:$A4 &lt;= #REF!,
      $AA$2:$AA4 &gt; 0
    )
  ),
"""")"),"")</f>
        <v/>
      </c>
      <c r="X4" s="10"/>
      <c r="Y4" s="10">
        <f t="shared" si="6"/>
        <v>13550</v>
      </c>
      <c r="Z4" s="10">
        <f t="shared" si="7"/>
        <v>1176</v>
      </c>
      <c r="AA4" s="11">
        <f t="shared" si="8"/>
        <v>8.6789667896678964</v>
      </c>
      <c r="AB4" s="13">
        <v>8</v>
      </c>
      <c r="AC4" s="14">
        <f t="shared" si="9"/>
        <v>-0.67896678966789636</v>
      </c>
      <c r="AD4" s="13">
        <f ca="1">IFERROR(__xludf.DUMMYFUNCTION("IFERROR(
  AVERAGE(
    FILTER(
      $AA$2:$AA4,
      $A$2:$A4 &gt;= A4 - 30,
      $A$2:$A4 &lt;= A4,
      $AA$2:$AA4 &gt; 0
    )
  ),
"""")"),10.651785299448)</f>
        <v>10.651785299447999</v>
      </c>
      <c r="AE4" s="14"/>
    </row>
    <row r="5" spans="1:31" x14ac:dyDescent="0.25">
      <c r="A5" s="9">
        <v>45904</v>
      </c>
      <c r="B5" s="10"/>
      <c r="C5" s="10">
        <v>2172</v>
      </c>
      <c r="D5" s="10">
        <v>252</v>
      </c>
      <c r="E5" s="11">
        <f t="shared" si="0"/>
        <v>11.602209944751381</v>
      </c>
      <c r="F5" s="13">
        <v>6</v>
      </c>
      <c r="G5" s="14">
        <f t="shared" si="1"/>
        <v>-5.6022099447513813</v>
      </c>
      <c r="H5" s="13">
        <f ca="1">IFERROR(__xludf.DUMMYFUNCTION("IFERROR(
  AVERAGE(
    FILTER(
      $E$2:$E5,
      $A$2:$A5&gt;=A5-30,
      $A$2:$A5&lt;=A5,
      $E$2:$E5&gt;0
    )
  ),
  """"
)"),11.5494746471506)</f>
        <v>11.5494746471506</v>
      </c>
      <c r="I5" s="14"/>
      <c r="J5" s="10"/>
      <c r="K5" s="10">
        <v>0</v>
      </c>
      <c r="L5" s="10">
        <v>0</v>
      </c>
      <c r="M5" s="11" t="e">
        <f t="shared" si="2"/>
        <v>#DIV/0!</v>
      </c>
      <c r="N5" s="13">
        <v>8</v>
      </c>
      <c r="O5" s="14" t="e">
        <f t="shared" si="3"/>
        <v>#DIV/0!</v>
      </c>
      <c r="P5" s="13" t="str">
        <f ca="1">IFERROR(__xludf.DUMMYFUNCTION("IFERROR(
  AVERAGE(
    FILTER(
      $AA$2:$AA5,
      $A$2:$A5 &gt;= #REF! - 30,
      $A$2:$A5 &lt;= #REF!,
      $AA$2:$AA5 &gt; 0
    )
  ),
"""")"),"")</f>
        <v/>
      </c>
      <c r="Q5" s="10"/>
      <c r="R5" s="10">
        <v>7999</v>
      </c>
      <c r="S5" s="10">
        <v>784</v>
      </c>
      <c r="T5" s="11">
        <f t="shared" si="4"/>
        <v>9.8012251531441432</v>
      </c>
      <c r="U5" s="13">
        <v>8</v>
      </c>
      <c r="V5" s="14">
        <f t="shared" si="5"/>
        <v>-1.8012251531441432</v>
      </c>
      <c r="W5" s="13" t="str">
        <f ca="1">IFERROR(__xludf.DUMMYFUNCTION("IFERROR(
  AVERAGE(
    FILTER(
      $AA$2:$AA5,
      $A$2:$A5 &gt;= #REF! - 30,
      $A$2:$A5 &lt;= #REF!,
      $AA$2:$AA5 &gt; 0
    )
  ),
"""")"),"")</f>
        <v/>
      </c>
      <c r="X5" s="10"/>
      <c r="Y5" s="10">
        <f t="shared" si="6"/>
        <v>7999</v>
      </c>
      <c r="Z5" s="10">
        <f t="shared" si="7"/>
        <v>1036</v>
      </c>
      <c r="AA5" s="11">
        <f t="shared" si="8"/>
        <v>12.951618952369046</v>
      </c>
      <c r="AB5" s="13">
        <v>8</v>
      </c>
      <c r="AC5" s="14">
        <f t="shared" si="9"/>
        <v>-4.9516189523690457</v>
      </c>
      <c r="AD5" s="13">
        <f ca="1">IFERROR(__xludf.DUMMYFUNCTION("IFERROR(
  AVERAGE(
    FILTER(
      $AA$2:$AA5,
      $A$2:$A5 &gt;= A5 - 30,
      $A$2:$A5 &lt;= A5,
      $AA$2:$AA5 &gt; 0
    )
  ),
"""")"),11.2267437126783)</f>
        <v>11.226743712678299</v>
      </c>
      <c r="AE5" s="14"/>
    </row>
    <row r="6" spans="1:31" x14ac:dyDescent="0.25">
      <c r="A6" s="9">
        <v>45905</v>
      </c>
      <c r="B6" s="10"/>
      <c r="C6" s="10">
        <v>1373</v>
      </c>
      <c r="D6" s="10">
        <v>108</v>
      </c>
      <c r="E6" s="11">
        <f t="shared" si="0"/>
        <v>7.8659868900218504</v>
      </c>
      <c r="F6" s="13">
        <v>6</v>
      </c>
      <c r="G6" s="14">
        <f t="shared" si="1"/>
        <v>-1.8659868900218504</v>
      </c>
      <c r="H6" s="13">
        <f ca="1">IFERROR(__xludf.DUMMYFUNCTION("IFERROR(
  AVERAGE(
    FILTER(
      $E$2:$E6,
      $A$2:$A6&gt;=A6-30,
      $A$2:$A6&lt;=A6,
      $E$2:$E6&gt;0
    )
  ),
  """"
)"),10.8127770957248)</f>
        <v>10.812777095724799</v>
      </c>
      <c r="I6" s="14"/>
      <c r="J6" s="10"/>
      <c r="K6" s="10">
        <v>5688</v>
      </c>
      <c r="L6" s="10">
        <v>212</v>
      </c>
      <c r="M6" s="11">
        <f t="shared" si="2"/>
        <v>3.7271448663853728</v>
      </c>
      <c r="N6" s="13">
        <v>8</v>
      </c>
      <c r="O6" s="14">
        <f t="shared" si="3"/>
        <v>4.2728551336146268</v>
      </c>
      <c r="P6" s="13" t="str">
        <f ca="1">IFERROR(__xludf.DUMMYFUNCTION("IFERROR(
  AVERAGE(
    FILTER(
      $AA$2:$AA6,
      $A$2:$A6 &gt;= #REF! - 30,
      $A$2:$A6 &lt;= #REF!,
      $AA$2:$AA6 &gt; 0
    )
  ),
"""")"),"")</f>
        <v/>
      </c>
      <c r="Q6" s="10"/>
      <c r="R6" s="10">
        <v>5826</v>
      </c>
      <c r="S6" s="10">
        <v>327</v>
      </c>
      <c r="T6" s="11">
        <f t="shared" si="4"/>
        <v>5.6127703398558184</v>
      </c>
      <c r="U6" s="13">
        <v>8</v>
      </c>
      <c r="V6" s="14">
        <f t="shared" si="5"/>
        <v>2.3872296601441816</v>
      </c>
      <c r="W6" s="13" t="str">
        <f ca="1">IFERROR(__xludf.DUMMYFUNCTION("IFERROR(
  AVERAGE(
    FILTER(
      $AA$2:$AA6,
      $A$2:$A6 &gt;= #REF! - 30,
      $A$2:$A6 &lt;= #REF!,
      $AA$2:$AA6 &gt; 0
    )
  ),
"""")"),"")</f>
        <v/>
      </c>
      <c r="X6" s="10"/>
      <c r="Y6" s="10">
        <f t="shared" si="6"/>
        <v>11514</v>
      </c>
      <c r="Z6" s="10">
        <f t="shared" si="7"/>
        <v>647</v>
      </c>
      <c r="AA6" s="11">
        <f t="shared" si="8"/>
        <v>5.6192461351398295</v>
      </c>
      <c r="AB6" s="13">
        <v>8</v>
      </c>
      <c r="AC6" s="14">
        <f t="shared" si="9"/>
        <v>2.3807538648601705</v>
      </c>
      <c r="AD6" s="13">
        <f ca="1">IFERROR(__xludf.DUMMYFUNCTION("IFERROR(
  AVERAGE(
    FILTER(
      $AA$2:$AA6,
      $A$2:$A6 &gt;= A6 - 30,
      $A$2:$A6 &lt;= A6,
      $AA$2:$AA6 &gt; 0
    )
  ),
"""")"),10.1052441971706)</f>
        <v>10.105244197170601</v>
      </c>
      <c r="AE6" s="14"/>
    </row>
    <row r="7" spans="1:31" x14ac:dyDescent="0.25">
      <c r="A7" s="9">
        <v>45906</v>
      </c>
      <c r="B7" s="10"/>
      <c r="C7" s="10">
        <v>2189</v>
      </c>
      <c r="D7" s="10">
        <v>190</v>
      </c>
      <c r="E7" s="11">
        <f t="shared" si="0"/>
        <v>8.6797624486066685</v>
      </c>
      <c r="F7" s="13">
        <v>6</v>
      </c>
      <c r="G7" s="14">
        <f t="shared" si="1"/>
        <v>-2.6797624486066685</v>
      </c>
      <c r="H7" s="13">
        <f ca="1">IFERROR(__xludf.DUMMYFUNCTION("IFERROR(
  AVERAGE(
    FILTER(
      $E$2:$E7,
      $A$2:$A7&gt;=A7-30,
      $A$2:$A7&lt;=A7,
      $E$2:$E7&gt;0
    )
  ),
  """"
)"),10.4572746545385)</f>
        <v>10.4572746545385</v>
      </c>
      <c r="I7" s="14"/>
      <c r="J7" s="10"/>
      <c r="K7" s="10">
        <v>3048</v>
      </c>
      <c r="L7" s="10">
        <v>59</v>
      </c>
      <c r="M7" s="11">
        <f t="shared" si="2"/>
        <v>1.935695538057743</v>
      </c>
      <c r="N7" s="13">
        <v>8</v>
      </c>
      <c r="O7" s="14">
        <f t="shared" si="3"/>
        <v>6.0643044619422568</v>
      </c>
      <c r="P7" s="13" t="str">
        <f ca="1">IFERROR(__xludf.DUMMYFUNCTION("IFERROR(
  AVERAGE(
    FILTER(
      $AA$2:$AA7,
      $A$2:$A7 &gt;= #REF! - 30,
      $A$2:$A7 &lt;= #REF!,
      $AA$2:$AA7 &gt; 0
    )
  ),
"""")"),"")</f>
        <v/>
      </c>
      <c r="Q7" s="10"/>
      <c r="R7" s="10">
        <v>10729</v>
      </c>
      <c r="S7" s="10">
        <v>769</v>
      </c>
      <c r="T7" s="11">
        <f t="shared" si="4"/>
        <v>7.1674899804268808</v>
      </c>
      <c r="U7" s="13">
        <v>8</v>
      </c>
      <c r="V7" s="14">
        <f t="shared" si="5"/>
        <v>0.83251001957311921</v>
      </c>
      <c r="W7" s="13" t="str">
        <f ca="1">IFERROR(__xludf.DUMMYFUNCTION("IFERROR(
  AVERAGE(
    FILTER(
      $AA$2:$AA7,
      $A$2:$A7 &gt;= #REF! - 30,
      $A$2:$A7 &lt;= #REF!,
      $AA$2:$AA7 &gt; 0
    )
  ),
"""")"),"")</f>
        <v/>
      </c>
      <c r="X7" s="10"/>
      <c r="Y7" s="10">
        <f t="shared" si="6"/>
        <v>13777</v>
      </c>
      <c r="Z7" s="10">
        <f t="shared" si="7"/>
        <v>1018</v>
      </c>
      <c r="AA7" s="11">
        <f t="shared" si="8"/>
        <v>7.3891268055454749</v>
      </c>
      <c r="AB7" s="13">
        <v>8</v>
      </c>
      <c r="AC7" s="14">
        <f t="shared" si="9"/>
        <v>0.61087319445452515</v>
      </c>
      <c r="AD7" s="13">
        <f ca="1">IFERROR(__xludf.DUMMYFUNCTION("IFERROR(
  AVERAGE(
    FILTER(
      $AA$2:$AA7,
      $A$2:$A7 &gt;= A7 - 30,
      $A$2:$A7 &lt;= A7,
      $AA$2:$AA7 &gt; 0
    )
  ),
"""")"),9.65255796523308)</f>
        <v>9.6525579652330808</v>
      </c>
      <c r="AE7" s="14"/>
    </row>
    <row r="8" spans="1:31" x14ac:dyDescent="0.25">
      <c r="A8" s="9">
        <v>45907</v>
      </c>
      <c r="B8" s="10"/>
      <c r="C8" s="10">
        <v>0</v>
      </c>
      <c r="D8" s="10">
        <v>0</v>
      </c>
      <c r="E8" s="11" t="e">
        <f t="shared" si="0"/>
        <v>#DIV/0!</v>
      </c>
      <c r="F8" s="13">
        <v>6</v>
      </c>
      <c r="G8" s="14" t="e">
        <f t="shared" si="1"/>
        <v>#DIV/0!</v>
      </c>
      <c r="H8" s="13">
        <f ca="1">IFERROR(__xludf.DUMMYFUNCTION("IFERROR(
  AVERAGE(
    FILTER(
      $E$2:$E8,
      $A$2:$A8&gt;=A8-30,
      $A$2:$A8&lt;=A8,
      $E$2:$E8&gt;0
    )
  ),
  """"
)"),10.4572746545385)</f>
        <v>10.4572746545385</v>
      </c>
      <c r="I8" s="14"/>
      <c r="J8" s="10"/>
      <c r="K8" s="10">
        <v>0</v>
      </c>
      <c r="L8" s="10">
        <v>0</v>
      </c>
      <c r="M8" s="11" t="e">
        <f t="shared" si="2"/>
        <v>#DIV/0!</v>
      </c>
      <c r="N8" s="13">
        <v>8</v>
      </c>
      <c r="O8" s="14" t="e">
        <f t="shared" si="3"/>
        <v>#DIV/0!</v>
      </c>
      <c r="P8" s="13" t="str">
        <f ca="1">IFERROR(__xludf.DUMMYFUNCTION("IFERROR(
  AVERAGE(
    FILTER(
      $AA$2:$AA8,
      $A$2:$A8 &gt;= #REF! - 30,
      $A$2:$A8 &lt;= #REF!,
      $AA$2:$AA8 &gt; 0
    )
  ),
"""")"),"")</f>
        <v/>
      </c>
      <c r="Q8" s="10"/>
      <c r="R8" s="10">
        <v>1120</v>
      </c>
      <c r="S8" s="10">
        <v>90</v>
      </c>
      <c r="T8" s="11">
        <f t="shared" si="4"/>
        <v>8.0357142857142865</v>
      </c>
      <c r="U8" s="13">
        <v>8</v>
      </c>
      <c r="V8" s="14">
        <f t="shared" si="5"/>
        <v>-3.5714285714286476E-2</v>
      </c>
      <c r="W8" s="13" t="str">
        <f ca="1">IFERROR(__xludf.DUMMYFUNCTION("IFERROR(
  AVERAGE(
    FILTER(
      $AA$2:$AA8,
      $A$2:$A8 &gt;= #REF! - 30,
      $A$2:$A8 &lt;= #REF!,
      $AA$2:$AA8 &gt; 0
    )
  ),
"""")"),"")</f>
        <v/>
      </c>
      <c r="X8" s="10"/>
      <c r="Y8" s="10">
        <f t="shared" si="6"/>
        <v>1120</v>
      </c>
      <c r="Z8" s="10">
        <f t="shared" si="7"/>
        <v>90</v>
      </c>
      <c r="AA8" s="11">
        <f t="shared" si="8"/>
        <v>8.0357142857142865</v>
      </c>
      <c r="AB8" s="13">
        <v>8</v>
      </c>
      <c r="AC8" s="14">
        <f t="shared" si="9"/>
        <v>-3.5714285714286476E-2</v>
      </c>
      <c r="AD8" s="13">
        <f ca="1">IFERROR(__xludf.DUMMYFUNCTION("IFERROR(
  AVERAGE(
    FILTER(
      $AA$2:$AA8,
      $A$2:$A8 &gt;= A8 - 30,
      $A$2:$A8 &lt;= A8,
      $AA$2:$AA8 &gt; 0
    )
  ),
"""")"),9.42158029673039)</f>
        <v>9.4215802967303901</v>
      </c>
      <c r="AE8" s="14"/>
    </row>
    <row r="9" spans="1:31" x14ac:dyDescent="0.25">
      <c r="A9" s="9">
        <v>45908</v>
      </c>
      <c r="B9" s="10"/>
      <c r="C9" s="10">
        <v>2061</v>
      </c>
      <c r="D9" s="10">
        <v>152</v>
      </c>
      <c r="E9" s="11">
        <f t="shared" si="0"/>
        <v>7.3750606501698206</v>
      </c>
      <c r="F9" s="13">
        <v>6</v>
      </c>
      <c r="G9" s="14">
        <f t="shared" si="1"/>
        <v>-1.3750606501698206</v>
      </c>
      <c r="H9" s="13">
        <f ca="1">IFERROR(__xludf.DUMMYFUNCTION("IFERROR(
  AVERAGE(
    FILTER(
      $E$2:$E9,
      $A$2:$A9&gt;=A9-30,
      $A$2:$A9&lt;=A9,
      $E$2:$E9&gt;0
    )
  ),
  """"
)"),10.0169583682001)</f>
        <v>10.0169583682001</v>
      </c>
      <c r="I9" s="14"/>
      <c r="J9" s="10"/>
      <c r="K9" s="10">
        <v>2200</v>
      </c>
      <c r="L9" s="10">
        <v>95</v>
      </c>
      <c r="M9" s="11">
        <f t="shared" si="2"/>
        <v>4.3181818181818183</v>
      </c>
      <c r="N9" s="13">
        <v>8</v>
      </c>
      <c r="O9" s="14">
        <f t="shared" si="3"/>
        <v>3.6818181818181817</v>
      </c>
      <c r="P9" s="13" t="str">
        <f ca="1">IFERROR(__xludf.DUMMYFUNCTION("IFERROR(
  AVERAGE(
    FILTER(
      $AA$2:$AA9,
      $A$2:$A9 &gt;= #REF! - 30,
      $A$2:$A9 &lt;= #REF!,
      $AA$2:$AA9 &gt; 0
    )
  ),
"""")"),"")</f>
        <v/>
      </c>
      <c r="Q9" s="10"/>
      <c r="R9" s="10">
        <v>10065</v>
      </c>
      <c r="S9" s="10">
        <v>610</v>
      </c>
      <c r="T9" s="11">
        <f t="shared" si="4"/>
        <v>6.0606060606060606</v>
      </c>
      <c r="U9" s="13">
        <v>8</v>
      </c>
      <c r="V9" s="14">
        <f t="shared" si="5"/>
        <v>1.9393939393939394</v>
      </c>
      <c r="W9" s="13" t="str">
        <f ca="1">IFERROR(__xludf.DUMMYFUNCTION("IFERROR(
  AVERAGE(
    FILTER(
      $AA$2:$AA9,
      $A$2:$A9 &gt;= #REF! - 30,
      $A$2:$A9 &lt;= #REF!,
      $AA$2:$AA9 &gt; 0
    )
  ),
"""")"),"")</f>
        <v/>
      </c>
      <c r="X9" s="10"/>
      <c r="Y9" s="10">
        <f t="shared" si="6"/>
        <v>12265</v>
      </c>
      <c r="Z9" s="10">
        <f t="shared" si="7"/>
        <v>857</v>
      </c>
      <c r="AA9" s="11">
        <f t="shared" si="8"/>
        <v>6.9873624133713816</v>
      </c>
      <c r="AB9" s="13">
        <v>8</v>
      </c>
      <c r="AC9" s="14">
        <f t="shared" si="9"/>
        <v>1.0126375866286184</v>
      </c>
      <c r="AD9" s="13">
        <f ca="1">IFERROR(__xludf.DUMMYFUNCTION("IFERROR(
  AVERAGE(
    FILTER(
      $AA$2:$AA9,
      $A$2:$A9 &gt;= A9 - 30,
      $A$2:$A9 &lt;= A9,
      $AA$2:$AA9 &gt; 0
    )
  ),
"""")"),9.11730306131052)</f>
        <v>9.1173030613105208</v>
      </c>
      <c r="AE9" s="14"/>
    </row>
    <row r="10" spans="1:31" x14ac:dyDescent="0.25">
      <c r="A10" s="9">
        <v>45909</v>
      </c>
      <c r="B10" s="10"/>
      <c r="C10" s="10">
        <v>2225</v>
      </c>
      <c r="D10" s="10">
        <v>127</v>
      </c>
      <c r="E10" s="11">
        <f t="shared" si="0"/>
        <v>5.7078651685393256</v>
      </c>
      <c r="F10" s="13">
        <v>6</v>
      </c>
      <c r="G10" s="14">
        <f t="shared" si="1"/>
        <v>0.29213483146067443</v>
      </c>
      <c r="H10" s="13">
        <f ca="1">IFERROR(__xludf.DUMMYFUNCTION("IFERROR(
  AVERAGE(
    FILTER(
      $E$2:$E10,
      $A$2:$A10&gt;=A10-30,
      $A$2:$A10&lt;=A10,
      $E$2:$E10&gt;0
    )
  ),
  """"
)"),9.47832171824251)</f>
        <v>9.4783217182425101</v>
      </c>
      <c r="I10" s="14"/>
      <c r="J10" s="10"/>
      <c r="K10" s="10">
        <v>0</v>
      </c>
      <c r="L10" s="10">
        <v>0</v>
      </c>
      <c r="M10" s="11" t="e">
        <f t="shared" si="2"/>
        <v>#DIV/0!</v>
      </c>
      <c r="N10" s="13">
        <v>8</v>
      </c>
      <c r="O10" s="14" t="e">
        <f t="shared" si="3"/>
        <v>#DIV/0!</v>
      </c>
      <c r="P10" s="13" t="str">
        <f ca="1">IFERROR(__xludf.DUMMYFUNCTION("IFERROR(
  AVERAGE(
    FILTER(
      $AA$2:$AA10,
      $A$2:$A10 &gt;= #REF! - 30,
      $A$2:$A10 &lt;= #REF!,
      $AA$2:$AA10 &gt; 0
    )
  ),
"""")"),"")</f>
        <v/>
      </c>
      <c r="Q10" s="10"/>
      <c r="R10" s="10">
        <v>12094</v>
      </c>
      <c r="S10" s="10">
        <v>807</v>
      </c>
      <c r="T10" s="11">
        <f t="shared" si="4"/>
        <v>6.6727302794774266</v>
      </c>
      <c r="U10" s="13">
        <v>8</v>
      </c>
      <c r="V10" s="14">
        <f t="shared" si="5"/>
        <v>1.3272697205225734</v>
      </c>
      <c r="W10" s="13" t="str">
        <f ca="1">IFERROR(__xludf.DUMMYFUNCTION("IFERROR(
  AVERAGE(
    FILTER(
      $AA$2:$AA10,
      $A$2:$A10 &gt;= #REF! - 30,
      $A$2:$A10 &lt;= #REF!,
      $AA$2:$AA10 &gt; 0
    )
  ),
"""")"),"")</f>
        <v/>
      </c>
      <c r="X10" s="10"/>
      <c r="Y10" s="10">
        <f t="shared" si="6"/>
        <v>12094</v>
      </c>
      <c r="Z10" s="10">
        <f t="shared" si="7"/>
        <v>934</v>
      </c>
      <c r="AA10" s="11">
        <f t="shared" si="8"/>
        <v>7.7228377707954365</v>
      </c>
      <c r="AB10" s="13">
        <v>8</v>
      </c>
      <c r="AC10" s="14">
        <f t="shared" si="9"/>
        <v>0.27716222920456346</v>
      </c>
      <c r="AD10" s="13">
        <f ca="1">IFERROR(__xludf.DUMMYFUNCTION("IFERROR(
  AVERAGE(
    FILTER(
      $AA$2:$AA10,
      $A$2:$A10 &gt;= A10 - 30,
      $A$2:$A10 &lt;= A10,
      $AA$2:$AA10 &gt; 0
    )
  ),
"""")"),8.96236247347551)</f>
        <v>8.9623624734755101</v>
      </c>
      <c r="AE10" s="14"/>
    </row>
    <row r="11" spans="1:31" x14ac:dyDescent="0.25">
      <c r="A11" s="9">
        <v>45910</v>
      </c>
      <c r="B11" s="10"/>
      <c r="C11" s="10">
        <v>2033</v>
      </c>
      <c r="D11" s="10">
        <v>102</v>
      </c>
      <c r="E11" s="11">
        <f t="shared" si="0"/>
        <v>5.0172159370388592</v>
      </c>
      <c r="F11" s="13">
        <v>6</v>
      </c>
      <c r="G11" s="14">
        <f t="shared" si="1"/>
        <v>0.98278406296114085</v>
      </c>
      <c r="H11" s="13">
        <f ca="1">IFERROR(__xludf.DUMMYFUNCTION("IFERROR(
  AVERAGE(
    FILTER(
      $E$2:$E11,
      $A$2:$A11&gt;=A11-30,
      $A$2:$A11&lt;=A11,
      $E$2:$E11&gt;0
    )
  ),
  """"
)"),8.98264329810877)</f>
        <v>8.9826432981087692</v>
      </c>
      <c r="I11" s="14"/>
      <c r="J11" s="10"/>
      <c r="K11" s="10">
        <v>0</v>
      </c>
      <c r="L11" s="10">
        <v>0</v>
      </c>
      <c r="M11" s="11" t="e">
        <f t="shared" si="2"/>
        <v>#DIV/0!</v>
      </c>
      <c r="N11" s="13">
        <v>8</v>
      </c>
      <c r="O11" s="14" t="e">
        <f t="shared" si="3"/>
        <v>#DIV/0!</v>
      </c>
      <c r="P11" s="13" t="str">
        <f ca="1">IFERROR(__xludf.DUMMYFUNCTION("IFERROR(
  AVERAGE(
    FILTER(
      $AA$2:$AA11,
      $A$2:$A11 &gt;= #REF! - 30,
      $A$2:$A11 &lt;= #REF!,
      $AA$2:$AA11 &gt; 0
    )
  ),
"""")"),"")</f>
        <v/>
      </c>
      <c r="Q11" s="10"/>
      <c r="R11" s="10">
        <v>9043</v>
      </c>
      <c r="S11" s="10">
        <v>710</v>
      </c>
      <c r="T11" s="11">
        <f t="shared" si="4"/>
        <v>7.8513767555014935</v>
      </c>
      <c r="U11" s="13">
        <v>8</v>
      </c>
      <c r="V11" s="14">
        <f t="shared" si="5"/>
        <v>0.1486232444985065</v>
      </c>
      <c r="W11" s="13" t="str">
        <f ca="1">IFERROR(__xludf.DUMMYFUNCTION("IFERROR(
  AVERAGE(
    FILTER(
      $AA$2:$AA11,
      $A$2:$A11 &gt;= #REF! - 30,
      $A$2:$A11 &lt;= #REF!,
      $AA$2:$AA11 &gt; 0
    )
  ),
"""")"),"")</f>
        <v/>
      </c>
      <c r="X11" s="10"/>
      <c r="Y11" s="10">
        <f t="shared" si="6"/>
        <v>9043</v>
      </c>
      <c r="Z11" s="10">
        <f t="shared" si="7"/>
        <v>812</v>
      </c>
      <c r="AA11" s="11">
        <f t="shared" si="8"/>
        <v>8.9793210217848056</v>
      </c>
      <c r="AB11" s="13">
        <v>8</v>
      </c>
      <c r="AC11" s="14">
        <f t="shared" si="9"/>
        <v>-0.97932102178480562</v>
      </c>
      <c r="AD11" s="13">
        <f ca="1">IFERROR(__xludf.DUMMYFUNCTION("IFERROR(
  AVERAGE(
    FILTER(
      $AA$2:$AA11,
      $A$2:$A11 &gt;= A11 - 30,
      $A$2:$A11 &lt;= A11,
      $AA$2:$AA11 &gt; 0
    )
  ),
"""")"),8.96405832830644)</f>
        <v>8.9640583283064394</v>
      </c>
      <c r="AE11" s="14"/>
    </row>
    <row r="12" spans="1:31" x14ac:dyDescent="0.25">
      <c r="A12" s="9">
        <v>45911</v>
      </c>
      <c r="B12" s="10"/>
      <c r="C12" s="10">
        <v>2762</v>
      </c>
      <c r="D12" s="10">
        <v>143</v>
      </c>
      <c r="E12" s="11">
        <f t="shared" si="0"/>
        <v>5.1774076755973928</v>
      </c>
      <c r="F12" s="13">
        <v>6</v>
      </c>
      <c r="G12" s="14">
        <f t="shared" si="1"/>
        <v>0.82259232440260721</v>
      </c>
      <c r="H12" s="13">
        <f ca="1">IFERROR(__xludf.DUMMYFUNCTION("IFERROR(
  AVERAGE(
    FILTER(
      $E$2:$E12,
      $A$2:$A12&gt;=A12-30,
      $A$2:$A12&lt;=A12,
      $E$2:$E12&gt;0
    )
  ),
  """"
)"),8.60211973585764)</f>
        <v>8.6021197358576398</v>
      </c>
      <c r="I12" s="14"/>
      <c r="J12" s="10"/>
      <c r="K12" s="10">
        <v>1960</v>
      </c>
      <c r="L12" s="10">
        <v>162</v>
      </c>
      <c r="M12" s="11">
        <f t="shared" si="2"/>
        <v>8.2653061224489797</v>
      </c>
      <c r="N12" s="13">
        <v>8</v>
      </c>
      <c r="O12" s="14">
        <f t="shared" si="3"/>
        <v>-0.26530612244897966</v>
      </c>
      <c r="P12" s="13" t="str">
        <f ca="1">IFERROR(__xludf.DUMMYFUNCTION("IFERROR(
  AVERAGE(
    FILTER(
      $AA$2:$AA12,
      $A$2:$A12 &gt;= #REF! - 30,
      $A$2:$A12 &lt;= #REF!,
      $AA$2:$AA12 &gt; 0
    )
  ),
"""")"),"")</f>
        <v/>
      </c>
      <c r="Q12" s="10"/>
      <c r="R12" s="10">
        <v>8279</v>
      </c>
      <c r="S12" s="10">
        <v>763</v>
      </c>
      <c r="T12" s="11">
        <f t="shared" si="4"/>
        <v>9.216088899625559</v>
      </c>
      <c r="U12" s="13">
        <v>8</v>
      </c>
      <c r="V12" s="14">
        <f t="shared" si="5"/>
        <v>-1.216088899625559</v>
      </c>
      <c r="W12" s="13" t="str">
        <f ca="1">IFERROR(__xludf.DUMMYFUNCTION("IFERROR(
  AVERAGE(
    FILTER(
      $AA$2:$AA12,
      $A$2:$A12 &gt;= #REF! - 30,
      $A$2:$A12 &lt;= #REF!,
      $AA$2:$AA12 &gt; 0
    )
  ),
"""")"),"")</f>
        <v/>
      </c>
      <c r="X12" s="10"/>
      <c r="Y12" s="10">
        <f t="shared" si="6"/>
        <v>10239</v>
      </c>
      <c r="Z12" s="10">
        <f t="shared" si="7"/>
        <v>1068</v>
      </c>
      <c r="AA12" s="11">
        <f t="shared" si="8"/>
        <v>10.430706123644887</v>
      </c>
      <c r="AB12" s="13">
        <v>8</v>
      </c>
      <c r="AC12" s="14">
        <f t="shared" si="9"/>
        <v>-2.430706123644887</v>
      </c>
      <c r="AD12" s="13">
        <f ca="1">IFERROR(__xludf.DUMMYFUNCTION("IFERROR(
  AVERAGE(
    FILTER(
      $AA$2:$AA12,
      $A$2:$A12 &gt;= A12 - 30,
      $A$2:$A12 &lt;= A12,
      $AA$2:$AA12 &gt; 0
    )
  ),
"""")"),9.09738994606448)</f>
        <v>9.0973899460644798</v>
      </c>
      <c r="AE12" s="14"/>
    </row>
    <row r="13" spans="1:31" x14ac:dyDescent="0.25">
      <c r="A13" s="9">
        <v>45912</v>
      </c>
      <c r="B13" s="10"/>
      <c r="C13" s="10">
        <v>1673</v>
      </c>
      <c r="D13" s="10">
        <v>141</v>
      </c>
      <c r="E13" s="11">
        <f t="shared" si="0"/>
        <v>8.4279736999402282</v>
      </c>
      <c r="F13" s="13">
        <v>6</v>
      </c>
      <c r="G13" s="14">
        <f t="shared" si="1"/>
        <v>-2.4279736999402282</v>
      </c>
      <c r="H13" s="13">
        <f ca="1">IFERROR(__xludf.DUMMYFUNCTION("IFERROR(
  AVERAGE(
    FILTER(
      $E$2:$E13,
      $A$2:$A13&gt;=A13-30,
      $A$2:$A13&lt;=A13,
      $E$2:$E13&gt;0
    )
  ),
  """"
)"),8.58628827804696)</f>
        <v>8.5862882780469594</v>
      </c>
      <c r="I13" s="14"/>
      <c r="J13" s="10"/>
      <c r="K13" s="10">
        <v>4471</v>
      </c>
      <c r="L13" s="10">
        <v>269</v>
      </c>
      <c r="M13" s="11">
        <f t="shared" si="2"/>
        <v>6.0165511071348687</v>
      </c>
      <c r="N13" s="13">
        <v>8</v>
      </c>
      <c r="O13" s="14">
        <f t="shared" si="3"/>
        <v>1.9834488928651313</v>
      </c>
      <c r="P13" s="13" t="str">
        <f ca="1">IFERROR(__xludf.DUMMYFUNCTION("IFERROR(
  AVERAGE(
    FILTER(
      $AA$2:$AA13,
      $A$2:$A13 &gt;= #REF! - 30,
      $A$2:$A13 &lt;= #REF!,
      $AA$2:$AA13 &gt; 0
    )
  ),
"""")"),"")</f>
        <v/>
      </c>
      <c r="Q13" s="10"/>
      <c r="R13" s="10">
        <v>6714</v>
      </c>
      <c r="S13" s="10">
        <v>476</v>
      </c>
      <c r="T13" s="11">
        <f t="shared" si="4"/>
        <v>7.089663389931486</v>
      </c>
      <c r="U13" s="13">
        <v>8</v>
      </c>
      <c r="V13" s="14">
        <f t="shared" si="5"/>
        <v>0.91033661006851396</v>
      </c>
      <c r="W13" s="13" t="str">
        <f ca="1">IFERROR(__xludf.DUMMYFUNCTION("IFERROR(
  AVERAGE(
    FILTER(
      $AA$2:$AA13,
      $A$2:$A13 &gt;= #REF! - 30,
      $A$2:$A13 &lt;= #REF!,
      $AA$2:$AA13 &gt; 0
    )
  ),
"""")"),"")</f>
        <v/>
      </c>
      <c r="X13" s="10"/>
      <c r="Y13" s="10">
        <f t="shared" si="6"/>
        <v>11185</v>
      </c>
      <c r="Z13" s="10">
        <f t="shared" si="7"/>
        <v>886</v>
      </c>
      <c r="AA13" s="11">
        <f t="shared" si="8"/>
        <v>7.9213232007152437</v>
      </c>
      <c r="AB13" s="13">
        <v>8</v>
      </c>
      <c r="AC13" s="14">
        <f t="shared" si="9"/>
        <v>7.8676799284756349E-2</v>
      </c>
      <c r="AD13" s="13">
        <f ca="1">IFERROR(__xludf.DUMMYFUNCTION("IFERROR(
  AVERAGE(
    FILTER(
      $AA$2:$AA13,
      $A$2:$A13 &gt;= A13 - 30,
      $A$2:$A13 &lt;= A13,
      $AA$2:$AA13 &gt; 0
    )
  ),
"""")"),8.99938438395204)</f>
        <v>8.9993843839520409</v>
      </c>
      <c r="AE13" s="14"/>
    </row>
    <row r="14" spans="1:31" x14ac:dyDescent="0.25">
      <c r="A14" s="9">
        <v>45913</v>
      </c>
      <c r="B14" s="10"/>
      <c r="C14" s="10">
        <v>2319</v>
      </c>
      <c r="D14" s="10">
        <v>118</v>
      </c>
      <c r="E14" s="11">
        <f t="shared" si="0"/>
        <v>5.088400172488142</v>
      </c>
      <c r="F14" s="13">
        <v>6</v>
      </c>
      <c r="G14" s="14">
        <f t="shared" si="1"/>
        <v>0.91159982751185797</v>
      </c>
      <c r="H14" s="13">
        <f ca="1">IFERROR(__xludf.DUMMYFUNCTION("IFERROR(
  AVERAGE(
    FILTER(
      $E$2:$E14,
      $A$2:$A14&gt;=A14-30,
      $A$2:$A14&lt;=A14,
      $E$2:$E14&gt;0
    )
  ),
  """"
)"),8.29479760258373)</f>
        <v>8.2947976025837296</v>
      </c>
      <c r="I14" s="14"/>
      <c r="J14" s="10"/>
      <c r="K14" s="10">
        <v>7160</v>
      </c>
      <c r="L14" s="10">
        <v>694</v>
      </c>
      <c r="M14" s="11">
        <f t="shared" si="2"/>
        <v>9.6927374301675968</v>
      </c>
      <c r="N14" s="13">
        <v>8</v>
      </c>
      <c r="O14" s="14">
        <f t="shared" si="3"/>
        <v>-1.6927374301675968</v>
      </c>
      <c r="P14" s="13" t="str">
        <f ca="1">IFERROR(__xludf.DUMMYFUNCTION("IFERROR(
  AVERAGE(
    FILTER(
      $AA$2:$AA14,
      $A$2:$A14 &gt;= #REF! - 30,
      $A$2:$A14 &lt;= #REF!,
      $AA$2:$AA14 &gt; 0
    )
  ),
"""")"),"")</f>
        <v/>
      </c>
      <c r="Q14" s="10"/>
      <c r="R14" s="10">
        <v>5597</v>
      </c>
      <c r="S14" s="10">
        <v>463</v>
      </c>
      <c r="T14" s="11">
        <f t="shared" si="4"/>
        <v>8.2722887261032696</v>
      </c>
      <c r="U14" s="13">
        <v>8</v>
      </c>
      <c r="V14" s="14">
        <f t="shared" si="5"/>
        <v>-0.2722887261032696</v>
      </c>
      <c r="W14" s="13" t="str">
        <f ca="1">IFERROR(__xludf.DUMMYFUNCTION("IFERROR(
  AVERAGE(
    FILTER(
      $AA$2:$AA14,
      $A$2:$A14 &gt;= #REF! - 30,
      $A$2:$A14 &lt;= #REF!,
      $AA$2:$AA14 &gt; 0
    )
  ),
"""")"),"")</f>
        <v/>
      </c>
      <c r="X14" s="10"/>
      <c r="Y14" s="10">
        <f t="shared" si="6"/>
        <v>12757</v>
      </c>
      <c r="Z14" s="10">
        <f t="shared" si="7"/>
        <v>1275</v>
      </c>
      <c r="AA14" s="11">
        <f t="shared" si="8"/>
        <v>9.9945128164929073</v>
      </c>
      <c r="AB14" s="13">
        <v>8</v>
      </c>
      <c r="AC14" s="14">
        <f t="shared" si="9"/>
        <v>-1.9945128164929073</v>
      </c>
      <c r="AD14" s="13">
        <f ca="1">IFERROR(__xludf.DUMMYFUNCTION("IFERROR(
  AVERAGE(
    FILTER(
      $AA$2:$AA14,
      $A$2:$A14 &gt;= A14 - 30,
      $A$2:$A14 &lt;= A14,
      $AA$2:$AA14 &gt; 0
    )
  ),
"""")"),9.07593272491672)</f>
        <v>9.0759327249167203</v>
      </c>
      <c r="AE14" s="14"/>
    </row>
    <row r="15" spans="1:31" x14ac:dyDescent="0.25">
      <c r="A15" s="9">
        <v>45914</v>
      </c>
      <c r="B15" s="10"/>
      <c r="C15" s="10">
        <v>0</v>
      </c>
      <c r="D15" s="10">
        <v>0</v>
      </c>
      <c r="E15" s="11" t="e">
        <f t="shared" si="0"/>
        <v>#DIV/0!</v>
      </c>
      <c r="F15" s="13">
        <v>6</v>
      </c>
      <c r="G15" s="14" t="e">
        <f t="shared" si="1"/>
        <v>#DIV/0!</v>
      </c>
      <c r="H15" s="13">
        <f ca="1">IFERROR(__xludf.DUMMYFUNCTION("IFERROR(
  AVERAGE(
    FILTER(
      $E$2:$E15,
      $A$2:$A15&gt;=A15-30,
      $A$2:$A15&lt;=A15,
      $E$2:$E15&gt;0
    )
  ),
  """"
)"),8.29479760258373)</f>
        <v>8.2947976025837296</v>
      </c>
      <c r="I15" s="14"/>
      <c r="J15" s="10"/>
      <c r="K15" s="10">
        <v>1440</v>
      </c>
      <c r="L15" s="10">
        <v>134</v>
      </c>
      <c r="M15" s="11">
        <f t="shared" si="2"/>
        <v>9.3055555555555554</v>
      </c>
      <c r="N15" s="13">
        <v>8</v>
      </c>
      <c r="O15" s="14">
        <f t="shared" si="3"/>
        <v>-1.3055555555555554</v>
      </c>
      <c r="P15" s="13" t="str">
        <f ca="1">IFERROR(__xludf.DUMMYFUNCTION("IFERROR(
  AVERAGE(
    FILTER(
      $AA$2:$AA15,
      $A$2:$A15 &gt;= #REF! - 30,
      $A$2:$A15 &lt;= #REF!,
      $AA$2:$AA15 &gt; 0
    )
  ),
"""")"),"")</f>
        <v/>
      </c>
      <c r="Q15" s="10"/>
      <c r="R15" s="10">
        <v>3544</v>
      </c>
      <c r="S15" s="10">
        <v>146</v>
      </c>
      <c r="T15" s="11">
        <f t="shared" si="4"/>
        <v>4.1196388261851009</v>
      </c>
      <c r="U15" s="13">
        <v>8</v>
      </c>
      <c r="V15" s="14">
        <f t="shared" si="5"/>
        <v>3.8803611738148991</v>
      </c>
      <c r="W15" s="13" t="str">
        <f ca="1">IFERROR(__xludf.DUMMYFUNCTION("IFERROR(
  AVERAGE(
    FILTER(
      $AA$2:$AA15,
      $A$2:$A15 &gt;= #REF! - 30,
      $A$2:$A15 &lt;= #REF!,
      $AA$2:$AA15 &gt; 0
    )
  ),
"""")"),"")</f>
        <v/>
      </c>
      <c r="X15" s="10"/>
      <c r="Y15" s="10">
        <f t="shared" si="6"/>
        <v>4984</v>
      </c>
      <c r="Z15" s="10">
        <f t="shared" si="7"/>
        <v>280</v>
      </c>
      <c r="AA15" s="11">
        <f t="shared" si="8"/>
        <v>5.6179775280898872</v>
      </c>
      <c r="AB15" s="13">
        <v>8</v>
      </c>
      <c r="AC15" s="14">
        <f t="shared" si="9"/>
        <v>2.3820224719101128</v>
      </c>
      <c r="AD15" s="13">
        <f ca="1">IFERROR(__xludf.DUMMYFUNCTION("IFERROR(
  AVERAGE(
    FILTER(
      $AA$2:$AA15,
      $A$2:$A15 &gt;= A15 - 30,
      $A$2:$A15 &lt;= A15,
      $AA$2:$AA15 &gt; 0
    )
  ),
"""")"),8.82893592514338)</f>
        <v>8.8289359251433801</v>
      </c>
      <c r="AE15" s="14"/>
    </row>
    <row r="16" spans="1:31" x14ac:dyDescent="0.25">
      <c r="A16" s="9">
        <v>45915</v>
      </c>
      <c r="B16" s="10"/>
      <c r="C16" s="10">
        <v>2347</v>
      </c>
      <c r="D16" s="10">
        <v>129</v>
      </c>
      <c r="E16" s="11">
        <f t="shared" si="0"/>
        <v>5.4963783553472521</v>
      </c>
      <c r="F16" s="13">
        <v>6</v>
      </c>
      <c r="G16" s="14">
        <f t="shared" si="1"/>
        <v>0.50362164465274795</v>
      </c>
      <c r="H16" s="13">
        <f ca="1">IFERROR(__xludf.DUMMYFUNCTION("IFERROR(
  AVERAGE(
    FILTER(
      $E$2:$E16,
      $A$2:$A16&gt;=A16-30,
      $A$2:$A16&lt;=A16,
      $E$2:$E16&gt;0
    )
  ),
  """"
)"),8.07953458356554)</f>
        <v>8.0795345835655397</v>
      </c>
      <c r="I16" s="14"/>
      <c r="J16" s="10"/>
      <c r="K16" s="10">
        <v>2835</v>
      </c>
      <c r="L16" s="10">
        <v>225</v>
      </c>
      <c r="M16" s="11">
        <f t="shared" si="2"/>
        <v>7.9365079365079358</v>
      </c>
      <c r="N16" s="13">
        <v>8</v>
      </c>
      <c r="O16" s="14">
        <f t="shared" si="3"/>
        <v>6.3492063492064155E-2</v>
      </c>
      <c r="P16" s="13" t="str">
        <f ca="1">IFERROR(__xludf.DUMMYFUNCTION("IFERROR(
  AVERAGE(
    FILTER(
      $AA$2:$AA16,
      $A$2:$A16 &gt;= #REF! - 30,
      $A$2:$A16 &lt;= #REF!,
      $AA$2:$AA16 &gt; 0
    )
  ),
"""")"),"")</f>
        <v/>
      </c>
      <c r="Q16" s="10"/>
      <c r="R16" s="10">
        <v>11122</v>
      </c>
      <c r="S16" s="10">
        <v>792</v>
      </c>
      <c r="T16" s="11">
        <f t="shared" si="4"/>
        <v>7.121021399028951</v>
      </c>
      <c r="U16" s="13">
        <v>8</v>
      </c>
      <c r="V16" s="14">
        <f t="shared" si="5"/>
        <v>0.87897860097104896</v>
      </c>
      <c r="W16" s="13" t="str">
        <f ca="1">IFERROR(__xludf.DUMMYFUNCTION("IFERROR(
  AVERAGE(
    FILTER(
      $AA$2:$AA16,
      $A$2:$A16 &gt;= #REF! - 30,
      $A$2:$A16 &lt;= #REF!,
      $AA$2:$AA16 &gt; 0
    )
  ),
"""")"),"")</f>
        <v/>
      </c>
      <c r="X16" s="10"/>
      <c r="Y16" s="10">
        <f t="shared" si="6"/>
        <v>13957</v>
      </c>
      <c r="Z16" s="10">
        <f t="shared" si="7"/>
        <v>1146</v>
      </c>
      <c r="AA16" s="11">
        <f t="shared" si="8"/>
        <v>8.2109335817152687</v>
      </c>
      <c r="AB16" s="13">
        <v>8</v>
      </c>
      <c r="AC16" s="14">
        <f t="shared" si="9"/>
        <v>-0.21093358171526866</v>
      </c>
      <c r="AD16" s="13">
        <f ca="1">IFERROR(__xludf.DUMMYFUNCTION("IFERROR(
  AVERAGE(
    FILTER(
      $AA$2:$AA16,
      $A$2:$A16 &gt;= A16 - 30,
      $A$2:$A16 &lt;= A16,
      $AA$2:$AA16 &gt; 0
    )
  ),
"""")"),8.78773576891484)</f>
        <v>8.7877357689148408</v>
      </c>
      <c r="AE16" s="14"/>
    </row>
    <row r="17" spans="1:31" x14ac:dyDescent="0.25">
      <c r="A17" s="9">
        <v>45916</v>
      </c>
      <c r="B17" s="10"/>
      <c r="C17" s="10">
        <v>2025</v>
      </c>
      <c r="D17" s="10">
        <v>130</v>
      </c>
      <c r="E17" s="11">
        <f t="shared" si="0"/>
        <v>6.4197530864197532</v>
      </c>
      <c r="F17" s="13">
        <v>6</v>
      </c>
      <c r="G17" s="14">
        <f t="shared" si="1"/>
        <v>-0.41975308641975317</v>
      </c>
      <c r="H17" s="13">
        <f ca="1">IFERROR(__xludf.DUMMYFUNCTION("IFERROR(
  AVERAGE(
    FILTER(
      $E$2:$E17,
      $A$2:$A17&gt;=A17-30,
      $A$2:$A17&lt;=A17,
      $E$2:$E17&gt;0
    )
  ),
  """"
)"),7.96097876234083)</f>
        <v>7.9609787623408304</v>
      </c>
      <c r="I17" s="14"/>
      <c r="J17" s="10"/>
      <c r="K17" s="10">
        <v>9920</v>
      </c>
      <c r="L17" s="10">
        <v>583</v>
      </c>
      <c r="M17" s="11">
        <f t="shared" si="2"/>
        <v>5.877016129032258</v>
      </c>
      <c r="N17" s="13">
        <v>8</v>
      </c>
      <c r="O17" s="14">
        <f t="shared" si="3"/>
        <v>2.122983870967742</v>
      </c>
      <c r="P17" s="13" t="str">
        <f ca="1">IFERROR(__xludf.DUMMYFUNCTION("IFERROR(
  AVERAGE(
    FILTER(
      $AA$2:$AA17,
      $A$2:$A17 &gt;= #REF! - 30,
      $A$2:$A17 &lt;= #REF!,
      $AA$2:$AA17 &gt; 0
    )
  ),
"""")"),"")</f>
        <v/>
      </c>
      <c r="Q17" s="10"/>
      <c r="R17" s="10">
        <v>3021</v>
      </c>
      <c r="S17" s="10">
        <v>252</v>
      </c>
      <c r="T17" s="11">
        <f t="shared" si="4"/>
        <v>8.341608738828203</v>
      </c>
      <c r="U17" s="13">
        <v>8</v>
      </c>
      <c r="V17" s="14">
        <f t="shared" si="5"/>
        <v>-0.34160873882820297</v>
      </c>
      <c r="W17" s="13" t="str">
        <f ca="1">IFERROR(__xludf.DUMMYFUNCTION("IFERROR(
  AVERAGE(
    FILTER(
      $AA$2:$AA17,
      $A$2:$A17 &gt;= #REF! - 30,
      $A$2:$A17 &lt;= #REF!,
      $AA$2:$AA17 &gt; 0
    )
  ),
"""")"),"")</f>
        <v/>
      </c>
      <c r="X17" s="10"/>
      <c r="Y17" s="10">
        <f t="shared" si="6"/>
        <v>12941</v>
      </c>
      <c r="Z17" s="10">
        <f t="shared" si="7"/>
        <v>965</v>
      </c>
      <c r="AA17" s="11">
        <f t="shared" si="8"/>
        <v>7.4569198670890975</v>
      </c>
      <c r="AB17" s="13">
        <v>8</v>
      </c>
      <c r="AC17" s="14">
        <f t="shared" si="9"/>
        <v>0.54308013291090251</v>
      </c>
      <c r="AD17" s="13">
        <f ca="1">IFERROR(__xludf.DUMMYFUNCTION("IFERROR(
  AVERAGE(
    FILTER(
      $AA$2:$AA17,
      $A$2:$A17 &gt;= A17 - 30,
      $A$2:$A17 &lt;= A17,
      $AA$2:$AA17 &gt; 0
    )
  ),
"""")"),8.70455977505073)</f>
        <v>8.7045597750507309</v>
      </c>
      <c r="AE17" s="14"/>
    </row>
    <row r="18" spans="1:31" x14ac:dyDescent="0.25">
      <c r="A18" s="9">
        <v>45917</v>
      </c>
      <c r="B18" s="10"/>
      <c r="C18" s="10">
        <v>1942</v>
      </c>
      <c r="D18" s="10">
        <v>72</v>
      </c>
      <c r="E18" s="11">
        <f t="shared" si="0"/>
        <v>3.7075180226570548</v>
      </c>
      <c r="F18" s="13">
        <v>6</v>
      </c>
      <c r="G18" s="14">
        <f t="shared" si="1"/>
        <v>2.2924819773429452</v>
      </c>
      <c r="H18" s="13">
        <f ca="1">IFERROR(__xludf.DUMMYFUNCTION("IFERROR(
  AVERAGE(
    FILTER(
      $E$2:$E18,
      $A$2:$A18&gt;=A18-30,
      $A$2:$A18&lt;=A18,
      $E$2:$E18&gt;0
    )
  ),
  """"
)"),7.67741471302858)</f>
        <v>7.6774147130285799</v>
      </c>
      <c r="I18" s="14"/>
      <c r="J18" s="10"/>
      <c r="K18" s="10">
        <v>8838</v>
      </c>
      <c r="L18" s="10">
        <v>418</v>
      </c>
      <c r="M18" s="11">
        <f t="shared" si="2"/>
        <v>4.7295768273365013</v>
      </c>
      <c r="N18" s="13">
        <v>8</v>
      </c>
      <c r="O18" s="14">
        <f t="shared" si="3"/>
        <v>3.2704231726634987</v>
      </c>
      <c r="P18" s="13" t="str">
        <f ca="1">IFERROR(__xludf.DUMMYFUNCTION("IFERROR(
  AVERAGE(
    FILTER(
      $AA$2:$AA18,
      $A$2:$A18 &gt;= #REF! - 30,
      $A$2:$A18 &lt;= #REF!,
      $AA$2:$AA18 &gt; 0
    )
  ),
"""")"),"")</f>
        <v/>
      </c>
      <c r="Q18" s="10"/>
      <c r="R18" s="10">
        <v>5212</v>
      </c>
      <c r="S18" s="10">
        <v>450</v>
      </c>
      <c r="T18" s="11">
        <f t="shared" si="4"/>
        <v>8.6339217191097468</v>
      </c>
      <c r="U18" s="13">
        <v>8</v>
      </c>
      <c r="V18" s="14">
        <f t="shared" si="5"/>
        <v>-0.63392171910974682</v>
      </c>
      <c r="W18" s="13" t="str">
        <f ca="1">IFERROR(__xludf.DUMMYFUNCTION("IFERROR(
  AVERAGE(
    FILTER(
      $AA$2:$AA18,
      $A$2:$A18 &gt;= #REF! - 30,
      $A$2:$A18 &lt;= #REF!,
      $AA$2:$AA18 &gt; 0
    )
  ),
"""")"),"")</f>
        <v/>
      </c>
      <c r="X18" s="10"/>
      <c r="Y18" s="10">
        <f t="shared" si="6"/>
        <v>14050</v>
      </c>
      <c r="Z18" s="10">
        <f t="shared" si="7"/>
        <v>940</v>
      </c>
      <c r="AA18" s="11">
        <f t="shared" si="8"/>
        <v>6.6903914590747338</v>
      </c>
      <c r="AB18" s="13">
        <v>8</v>
      </c>
      <c r="AC18" s="14">
        <f t="shared" si="9"/>
        <v>1.3096085409252662</v>
      </c>
      <c r="AD18" s="13">
        <f ca="1">IFERROR(__xludf.DUMMYFUNCTION("IFERROR(
  AVERAGE(
    FILTER(
      $AA$2:$AA18,
      $A$2:$A18 &gt;= A18 - 30,
      $A$2:$A18 &lt;= A18,
      $AA$2:$AA18 &gt; 0
    )
  ),
"""")"),8.58607928587567)</f>
        <v>8.5860792858756696</v>
      </c>
      <c r="AE18" s="14"/>
    </row>
    <row r="19" spans="1:31" x14ac:dyDescent="0.25">
      <c r="A19" s="9">
        <v>45918</v>
      </c>
      <c r="B19" s="10"/>
      <c r="C19" s="10">
        <v>2453</v>
      </c>
      <c r="D19" s="10">
        <v>289</v>
      </c>
      <c r="E19" s="11">
        <f t="shared" si="0"/>
        <v>11.781492050550346</v>
      </c>
      <c r="F19" s="13">
        <v>6</v>
      </c>
      <c r="G19" s="14">
        <f t="shared" si="1"/>
        <v>-5.7814920505503462</v>
      </c>
      <c r="H19" s="13">
        <f ca="1">IFERROR(__xludf.DUMMYFUNCTION("IFERROR(
  AVERAGE(
    FILTER(
      $E$2:$E19,
      $A$2:$A19&gt;=A19-30,
      $A$2:$A19&lt;=A19,
      $E$2:$E19&gt;0
    )
  ),
  """"
)"),7.93391954662369)</f>
        <v>7.9339195466236898</v>
      </c>
      <c r="I19" s="14"/>
      <c r="J19" s="10"/>
      <c r="K19" s="10">
        <v>4638</v>
      </c>
      <c r="L19" s="10">
        <v>291</v>
      </c>
      <c r="M19" s="11">
        <f t="shared" si="2"/>
        <v>6.2742561448900389</v>
      </c>
      <c r="N19" s="13">
        <v>8</v>
      </c>
      <c r="O19" s="14">
        <f t="shared" si="3"/>
        <v>1.7257438551099611</v>
      </c>
      <c r="P19" s="13" t="str">
        <f ca="1">IFERROR(__xludf.DUMMYFUNCTION("IFERROR(
  AVERAGE(
    FILTER(
      $AA$2:$AA19,
      $A$2:$A19 &gt;= #REF! - 30,
      $A$2:$A19 &lt;= #REF!,
      $AA$2:$AA19 &gt; 0
    )
  ),
"""")"),"")</f>
        <v/>
      </c>
      <c r="Q19" s="10"/>
      <c r="R19" s="10">
        <v>4670</v>
      </c>
      <c r="S19" s="10">
        <v>372</v>
      </c>
      <c r="T19" s="11">
        <f t="shared" si="4"/>
        <v>7.9657387580299792</v>
      </c>
      <c r="U19" s="13">
        <v>8</v>
      </c>
      <c r="V19" s="14">
        <f t="shared" si="5"/>
        <v>3.4261241970020784E-2</v>
      </c>
      <c r="W19" s="13" t="str">
        <f ca="1">IFERROR(__xludf.DUMMYFUNCTION("IFERROR(
  AVERAGE(
    FILTER(
      $AA$2:$AA19,
      $A$2:$A19 &gt;= #REF! - 30,
      $A$2:$A19 &lt;= #REF!,
      $AA$2:$AA19 &gt; 0
    )
  ),
"""")"),"")</f>
        <v/>
      </c>
      <c r="X19" s="10"/>
      <c r="Y19" s="10">
        <f t="shared" si="6"/>
        <v>9308</v>
      </c>
      <c r="Z19" s="10">
        <f t="shared" si="7"/>
        <v>952</v>
      </c>
      <c r="AA19" s="11">
        <f t="shared" si="8"/>
        <v>10.227761065749892</v>
      </c>
      <c r="AB19" s="13">
        <v>8</v>
      </c>
      <c r="AC19" s="14">
        <f t="shared" si="9"/>
        <v>-2.2277610657498919</v>
      </c>
      <c r="AD19" s="13">
        <f ca="1">IFERROR(__xludf.DUMMYFUNCTION("IFERROR(
  AVERAGE(
    FILTER(
      $AA$2:$AA19,
      $A$2:$A19 &gt;= A19 - 30,
      $A$2:$A19 &lt;= A19,
      $AA$2:$AA19 &gt; 0
    )
  ),
"""")"),8.67728382920201)</f>
        <v>8.6772838292020094</v>
      </c>
      <c r="AE19" s="14"/>
    </row>
    <row r="20" spans="1:31" x14ac:dyDescent="0.25">
      <c r="A20" s="9">
        <v>45919</v>
      </c>
      <c r="B20" s="10"/>
      <c r="C20" s="10">
        <v>2414</v>
      </c>
      <c r="D20" s="10">
        <v>211</v>
      </c>
      <c r="E20" s="11">
        <f t="shared" si="0"/>
        <v>8.7406793703396843</v>
      </c>
      <c r="F20" s="13">
        <v>6</v>
      </c>
      <c r="G20" s="14">
        <f t="shared" si="1"/>
        <v>-2.7406793703396843</v>
      </c>
      <c r="H20" s="13">
        <f ca="1">IFERROR(__xludf.DUMMYFUNCTION("IFERROR(
  AVERAGE(
    FILTER(
      $E$2:$E20,
      $A$2:$A20&gt;=A20-30,
      $A$2:$A20&lt;=A20,
      $E$2:$E20&gt;0
    )
  ),
  """"
)"),7.98137600684228)</f>
        <v>7.9813760068422797</v>
      </c>
      <c r="I20" s="14"/>
      <c r="J20" s="10"/>
      <c r="K20" s="10">
        <v>6573</v>
      </c>
      <c r="L20" s="10">
        <v>356</v>
      </c>
      <c r="M20" s="11">
        <f t="shared" si="2"/>
        <v>5.4160961509204322</v>
      </c>
      <c r="N20" s="13">
        <v>8</v>
      </c>
      <c r="O20" s="14">
        <f t="shared" si="3"/>
        <v>2.5839038490795678</v>
      </c>
      <c r="P20" s="13" t="str">
        <f ca="1">IFERROR(__xludf.DUMMYFUNCTION("IFERROR(
  AVERAGE(
    FILTER(
      $AA$2:$AA20,
      $A$2:$A20 &gt;= #REF! - 30,
      $A$2:$A20 &lt;= #REF!,
      $AA$2:$AA20 &gt; 0
    )
  ),
"""")"),"")</f>
        <v/>
      </c>
      <c r="Q20" s="10"/>
      <c r="R20" s="10">
        <v>11116</v>
      </c>
      <c r="S20" s="10">
        <v>933</v>
      </c>
      <c r="T20" s="11">
        <f t="shared" si="4"/>
        <v>8.393306944944225</v>
      </c>
      <c r="U20" s="13">
        <v>8</v>
      </c>
      <c r="V20" s="14">
        <f t="shared" si="5"/>
        <v>-0.39330694494422502</v>
      </c>
      <c r="W20" s="13" t="str">
        <f ca="1">IFERROR(__xludf.DUMMYFUNCTION("IFERROR(
  AVERAGE(
    FILTER(
      $AA$2:$AA20,
      $A$2:$A20 &gt;= #REF! - 30,
      $A$2:$A20 &lt;= #REF!,
      $AA$2:$AA20 &gt; 0
    )
  ),
"""")"),"")</f>
        <v/>
      </c>
      <c r="X20" s="10"/>
      <c r="Y20" s="10">
        <f t="shared" si="6"/>
        <v>17689</v>
      </c>
      <c r="Z20" s="10">
        <f t="shared" si="7"/>
        <v>1500</v>
      </c>
      <c r="AA20" s="11">
        <f t="shared" si="8"/>
        <v>8.4798462321216572</v>
      </c>
      <c r="AB20" s="13">
        <v>8</v>
      </c>
      <c r="AC20" s="14">
        <f t="shared" si="9"/>
        <v>-0.47984623212165722</v>
      </c>
      <c r="AD20" s="13">
        <f ca="1">IFERROR(__xludf.DUMMYFUNCTION("IFERROR(
  AVERAGE(
    FILTER(
      $AA$2:$AA20,
      $A$2:$A20 &gt;= A20 - 30,
      $A$2:$A20 &lt;= A20,
      $AA$2:$AA20 &gt; 0
    )
  ),
"""")"),8.6668923767241)</f>
        <v>8.6668923767240997</v>
      </c>
      <c r="AE20" s="14"/>
    </row>
    <row r="21" spans="1:31" x14ac:dyDescent="0.25">
      <c r="A21" s="9">
        <v>45920</v>
      </c>
      <c r="B21" s="10"/>
      <c r="C21" s="10">
        <v>2197</v>
      </c>
      <c r="D21" s="10">
        <v>89</v>
      </c>
      <c r="E21" s="11">
        <f t="shared" si="0"/>
        <v>4.0509786071916247</v>
      </c>
      <c r="F21" s="13">
        <v>6</v>
      </c>
      <c r="G21" s="14">
        <f t="shared" si="1"/>
        <v>1.9490213928083753</v>
      </c>
      <c r="H21" s="13">
        <f ca="1">IFERROR(__xludf.DUMMYFUNCTION("IFERROR(
  AVERAGE(
    FILTER(
      $E$2:$E21,
      $A$2:$A21&gt;=A21-30,
      $A$2:$A21&lt;=A21,
      $E$2:$E21&gt;0
    )
  ),
  """"
)"),7.76302059575058)</f>
        <v>7.7630205957505796</v>
      </c>
      <c r="I21" s="14"/>
      <c r="J21" s="10"/>
      <c r="K21" s="10">
        <v>4418</v>
      </c>
      <c r="L21" s="10">
        <v>191</v>
      </c>
      <c r="M21" s="11">
        <f t="shared" si="2"/>
        <v>4.3232231779085559</v>
      </c>
      <c r="N21" s="13">
        <v>8</v>
      </c>
      <c r="O21" s="14">
        <f t="shared" si="3"/>
        <v>3.6767768220914441</v>
      </c>
      <c r="P21" s="13" t="str">
        <f ca="1">IFERROR(__xludf.DUMMYFUNCTION("IFERROR(
  AVERAGE(
    FILTER(
      $AA$2:$AA21,
      $A$2:$A21 &gt;= #REF! - 30,
      $A$2:$A21 &lt;= #REF!,
      $AA$2:$AA21 &gt; 0
    )
  ),
"""")"),"")</f>
        <v/>
      </c>
      <c r="Q21" s="10"/>
      <c r="R21" s="10">
        <v>9817</v>
      </c>
      <c r="S21" s="10">
        <v>727</v>
      </c>
      <c r="T21" s="11">
        <f t="shared" si="4"/>
        <v>7.4055210349393912</v>
      </c>
      <c r="U21" s="13">
        <v>8</v>
      </c>
      <c r="V21" s="14">
        <f t="shared" si="5"/>
        <v>0.59447896506060882</v>
      </c>
      <c r="W21" s="13" t="str">
        <f ca="1">IFERROR(__xludf.DUMMYFUNCTION("IFERROR(
  AVERAGE(
    FILTER(
      $AA$2:$AA21,
      $A$2:$A21 &gt;= #REF! - 30,
      $A$2:$A21 &lt;= #REF!,
      $AA$2:$AA21 &gt; 0
    )
  ),
"""")"),"")</f>
        <v/>
      </c>
      <c r="X21" s="10"/>
      <c r="Y21" s="10">
        <f t="shared" si="6"/>
        <v>14235</v>
      </c>
      <c r="Z21" s="10">
        <f t="shared" si="7"/>
        <v>1007</v>
      </c>
      <c r="AA21" s="11">
        <f t="shared" si="8"/>
        <v>7.0741131015103615</v>
      </c>
      <c r="AB21" s="13">
        <v>8</v>
      </c>
      <c r="AC21" s="14">
        <f t="shared" si="9"/>
        <v>0.92588689848963845</v>
      </c>
      <c r="AD21" s="13">
        <f ca="1">IFERROR(__xludf.DUMMYFUNCTION("IFERROR(
  AVERAGE(
    FILTER(
      $AA$2:$AA21,
      $A$2:$A21 &gt;= A21 - 30,
      $A$2:$A21 &lt;= A21,
      $AA$2:$AA21 &gt; 0
    )
  ),
"""")"),8.58725341296341)</f>
        <v>8.5872534129634097</v>
      </c>
      <c r="AE21" s="14"/>
    </row>
    <row r="22" spans="1:31" x14ac:dyDescent="0.25">
      <c r="A22" s="9">
        <v>45921</v>
      </c>
      <c r="B22" s="10"/>
      <c r="C22" s="10">
        <v>940</v>
      </c>
      <c r="D22" s="10">
        <v>56</v>
      </c>
      <c r="E22" s="11">
        <f t="shared" si="0"/>
        <v>5.9574468085106389</v>
      </c>
      <c r="F22" s="13">
        <v>6</v>
      </c>
      <c r="G22" s="14">
        <f t="shared" si="1"/>
        <v>4.2553191489361097E-2</v>
      </c>
      <c r="H22" s="13">
        <f ca="1">IFERROR(__xludf.DUMMYFUNCTION("IFERROR(
  AVERAGE(
    FILTER(
      $E$2:$E22,
      $A$2:$A22&gt;=A22-30,
      $A$2:$A22&lt;=A22,
      $E$2:$E22&gt;0
    )
  ),
  """"
)"),7.66799039642216)</f>
        <v>7.6679903964221596</v>
      </c>
      <c r="I22" s="14"/>
      <c r="J22" s="10"/>
      <c r="K22" s="10">
        <v>1620</v>
      </c>
      <c r="L22" s="10">
        <v>148</v>
      </c>
      <c r="M22" s="11">
        <f t="shared" si="2"/>
        <v>9.1358024691358022</v>
      </c>
      <c r="N22" s="13">
        <v>8</v>
      </c>
      <c r="O22" s="14">
        <f t="shared" si="3"/>
        <v>-1.1358024691358022</v>
      </c>
      <c r="P22" s="13" t="str">
        <f ca="1">IFERROR(__xludf.DUMMYFUNCTION("IFERROR(
  AVERAGE(
    FILTER(
      $AA$2:$AA22,
      $A$2:$A22 &gt;= #REF! - 30,
      $A$2:$A22 &lt;= #REF!,
      $AA$2:$AA22 &gt; 0
    )
  ),
"""")"),"")</f>
        <v/>
      </c>
      <c r="Q22" s="10"/>
      <c r="R22" s="10">
        <v>5155</v>
      </c>
      <c r="S22" s="10">
        <v>391</v>
      </c>
      <c r="T22" s="11">
        <f t="shared" si="4"/>
        <v>7.5848690591658583</v>
      </c>
      <c r="U22" s="13">
        <v>8</v>
      </c>
      <c r="V22" s="14">
        <f t="shared" si="5"/>
        <v>0.4151309408341417</v>
      </c>
      <c r="W22" s="13" t="str">
        <f ca="1">IFERROR(__xludf.DUMMYFUNCTION("IFERROR(
  AVERAGE(
    FILTER(
      $AA$2:$AA22,
      $A$2:$A22 &gt;= #REF! - 30,
      $A$2:$A22 &lt;= #REF!,
      $AA$2:$AA22 &gt; 0
    )
  ),
"""")"),"")</f>
        <v/>
      </c>
      <c r="X22" s="10"/>
      <c r="Y22" s="10">
        <f t="shared" si="6"/>
        <v>6775</v>
      </c>
      <c r="Z22" s="10">
        <f t="shared" si="7"/>
        <v>595</v>
      </c>
      <c r="AA22" s="11">
        <f t="shared" si="8"/>
        <v>8.7822878228782297</v>
      </c>
      <c r="AB22" s="13">
        <v>8</v>
      </c>
      <c r="AC22" s="14">
        <f t="shared" si="9"/>
        <v>-0.78228782287822973</v>
      </c>
      <c r="AD22" s="13">
        <f ca="1">IFERROR(__xludf.DUMMYFUNCTION("IFERROR(
  AVERAGE(
    FILTER(
      $AA$2:$AA22,
      $A$2:$A22 &gt;= A22 - 30,
      $A$2:$A22 &lt;= A22,
      $AA$2:$AA22 &gt; 0
    )
  ),
"""")"),8.5965407658165)</f>
        <v>8.5965407658164992</v>
      </c>
      <c r="AE22" s="14"/>
    </row>
    <row r="23" spans="1:31" x14ac:dyDescent="0.25">
      <c r="A23" s="9">
        <v>45922</v>
      </c>
      <c r="B23" s="10"/>
      <c r="C23" s="10">
        <v>2741</v>
      </c>
      <c r="D23" s="10">
        <v>233</v>
      </c>
      <c r="E23" s="11">
        <f t="shared" si="0"/>
        <v>8.5005472455308269</v>
      </c>
      <c r="F23" s="13">
        <v>6</v>
      </c>
      <c r="G23" s="14">
        <f t="shared" si="1"/>
        <v>-2.5005472455308269</v>
      </c>
      <c r="H23" s="13">
        <f ca="1">IFERROR(__xludf.DUMMYFUNCTION("IFERROR(
  AVERAGE(
    FILTER(
      $E$2:$E23,
      $A$2:$A23&gt;=A23-30,
      $A$2:$A23&lt;=A23,
      $E$2:$E23&gt;0
    )
  ),
  """"
)"),7.70961823887759)</f>
        <v>7.7096182388775896</v>
      </c>
      <c r="I23" s="14"/>
      <c r="J23" s="10"/>
      <c r="K23" s="10">
        <v>0</v>
      </c>
      <c r="L23" s="10">
        <v>0</v>
      </c>
      <c r="M23" s="11" t="e">
        <f t="shared" si="2"/>
        <v>#DIV/0!</v>
      </c>
      <c r="N23" s="13">
        <v>8</v>
      </c>
      <c r="O23" s="14" t="e">
        <f t="shared" si="3"/>
        <v>#DIV/0!</v>
      </c>
      <c r="P23" s="13" t="str">
        <f ca="1">IFERROR(__xludf.DUMMYFUNCTION("IFERROR(
  AVERAGE(
    FILTER(
      $AA$2:$AA23,
      $A$2:$A23 &gt;= #REF! - 30,
      $A$2:$A23 &lt;= #REF!,
      $AA$2:$AA23 &gt; 0
    )
  ),
"""")"),"")</f>
        <v/>
      </c>
      <c r="Q23" s="10"/>
      <c r="R23" s="10">
        <v>15332</v>
      </c>
      <c r="S23" s="10">
        <v>996</v>
      </c>
      <c r="T23" s="11">
        <f t="shared" si="4"/>
        <v>6.4962170623532476</v>
      </c>
      <c r="U23" s="13">
        <v>8</v>
      </c>
      <c r="V23" s="14">
        <f t="shared" si="5"/>
        <v>1.5037829376467524</v>
      </c>
      <c r="W23" s="13" t="str">
        <f ca="1">IFERROR(__xludf.DUMMYFUNCTION("IFERROR(
  AVERAGE(
    FILTER(
      $AA$2:$AA23,
      $A$2:$A23 &gt;= #REF! - 30,
      $A$2:$A23 &lt;= #REF!,
      $AA$2:$AA23 &gt; 0
    )
  ),
"""")"),"")</f>
        <v/>
      </c>
      <c r="X23" s="10"/>
      <c r="Y23" s="10">
        <f t="shared" si="6"/>
        <v>15332</v>
      </c>
      <c r="Z23" s="10">
        <f t="shared" si="7"/>
        <v>1229</v>
      </c>
      <c r="AA23" s="11">
        <f t="shared" si="8"/>
        <v>8.0159144273415084</v>
      </c>
      <c r="AB23" s="13">
        <v>8</v>
      </c>
      <c r="AC23" s="14">
        <f t="shared" si="9"/>
        <v>-1.5914427341508386E-2</v>
      </c>
      <c r="AD23" s="13">
        <f ca="1">IFERROR(__xludf.DUMMYFUNCTION("IFERROR(
  AVERAGE(
    FILTER(
      $AA$2:$AA23,
      $A$2:$A23 &gt;= A23 - 30,
      $A$2:$A23 &lt;= A23,
      $AA$2:$AA23 &gt; 0
    )
  ),
"""")"),8.57014865952218)</f>
        <v>8.5701486595221805</v>
      </c>
      <c r="AE23" s="14"/>
    </row>
    <row r="24" spans="1:31" x14ac:dyDescent="0.25">
      <c r="A24" s="9">
        <v>45923</v>
      </c>
      <c r="B24" s="10"/>
      <c r="C24" s="10">
        <v>1328</v>
      </c>
      <c r="D24" s="10">
        <v>101</v>
      </c>
      <c r="E24" s="11">
        <f t="shared" si="0"/>
        <v>7.6054216867469879</v>
      </c>
      <c r="F24" s="13">
        <v>6</v>
      </c>
      <c r="G24" s="14">
        <f t="shared" si="1"/>
        <v>-1.6054216867469879</v>
      </c>
      <c r="H24" s="13">
        <f ca="1">IFERROR(__xludf.DUMMYFUNCTION("IFERROR(
  AVERAGE(
    FILTER(
      $E$2:$E24,
      $A$2:$A24&gt;=A24-30,
      $A$2:$A24&lt;=A24,
      $E$2:$E24&gt;0
    )
  ),
  """"
)"),7.70465649829994)</f>
        <v>7.7046564982999399</v>
      </c>
      <c r="I24" s="14"/>
      <c r="J24" s="10"/>
      <c r="K24" s="10">
        <v>4740</v>
      </c>
      <c r="L24" s="10">
        <v>336</v>
      </c>
      <c r="M24" s="11">
        <f t="shared" si="2"/>
        <v>7.0886075949367093</v>
      </c>
      <c r="N24" s="13">
        <v>8</v>
      </c>
      <c r="O24" s="14">
        <f t="shared" si="3"/>
        <v>0.91139240506329067</v>
      </c>
      <c r="P24" s="13" t="str">
        <f ca="1">IFERROR(__xludf.DUMMYFUNCTION("IFERROR(
  AVERAGE(
    FILTER(
      $AA$2:$AA24,
      $A$2:$A24 &gt;= #REF! - 30,
      $A$2:$A24 &lt;= #REF!,
      $AA$2:$AA24 &gt; 0
    )
  ),
"""")"),"")</f>
        <v/>
      </c>
      <c r="Q24" s="10"/>
      <c r="R24" s="10">
        <v>9230</v>
      </c>
      <c r="S24" s="10">
        <v>646</v>
      </c>
      <c r="T24" s="11">
        <f t="shared" si="4"/>
        <v>6.9989165763813661</v>
      </c>
      <c r="U24" s="13">
        <v>8</v>
      </c>
      <c r="V24" s="14">
        <f t="shared" si="5"/>
        <v>1.0010834236186339</v>
      </c>
      <c r="W24" s="13" t="str">
        <f ca="1">IFERROR(__xludf.DUMMYFUNCTION("IFERROR(
  AVERAGE(
    FILTER(
      $AA$2:$AA24,
      $A$2:$A24 &gt;= #REF! - 30,
      $A$2:$A24 &lt;= #REF!,
      $AA$2:$AA24 &gt; 0
    )
  ),
"""")"),"")</f>
        <v/>
      </c>
      <c r="X24" s="10"/>
      <c r="Y24" s="10">
        <f t="shared" si="6"/>
        <v>13970</v>
      </c>
      <c r="Z24" s="10">
        <f t="shared" si="7"/>
        <v>1083</v>
      </c>
      <c r="AA24" s="11">
        <f t="shared" si="8"/>
        <v>7.7523264137437362</v>
      </c>
      <c r="AB24" s="13">
        <v>8</v>
      </c>
      <c r="AC24" s="14">
        <f t="shared" si="9"/>
        <v>0.24767358625626379</v>
      </c>
      <c r="AD24" s="13">
        <f ca="1">IFERROR(__xludf.DUMMYFUNCTION("IFERROR(
  AVERAGE(
    FILTER(
      $AA$2:$AA24,
      $A$2:$A24 &gt;= A24 - 30,
      $A$2:$A24 &lt;= A24,
      $AA$2:$AA24 &gt; 0
    )
  ),
"""")"),8.53459117057529)</f>
        <v>8.5345911705752897</v>
      </c>
      <c r="AE24" s="14"/>
    </row>
    <row r="25" spans="1:31" x14ac:dyDescent="0.25">
      <c r="A25" s="9">
        <v>45924</v>
      </c>
      <c r="B25" s="10"/>
      <c r="C25" s="10">
        <v>1131</v>
      </c>
      <c r="D25" s="10">
        <v>96</v>
      </c>
      <c r="E25" s="11">
        <f t="shared" si="0"/>
        <v>8.4880636604774526</v>
      </c>
      <c r="F25" s="13">
        <v>6</v>
      </c>
      <c r="G25" s="14">
        <f t="shared" si="1"/>
        <v>-2.4880636604774526</v>
      </c>
      <c r="H25" s="13">
        <f ca="1">IFERROR(__xludf.DUMMYFUNCTION("IFERROR(
  AVERAGE(
    FILTER(
      $E$2:$E25,
      $A$2:$A25&gt;=A25-30,
      $A$2:$A25&lt;=A25,
      $E$2:$E25&gt;0
    )
  ),
  """"
)"),7.74026591476256)</f>
        <v>7.7402659147625599</v>
      </c>
      <c r="I25" s="14"/>
      <c r="J25" s="10"/>
      <c r="K25" s="10">
        <v>8631</v>
      </c>
      <c r="L25" s="10">
        <v>489</v>
      </c>
      <c r="M25" s="11">
        <f t="shared" si="2"/>
        <v>5.665623913799096</v>
      </c>
      <c r="N25" s="13">
        <v>8</v>
      </c>
      <c r="O25" s="14">
        <f t="shared" si="3"/>
        <v>2.334376086200904</v>
      </c>
      <c r="P25" s="13" t="str">
        <f ca="1">IFERROR(__xludf.DUMMYFUNCTION("IFERROR(
  AVERAGE(
    FILTER(
      $AA$2:$AA25,
      $A$2:$A25 &gt;= #REF! - 30,
      $A$2:$A25 &lt;= #REF!,
      $AA$2:$AA25 &gt; 0
    )
  ),
"""")"),"")</f>
        <v/>
      </c>
      <c r="Q25" s="10"/>
      <c r="R25" s="10">
        <v>8312</v>
      </c>
      <c r="S25" s="10">
        <v>552</v>
      </c>
      <c r="T25" s="11">
        <f t="shared" si="4"/>
        <v>6.6410009624639086</v>
      </c>
      <c r="U25" s="13">
        <v>8</v>
      </c>
      <c r="V25" s="14">
        <f t="shared" si="5"/>
        <v>1.3589990375360914</v>
      </c>
      <c r="W25" s="13" t="str">
        <f ca="1">IFERROR(__xludf.DUMMYFUNCTION("IFERROR(
  AVERAGE(
    FILTER(
      $AA$2:$AA25,
      $A$2:$A25 &gt;= #REF! - 30,
      $A$2:$A25 &lt;= #REF!,
      $AA$2:$AA25 &gt; 0
    )
  ),
"""")"),"")</f>
        <v/>
      </c>
      <c r="X25" s="10"/>
      <c r="Y25" s="10">
        <f t="shared" si="6"/>
        <v>16943</v>
      </c>
      <c r="Z25" s="10">
        <f t="shared" si="7"/>
        <v>1137</v>
      </c>
      <c r="AA25" s="11">
        <f t="shared" si="8"/>
        <v>6.7107359971669727</v>
      </c>
      <c r="AB25" s="13">
        <v>8</v>
      </c>
      <c r="AC25" s="14">
        <f t="shared" si="9"/>
        <v>1.2892640028330273</v>
      </c>
      <c r="AD25" s="13">
        <f ca="1">IFERROR(__xludf.DUMMYFUNCTION("IFERROR(
  AVERAGE(
    FILTER(
      $AA$2:$AA25,
      $A$2:$A25 &gt;= A25 - 30,
      $A$2:$A25 &lt;= A25,
      $AA$2:$AA25 &gt; 0
    )
  ),
"""")"),8.45859720501661)</f>
        <v>8.4585972050166092</v>
      </c>
      <c r="AE25" s="14"/>
    </row>
    <row r="26" spans="1:31" x14ac:dyDescent="0.25">
      <c r="A26" s="9">
        <v>45925</v>
      </c>
      <c r="B26" s="10"/>
      <c r="C26" s="10">
        <v>1053</v>
      </c>
      <c r="D26" s="10">
        <v>105</v>
      </c>
      <c r="E26" s="11">
        <f t="shared" si="0"/>
        <v>9.9715099715099722</v>
      </c>
      <c r="F26" s="13">
        <v>6</v>
      </c>
      <c r="G26" s="14">
        <f t="shared" si="1"/>
        <v>-3.9715099715099722</v>
      </c>
      <c r="H26" s="13">
        <f ca="1">IFERROR(__xludf.DUMMYFUNCTION("IFERROR(
  AVERAGE(
    FILTER(
      $E$2:$E26,
      $A$2:$A26&gt;=A26-30,
      $A$2:$A26&lt;=A26,
      $E$2:$E26&gt;0
    )
  ),
  """"
)"),7.83727652592549)</f>
        <v>7.83727652592549</v>
      </c>
      <c r="I26" s="14"/>
      <c r="J26" s="10"/>
      <c r="K26" s="10">
        <v>3272</v>
      </c>
      <c r="L26" s="10">
        <v>248</v>
      </c>
      <c r="M26" s="11">
        <f t="shared" si="2"/>
        <v>7.5794621026894866</v>
      </c>
      <c r="N26" s="13">
        <v>8</v>
      </c>
      <c r="O26" s="14">
        <f t="shared" si="3"/>
        <v>0.42053789731051339</v>
      </c>
      <c r="P26" s="13" t="str">
        <f ca="1">IFERROR(__xludf.DUMMYFUNCTION("IFERROR(
  AVERAGE(
    FILTER(
      $AA$2:$AA26,
      $A$2:$A26 &gt;= #REF! - 30,
      $A$2:$A26 &lt;= #REF!,
      $AA$2:$AA26 &gt; 0
    )
  ),
"""")"),"")</f>
        <v/>
      </c>
      <c r="Q26" s="10"/>
      <c r="R26" s="10">
        <v>8150</v>
      </c>
      <c r="S26" s="10">
        <v>709</v>
      </c>
      <c r="T26" s="11">
        <f t="shared" si="4"/>
        <v>8.6993865030674833</v>
      </c>
      <c r="U26" s="13">
        <v>8</v>
      </c>
      <c r="V26" s="14">
        <f t="shared" si="5"/>
        <v>-0.69938650306748329</v>
      </c>
      <c r="W26" s="13" t="str">
        <f ca="1">IFERROR(__xludf.DUMMYFUNCTION("IFERROR(
  AVERAGE(
    FILTER(
      $AA$2:$AA26,
      $A$2:$A26 &gt;= #REF! - 30,
      $A$2:$A26 &lt;= #REF!,
      $AA$2:$AA26 &gt; 0
    )
  ),
"""")"),"")</f>
        <v/>
      </c>
      <c r="X26" s="10"/>
      <c r="Y26" s="10">
        <f t="shared" si="6"/>
        <v>11422</v>
      </c>
      <c r="Z26" s="10">
        <f t="shared" si="7"/>
        <v>1062</v>
      </c>
      <c r="AA26" s="11">
        <f t="shared" si="8"/>
        <v>9.2978462616004212</v>
      </c>
      <c r="AB26" s="13">
        <v>8</v>
      </c>
      <c r="AC26" s="14">
        <f t="shared" si="9"/>
        <v>-1.2978462616004212</v>
      </c>
      <c r="AD26" s="13">
        <f ca="1">IFERROR(__xludf.DUMMYFUNCTION("IFERROR(
  AVERAGE(
    FILTER(
      $AA$2:$AA26,
      $A$2:$A26 &gt;= A26 - 30,
      $A$2:$A26 &lt;= A26,
      $AA$2:$AA26 &gt; 0
    )
  ),
"""")"),8.49216716727996)</f>
        <v>8.4921671672799608</v>
      </c>
      <c r="AE26" s="14"/>
    </row>
    <row r="27" spans="1:31" x14ac:dyDescent="0.25">
      <c r="A27" s="9">
        <v>45926</v>
      </c>
      <c r="B27" s="10"/>
      <c r="C27" s="10">
        <v>1268</v>
      </c>
      <c r="D27" s="10">
        <v>68</v>
      </c>
      <c r="E27" s="11">
        <f t="shared" si="0"/>
        <v>5.3627760252365935</v>
      </c>
      <c r="F27" s="13">
        <v>6</v>
      </c>
      <c r="G27" s="14">
        <f t="shared" si="1"/>
        <v>0.63722397476340653</v>
      </c>
      <c r="H27" s="13">
        <f ca="1">IFERROR(__xludf.DUMMYFUNCTION("IFERROR(
  AVERAGE(
    FILTER(
      $E$2:$E27,
      $A$2:$A27&gt;=A27-30,
      $A$2:$A27&lt;=A27,
      $E$2:$E27&gt;0
    )
  ),
  """"
)"),7.73417233839678)</f>
        <v>7.73417233839678</v>
      </c>
      <c r="I27" s="14"/>
      <c r="J27" s="10"/>
      <c r="K27" s="10">
        <v>2636</v>
      </c>
      <c r="L27" s="10">
        <v>183</v>
      </c>
      <c r="M27" s="11">
        <f t="shared" si="2"/>
        <v>6.9423368740515938</v>
      </c>
      <c r="N27" s="13">
        <v>8</v>
      </c>
      <c r="O27" s="14">
        <f t="shared" si="3"/>
        <v>1.0576631259484062</v>
      </c>
      <c r="P27" s="13" t="str">
        <f ca="1">IFERROR(__xludf.DUMMYFUNCTION("IFERROR(
  AVERAGE(
    FILTER(
      $AA$2:$AA27,
      $A$2:$A27 &gt;= #REF! - 30,
      $A$2:$A27 &lt;= #REF!,
      $AA$2:$AA27 &gt; 0
    )
  ),
"""")"),"")</f>
        <v/>
      </c>
      <c r="Q27" s="10"/>
      <c r="R27" s="10">
        <v>8152</v>
      </c>
      <c r="S27" s="10">
        <v>777</v>
      </c>
      <c r="T27" s="11">
        <f t="shared" si="4"/>
        <v>9.5314033366045141</v>
      </c>
      <c r="U27" s="13">
        <v>8</v>
      </c>
      <c r="V27" s="14">
        <f t="shared" si="5"/>
        <v>-1.5314033366045141</v>
      </c>
      <c r="W27" s="13" t="str">
        <f ca="1">IFERROR(__xludf.DUMMYFUNCTION("IFERROR(
  AVERAGE(
    FILTER(
      $AA$2:$AA27,
      $A$2:$A27 &gt;= #REF! - 30,
      $A$2:$A27 &lt;= #REF!,
      $AA$2:$AA27 &gt; 0
    )
  ),
"""")"),"")</f>
        <v/>
      </c>
      <c r="X27" s="10"/>
      <c r="Y27" s="10">
        <f t="shared" si="6"/>
        <v>10788</v>
      </c>
      <c r="Z27" s="10">
        <f t="shared" si="7"/>
        <v>1028</v>
      </c>
      <c r="AA27" s="11">
        <f t="shared" si="8"/>
        <v>9.5291064145346684</v>
      </c>
      <c r="AB27" s="13">
        <v>8</v>
      </c>
      <c r="AC27" s="14">
        <f t="shared" si="9"/>
        <v>-1.5291064145346684</v>
      </c>
      <c r="AD27" s="13">
        <f ca="1">IFERROR(__xludf.DUMMYFUNCTION("IFERROR(
  AVERAGE(
    FILTER(
      $AA$2:$AA27,
      $A$2:$A27 &gt;= A27 - 30,
      $A$2:$A27 &lt;= A27,
      $AA$2:$AA27 &gt; 0
    )
  ),
"""")"),8.53204944602053)</f>
        <v>8.5320494460205296</v>
      </c>
      <c r="AE27" s="14"/>
    </row>
    <row r="28" spans="1:31" x14ac:dyDescent="0.25">
      <c r="A28" s="9">
        <v>45927</v>
      </c>
      <c r="B28" s="10"/>
      <c r="C28" s="10">
        <v>1173</v>
      </c>
      <c r="D28" s="10">
        <v>135</v>
      </c>
      <c r="E28" s="11">
        <f t="shared" si="0"/>
        <v>11.508951406649617</v>
      </c>
      <c r="F28" s="13">
        <v>6</v>
      </c>
      <c r="G28" s="14">
        <f t="shared" si="1"/>
        <v>-5.5089514066496168</v>
      </c>
      <c r="H28" s="13">
        <f ca="1">IFERROR(__xludf.DUMMYFUNCTION("IFERROR(
  AVERAGE(
    FILTER(
      $E$2:$E28,
      $A$2:$A28&gt;=A28-30,
      $A$2:$A28&lt;=A28,
      $E$2:$E28&gt;0
    )
  ),
  """"
)"),7.8851635011269)</f>
        <v>7.8851635011269003</v>
      </c>
      <c r="I28" s="14"/>
      <c r="J28" s="10"/>
      <c r="K28" s="10">
        <v>3028</v>
      </c>
      <c r="L28" s="10">
        <v>299</v>
      </c>
      <c r="M28" s="11">
        <f t="shared" si="2"/>
        <v>9.8745046235138698</v>
      </c>
      <c r="N28" s="13">
        <v>8</v>
      </c>
      <c r="O28" s="14">
        <f t="shared" si="3"/>
        <v>-1.8745046235138698</v>
      </c>
      <c r="P28" s="13" t="str">
        <f ca="1">IFERROR(__xludf.DUMMYFUNCTION("IFERROR(
  AVERAGE(
    FILTER(
      $AA$2:$AA28,
      $A$2:$A28 &gt;= #REF! - 30,
      $A$2:$A28 &lt;= #REF!,
      $AA$2:$AA28 &gt; 0
    )
  ),
"""")"),"")</f>
        <v/>
      </c>
      <c r="Q28" s="10"/>
      <c r="R28" s="10">
        <v>9253</v>
      </c>
      <c r="S28" s="10">
        <v>603</v>
      </c>
      <c r="T28" s="11">
        <f t="shared" si="4"/>
        <v>6.5168053604236471</v>
      </c>
      <c r="U28" s="13">
        <v>8</v>
      </c>
      <c r="V28" s="14">
        <f t="shared" si="5"/>
        <v>1.4831946395763529</v>
      </c>
      <c r="W28" s="13" t="str">
        <f ca="1">IFERROR(__xludf.DUMMYFUNCTION("IFERROR(
  AVERAGE(
    FILTER(
      $AA$2:$AA28,
      $A$2:$A28 &gt;= #REF! - 30,
      $A$2:$A28 &lt;= #REF!,
      $AA$2:$AA28 &gt; 0
    )
  ),
"""")"),"")</f>
        <v/>
      </c>
      <c r="X28" s="10"/>
      <c r="Y28" s="10">
        <f t="shared" si="6"/>
        <v>12281</v>
      </c>
      <c r="Z28" s="10">
        <f t="shared" si="7"/>
        <v>1037</v>
      </c>
      <c r="AA28" s="11">
        <f t="shared" si="8"/>
        <v>8.4439377900822414</v>
      </c>
      <c r="AB28" s="13">
        <v>8</v>
      </c>
      <c r="AC28" s="14">
        <f t="shared" si="9"/>
        <v>-0.44393779008224143</v>
      </c>
      <c r="AD28" s="13">
        <f ca="1">IFERROR(__xludf.DUMMYFUNCTION("IFERROR(
  AVERAGE(
    FILTER(
      $AA$2:$AA28,
      $A$2:$A28 &gt;= A28 - 30,
      $A$2:$A28 &lt;= A28,
      $AA$2:$AA28 &gt; 0
    )
  ),
"""")"),8.52878605135615)</f>
        <v>8.5287860513561498</v>
      </c>
      <c r="AE28" s="14"/>
    </row>
    <row r="29" spans="1:31" x14ac:dyDescent="0.25">
      <c r="A29" s="9">
        <v>45928</v>
      </c>
      <c r="B29" s="10"/>
      <c r="C29" s="10">
        <v>0</v>
      </c>
      <c r="D29" s="10">
        <v>0</v>
      </c>
      <c r="E29" s="11" t="e">
        <f t="shared" si="0"/>
        <v>#DIV/0!</v>
      </c>
      <c r="F29" s="13">
        <v>6</v>
      </c>
      <c r="G29" s="14" t="e">
        <f t="shared" si="1"/>
        <v>#DIV/0!</v>
      </c>
      <c r="H29" s="13">
        <f ca="1">IFERROR(__xludf.DUMMYFUNCTION("IFERROR(
  AVERAGE(
    FILTER(
      $E$2:$E29,
      $A$2:$A29&gt;=A29-30,
      $A$2:$A29&lt;=A29,
      $E$2:$E29&gt;0
    )
  ),
  """"
)"),7.8851635011269)</f>
        <v>7.8851635011269003</v>
      </c>
      <c r="I29" s="14"/>
      <c r="J29" s="10"/>
      <c r="K29" s="10">
        <v>0</v>
      </c>
      <c r="L29" s="10">
        <v>0</v>
      </c>
      <c r="M29" s="11" t="e">
        <f t="shared" si="2"/>
        <v>#DIV/0!</v>
      </c>
      <c r="N29" s="13">
        <v>8</v>
      </c>
      <c r="O29" s="14" t="e">
        <f t="shared" si="3"/>
        <v>#DIV/0!</v>
      </c>
      <c r="P29" s="13" t="str">
        <f ca="1">IFERROR(__xludf.DUMMYFUNCTION("IFERROR(
  AVERAGE(
    FILTER(
      $AA$2:$AA29,
      $A$2:$A29 &gt;= #REF! - 30,
      $A$2:$A29 &lt;= #REF!,
      $AA$2:$AA29 &gt; 0
    )
  ),
"""")"),"")</f>
        <v/>
      </c>
      <c r="Q29" s="10"/>
      <c r="R29" s="10">
        <v>6502</v>
      </c>
      <c r="S29" s="10">
        <v>387</v>
      </c>
      <c r="T29" s="11">
        <f t="shared" si="4"/>
        <v>5.9520147646877888</v>
      </c>
      <c r="U29" s="13">
        <v>8</v>
      </c>
      <c r="V29" s="14">
        <f t="shared" si="5"/>
        <v>2.0479852353122112</v>
      </c>
      <c r="W29" s="13" t="str">
        <f ca="1">IFERROR(__xludf.DUMMYFUNCTION("IFERROR(
  AVERAGE(
    FILTER(
      $AA$2:$AA29,
      $A$2:$A29 &gt;= #REF! - 30,
      $A$2:$A29 &lt;= #REF!,
      $AA$2:$AA29 &gt; 0
    )
  ),
"""")"),"")</f>
        <v/>
      </c>
      <c r="X29" s="10"/>
      <c r="Y29" s="10">
        <f t="shared" si="6"/>
        <v>6502</v>
      </c>
      <c r="Z29" s="10">
        <f t="shared" si="7"/>
        <v>387</v>
      </c>
      <c r="AA29" s="11">
        <f t="shared" si="8"/>
        <v>5.9520147646877888</v>
      </c>
      <c r="AB29" s="13">
        <v>8</v>
      </c>
      <c r="AC29" s="14">
        <f t="shared" si="9"/>
        <v>2.0479852353122112</v>
      </c>
      <c r="AD29" s="13">
        <f ca="1">IFERROR(__xludf.DUMMYFUNCTION("IFERROR(
  AVERAGE(
    FILTER(
      $AA$2:$AA29,
      $A$2:$A29 &gt;= A29 - 30,
      $A$2:$A29 &lt;= A29,
      $AA$2:$AA29 &gt; 0
    )
  ),
"""")"),8.43675850540371)</f>
        <v>8.4367585054037093</v>
      </c>
      <c r="AE29" s="14"/>
    </row>
    <row r="30" spans="1:31" x14ac:dyDescent="0.25">
      <c r="A30" s="9">
        <v>45929</v>
      </c>
      <c r="B30" s="10"/>
      <c r="C30" s="10">
        <v>1131</v>
      </c>
      <c r="D30" s="10">
        <v>96</v>
      </c>
      <c r="E30" s="11">
        <f t="shared" si="0"/>
        <v>8.4880636604774526</v>
      </c>
      <c r="F30" s="13">
        <v>6</v>
      </c>
      <c r="G30" s="14">
        <f t="shared" si="1"/>
        <v>-2.4880636604774526</v>
      </c>
      <c r="H30" s="13">
        <f ca="1">IFERROR(__xludf.DUMMYFUNCTION("IFERROR(
  AVERAGE(
    FILTER(
      $E$2:$E30,
      $A$2:$A30&gt;=A30-30,
      $A$2:$A30&lt;=A30,
      $E$2:$E30&gt;0
    )
  ),
  """"
)"),7.90835196879423)</f>
        <v>7.9083519687942303</v>
      </c>
      <c r="I30" s="14"/>
      <c r="J30" s="10"/>
      <c r="K30" s="10">
        <v>8631</v>
      </c>
      <c r="L30" s="10">
        <v>489</v>
      </c>
      <c r="M30" s="11">
        <f t="shared" si="2"/>
        <v>5.665623913799096</v>
      </c>
      <c r="N30" s="13">
        <v>8</v>
      </c>
      <c r="O30" s="14">
        <f t="shared" si="3"/>
        <v>2.334376086200904</v>
      </c>
      <c r="P30" s="13" t="str">
        <f ca="1">IFERROR(__xludf.DUMMYFUNCTION("IFERROR(
  AVERAGE(
    FILTER(
      $AA$2:$AA30,
      $A$2:$A30 &gt;= #REF! - 30,
      $A$2:$A30 &lt;= #REF!,
      $AA$2:$AA30 &gt; 0
    )
  ),
"""")"),"")</f>
        <v/>
      </c>
      <c r="Q30" s="10"/>
      <c r="R30" s="10">
        <v>8312</v>
      </c>
      <c r="S30" s="10">
        <v>552</v>
      </c>
      <c r="T30" s="11">
        <f t="shared" si="4"/>
        <v>6.6410009624639086</v>
      </c>
      <c r="U30" s="13">
        <v>8</v>
      </c>
      <c r="V30" s="14">
        <f t="shared" si="5"/>
        <v>1.3589990375360914</v>
      </c>
      <c r="W30" s="13" t="str">
        <f ca="1">IFERROR(__xludf.DUMMYFUNCTION("IFERROR(
  AVERAGE(
    FILTER(
      $AA$2:$AA30,
      $A$2:$A30 &gt;= #REF! - 30,
      $A$2:$A30 &lt;= #REF!,
      $AA$2:$AA30 &gt; 0
    )
  ),
"""")"),"")</f>
        <v/>
      </c>
      <c r="X30" s="10"/>
      <c r="Y30" s="10">
        <f t="shared" si="6"/>
        <v>16943</v>
      </c>
      <c r="Z30" s="10">
        <f t="shared" si="7"/>
        <v>1137</v>
      </c>
      <c r="AA30" s="11">
        <f t="shared" si="8"/>
        <v>6.7107359971669727</v>
      </c>
      <c r="AB30" s="13">
        <v>8</v>
      </c>
      <c r="AC30" s="14">
        <f t="shared" si="9"/>
        <v>1.2892640028330273</v>
      </c>
      <c r="AD30" s="13">
        <f ca="1">IFERROR(__xludf.DUMMYFUNCTION("IFERROR(
  AVERAGE(
    FILTER(
      $AA$2:$AA30,
      $A$2:$A30 &gt;= A30 - 30,
      $A$2:$A30 &lt;= A30,
      $AA$2:$AA30 &gt; 0
    )
  ),
"""")"),8.3772404878783)</f>
        <v>8.3772404878783</v>
      </c>
      <c r="AE30" s="14"/>
    </row>
    <row r="31" spans="1:31" x14ac:dyDescent="0.25">
      <c r="A31" s="9">
        <v>45930</v>
      </c>
      <c r="B31" s="10"/>
      <c r="C31" s="10">
        <v>1542</v>
      </c>
      <c r="D31" s="10">
        <v>67</v>
      </c>
      <c r="E31" s="11">
        <f t="shared" si="0"/>
        <v>4.3450064850843058</v>
      </c>
      <c r="F31" s="13">
        <v>6</v>
      </c>
      <c r="G31" s="14">
        <f t="shared" si="1"/>
        <v>1.6549935149156942</v>
      </c>
      <c r="H31" s="13">
        <f ca="1">IFERROR(__xludf.DUMMYFUNCTION("IFERROR(
  AVERAGE(
    FILTER(
      $E$2:$E31,
      $A$2:$A31&gt;=A31-30,
      $A$2:$A31&lt;=A31,
      $E$2:$E31&gt;0
    )
  ),
  """"
)"),7.7763762101383)</f>
        <v>7.7763762101382996</v>
      </c>
      <c r="I31" s="14"/>
      <c r="J31" s="10"/>
      <c r="K31" s="10">
        <v>559</v>
      </c>
      <c r="L31" s="10">
        <v>17</v>
      </c>
      <c r="M31" s="11">
        <f t="shared" si="2"/>
        <v>3.0411449016100178</v>
      </c>
      <c r="N31" s="13">
        <v>8</v>
      </c>
      <c r="O31" s="14">
        <f t="shared" si="3"/>
        <v>4.9588550983899822</v>
      </c>
      <c r="P31" s="13" t="str">
        <f ca="1">IFERROR(__xludf.DUMMYFUNCTION("IFERROR(
  AVERAGE(
    FILTER(
      $AA$2:$AA31,
      $A$2:$A31 &gt;= #REF! - 30,
      $A$2:$A31 &lt;= #REF!,
      $AA$2:$AA31 &gt; 0
    )
  ),
"""")"),"")</f>
        <v/>
      </c>
      <c r="Q31" s="10"/>
      <c r="R31" s="10">
        <v>4884</v>
      </c>
      <c r="S31" s="10">
        <v>422</v>
      </c>
      <c r="T31" s="11">
        <f t="shared" si="4"/>
        <v>8.6404586404586414</v>
      </c>
      <c r="U31" s="13">
        <v>8</v>
      </c>
      <c r="V31" s="14">
        <f t="shared" si="5"/>
        <v>-0.64045864045864143</v>
      </c>
      <c r="W31" s="13" t="str">
        <f ca="1">IFERROR(__xludf.DUMMYFUNCTION("IFERROR(
  AVERAGE(
    FILTER(
      $AA$2:$AA31,
      $A$2:$A31 &gt;= #REF! - 30,
      $A$2:$A31 &lt;= #REF!,
      $AA$2:$AA31 &gt; 0
    )
  ),
"""")"),"")</f>
        <v/>
      </c>
      <c r="X31" s="10"/>
      <c r="Y31" s="10">
        <f t="shared" si="6"/>
        <v>5443</v>
      </c>
      <c r="Z31" s="10">
        <f t="shared" si="7"/>
        <v>506</v>
      </c>
      <c r="AA31" s="11">
        <f t="shared" si="8"/>
        <v>9.2963439279808942</v>
      </c>
      <c r="AB31" s="13">
        <v>8</v>
      </c>
      <c r="AC31" s="14">
        <f t="shared" si="9"/>
        <v>-1.2963439279808942</v>
      </c>
      <c r="AD31" s="13">
        <f ca="1">IFERROR(__xludf.DUMMYFUNCTION("IFERROR(
  AVERAGE(
    FILTER(
      $AA$2:$AA31,
      $A$2:$A31 &gt;= A31 - 30,
      $A$2:$A31 &lt;= A31,
      $AA$2:$AA31 &gt; 0
    )
  ),
"""")"),8.40787726921505)</f>
        <v>8.4078772692150494</v>
      </c>
      <c r="AE31" s="14"/>
    </row>
    <row r="32" spans="1:31" x14ac:dyDescent="0.25">
      <c r="A32" s="9">
        <v>45931</v>
      </c>
      <c r="B32" s="10"/>
      <c r="C32" s="10">
        <v>1556</v>
      </c>
      <c r="D32" s="10">
        <v>96</v>
      </c>
      <c r="E32" s="11">
        <f t="shared" si="0"/>
        <v>6.1696658097686372</v>
      </c>
      <c r="F32" s="13">
        <v>6</v>
      </c>
      <c r="G32" s="14">
        <f t="shared" si="1"/>
        <v>-0.16966580976863721</v>
      </c>
      <c r="H32" s="13">
        <f ca="1">IFERROR(__xludf.DUMMYFUNCTION("IFERROR(
  AVERAGE(
    FILTER(
      $E$2:$E32,
      $A$2:$A32&gt;=A32-30,
      $A$2:$A32&lt;=A32,
      $E$2:$E32&gt;0
    )
  ),
  """"
)"),7.71899369583939)</f>
        <v>7.7189936958393899</v>
      </c>
      <c r="I32" s="14"/>
      <c r="J32" s="10"/>
      <c r="K32" s="10">
        <v>0</v>
      </c>
      <c r="L32" s="10">
        <v>0</v>
      </c>
      <c r="M32" s="11" t="e">
        <f t="shared" si="2"/>
        <v>#DIV/0!</v>
      </c>
      <c r="N32" s="13">
        <v>8</v>
      </c>
      <c r="O32" s="14" t="e">
        <f t="shared" si="3"/>
        <v>#DIV/0!</v>
      </c>
      <c r="P32" s="13" t="str">
        <f ca="1">IFERROR(__xludf.DUMMYFUNCTION("IFERROR(
  AVERAGE(
    FILTER(
      $AA$2:$AA32,
      $A$2:$A32 &gt;= #REF! - 30,
      $A$2:$A32 &lt;= #REF!,
      $AA$2:$AA32 &gt; 0
    )
  ),
"""")"),"")</f>
        <v/>
      </c>
      <c r="Q32" s="10"/>
      <c r="R32" s="10">
        <v>9344</v>
      </c>
      <c r="S32" s="10">
        <v>672</v>
      </c>
      <c r="T32" s="11">
        <f t="shared" si="4"/>
        <v>7.1917808219178081</v>
      </c>
      <c r="U32" s="13">
        <v>8</v>
      </c>
      <c r="V32" s="14">
        <f t="shared" si="5"/>
        <v>0.8082191780821919</v>
      </c>
      <c r="W32" s="13" t="str">
        <f ca="1">IFERROR(__xludf.DUMMYFUNCTION("IFERROR(
  AVERAGE(
    FILTER(
      $AA$2:$AA32,
      $A$2:$A32 &gt;= #REF! - 30,
      $A$2:$A32 &lt;= #REF!,
      $AA$2:$AA32 &gt; 0
    )
  ),
"""")"),"")</f>
        <v/>
      </c>
      <c r="X32" s="10"/>
      <c r="Y32" s="10">
        <f t="shared" si="6"/>
        <v>9344</v>
      </c>
      <c r="Z32" s="10">
        <f t="shared" si="7"/>
        <v>768</v>
      </c>
      <c r="AA32" s="11">
        <f t="shared" si="8"/>
        <v>8.2191780821917799</v>
      </c>
      <c r="AB32" s="13">
        <v>8</v>
      </c>
      <c r="AC32" s="14">
        <f t="shared" si="9"/>
        <v>-0.21917808219177992</v>
      </c>
      <c r="AD32" s="13">
        <f ca="1">IFERROR(__xludf.DUMMYFUNCTION("IFERROR(
  AVERAGE(
    FILTER(
      $AA$2:$AA32,
      $A$2:$A32 &gt;= A32 - 30,
      $A$2:$A32 &lt;= A32,
      $AA$2:$AA32 &gt; 0
    )
  ),
"""")"),8.40179019866592)</f>
        <v>8.4017901986659194</v>
      </c>
      <c r="AE32" s="14"/>
    </row>
    <row r="33" spans="1:31" x14ac:dyDescent="0.25">
      <c r="A33" s="9">
        <v>45932</v>
      </c>
      <c r="B33" s="10"/>
      <c r="C33" s="10">
        <v>0</v>
      </c>
      <c r="D33" s="10">
        <v>0</v>
      </c>
      <c r="E33" s="11" t="e">
        <f t="shared" si="0"/>
        <v>#DIV/0!</v>
      </c>
      <c r="F33" s="13">
        <v>6</v>
      </c>
      <c r="G33" s="14" t="e">
        <f t="shared" si="1"/>
        <v>#DIV/0!</v>
      </c>
      <c r="H33" s="13">
        <f ca="1">IFERROR(__xludf.DUMMYFUNCTION("IFERROR(
  AVERAGE(
    FILTER(
      $E$2:$E33,
      $A$2:$A33&gt;=A33-30,
      $A$2:$A33&lt;=A33,
      $E$2:$E33&gt;0
    )
  ),
  """"
)"),7.67634705142284)</f>
        <v>7.67634705142284</v>
      </c>
      <c r="I33" s="14"/>
      <c r="J33" s="10"/>
      <c r="K33" s="10">
        <v>0</v>
      </c>
      <c r="L33" s="10">
        <v>0</v>
      </c>
      <c r="M33" s="11" t="e">
        <f t="shared" si="2"/>
        <v>#DIV/0!</v>
      </c>
      <c r="N33" s="13">
        <v>8</v>
      </c>
      <c r="O33" s="14" t="e">
        <f t="shared" si="3"/>
        <v>#DIV/0!</v>
      </c>
      <c r="P33" s="13" t="str">
        <f ca="1">IFERROR(__xludf.DUMMYFUNCTION("IFERROR(
  AVERAGE(
    FILTER(
      $AA$2:$AA33,
      $A$2:$A33 &gt;= #REF! - 30,
      $A$2:$A33 &lt;= #REF!,
      $AA$2:$AA33 &gt; 0
    )
  ),
"""")"),"")</f>
        <v/>
      </c>
      <c r="Q33" s="10"/>
      <c r="R33" s="10">
        <v>0</v>
      </c>
      <c r="S33" s="10">
        <v>0</v>
      </c>
      <c r="T33" s="11" t="e">
        <f t="shared" si="4"/>
        <v>#DIV/0!</v>
      </c>
      <c r="U33" s="13">
        <v>8</v>
      </c>
      <c r="V33" s="14" t="e">
        <f t="shared" si="5"/>
        <v>#DIV/0!</v>
      </c>
      <c r="W33" s="13" t="str">
        <f ca="1">IFERROR(__xludf.DUMMYFUNCTION("IFERROR(
  AVERAGE(
    FILTER(
      $AA$2:$AA33,
      $A$2:$A33 &gt;= #REF! - 30,
      $A$2:$A33 &lt;= #REF!,
      $AA$2:$AA33 &gt; 0
    )
  ),
"""")"),"")</f>
        <v/>
      </c>
      <c r="X33" s="10"/>
      <c r="Y33" s="10">
        <f t="shared" si="6"/>
        <v>0</v>
      </c>
      <c r="Z33" s="10">
        <f t="shared" si="7"/>
        <v>0</v>
      </c>
      <c r="AA33" s="11" t="e">
        <f t="shared" si="8"/>
        <v>#DIV/0!</v>
      </c>
      <c r="AB33" s="13">
        <v>8</v>
      </c>
      <c r="AC33" s="14" t="e">
        <f t="shared" si="9"/>
        <v>#DIV/0!</v>
      </c>
      <c r="AD33" s="13">
        <f ca="1">IFERROR(__xludf.DUMMYFUNCTION("IFERROR(
  AVERAGE(
    FILTER(
      $AA$2:$AA33,
      $A$2:$A33 &gt;= A33 - 30,
      $A$2:$A33 &lt;= A33,
      $AA$2:$AA33 &gt; 0
    )
  ),
"""")"),8.39667428864109)</f>
        <v>8.3966742886410906</v>
      </c>
      <c r="AE33" s="14"/>
    </row>
    <row r="34" spans="1:31" x14ac:dyDescent="0.25">
      <c r="A34" s="9">
        <v>45933</v>
      </c>
      <c r="B34" s="10"/>
      <c r="C34" s="10">
        <v>1468</v>
      </c>
      <c r="D34" s="10">
        <v>145</v>
      </c>
      <c r="E34" s="11">
        <f t="shared" si="0"/>
        <v>9.877384196185286</v>
      </c>
      <c r="F34" s="13">
        <v>6</v>
      </c>
      <c r="G34" s="14">
        <f t="shared" si="1"/>
        <v>-3.877384196185286</v>
      </c>
      <c r="H34" s="13">
        <f ca="1">IFERROR(__xludf.DUMMYFUNCTION("IFERROR(
  AVERAGE(
    FILTER(
      $E$2:$E34,
      $A$2:$A34&gt;=A34-30,
      $A$2:$A34&lt;=A34,
      $E$2:$E34&gt;0
    )
  ),
  """"
)"),7.41783747138737)</f>
        <v>7.4178374713873696</v>
      </c>
      <c r="I34" s="14"/>
      <c r="J34" s="10"/>
      <c r="K34" s="10">
        <v>8528</v>
      </c>
      <c r="L34" s="10">
        <v>444</v>
      </c>
      <c r="M34" s="11">
        <f t="shared" si="2"/>
        <v>5.2063789868667918</v>
      </c>
      <c r="N34" s="13">
        <v>8</v>
      </c>
      <c r="O34" s="14">
        <f t="shared" si="3"/>
        <v>2.7936210131332082</v>
      </c>
      <c r="P34" s="13" t="str">
        <f ca="1">IFERROR(__xludf.DUMMYFUNCTION("IFERROR(
  AVERAGE(
    FILTER(
      $AA$2:$AA34,
      $A$2:$A34 &gt;= #REF! - 30,
      $A$2:$A34 &lt;= #REF!,
      $AA$2:$AA34 &gt; 0
    )
  ),
"""")"),"")</f>
        <v/>
      </c>
      <c r="Q34" s="10"/>
      <c r="R34" s="10">
        <v>9293</v>
      </c>
      <c r="S34" s="10">
        <v>461</v>
      </c>
      <c r="T34" s="11">
        <f t="shared" si="4"/>
        <v>4.9607231249327448</v>
      </c>
      <c r="U34" s="13">
        <v>8</v>
      </c>
      <c r="V34" s="14">
        <f t="shared" si="5"/>
        <v>3.0392768750672552</v>
      </c>
      <c r="W34" s="13" t="str">
        <f ca="1">IFERROR(__xludf.DUMMYFUNCTION("IFERROR(
  AVERAGE(
    FILTER(
      $AA$2:$AA34,
      $A$2:$A34 &gt;= #REF! - 30,
      $A$2:$A34 &lt;= #REF!,
      $AA$2:$AA34 &gt; 0
    )
  ),
"""")"),"")</f>
        <v/>
      </c>
      <c r="X34" s="10"/>
      <c r="Y34" s="10">
        <f t="shared" si="6"/>
        <v>17821</v>
      </c>
      <c r="Z34" s="10">
        <f t="shared" si="7"/>
        <v>1050</v>
      </c>
      <c r="AA34" s="11">
        <f t="shared" si="8"/>
        <v>5.8919252567196008</v>
      </c>
      <c r="AB34" s="13">
        <v>8</v>
      </c>
      <c r="AC34" s="14">
        <f t="shared" si="9"/>
        <v>2.1080747432803992</v>
      </c>
      <c r="AD34" s="13">
        <f ca="1">IFERROR(__xludf.DUMMYFUNCTION("IFERROR(
  AVERAGE(
    FILTER(
      $AA$2:$AA34,
      $A$2:$A34 &gt;= A34 - 30,
      $A$2:$A34 &lt;= A34,
      $AA$2:$AA34 &gt; 0
    )
  ),
"""")"),8.10236774355623)</f>
        <v>8.1023677435562291</v>
      </c>
      <c r="AE34" s="14"/>
    </row>
    <row r="35" spans="1:31" x14ac:dyDescent="0.25">
      <c r="A35" s="9">
        <v>45934</v>
      </c>
      <c r="B35" s="10"/>
      <c r="C35" s="10">
        <v>1462</v>
      </c>
      <c r="D35" s="10">
        <v>99</v>
      </c>
      <c r="E35" s="11">
        <f t="shared" si="0"/>
        <v>6.7715458276333793</v>
      </c>
      <c r="F35" s="13">
        <v>6</v>
      </c>
      <c r="G35" s="14">
        <f t="shared" si="1"/>
        <v>-0.77154582763337931</v>
      </c>
      <c r="H35" s="13">
        <f ca="1">IFERROR(__xludf.DUMMYFUNCTION("IFERROR(
  AVERAGE(
    FILTER(
      $E$2:$E35,
      $A$2:$A35&gt;=A35-30,
      $A$2:$A35&lt;=A35,
      $E$2:$E35&gt;0
    )
  ),
  """"
)"),7.34018758753594)</f>
        <v>7.3401875875359401</v>
      </c>
      <c r="I35" s="14"/>
      <c r="J35" s="10"/>
      <c r="K35" s="10">
        <v>6493</v>
      </c>
      <c r="L35" s="10">
        <v>254</v>
      </c>
      <c r="M35" s="11">
        <f t="shared" si="2"/>
        <v>3.911905128600031</v>
      </c>
      <c r="N35" s="13">
        <v>8</v>
      </c>
      <c r="O35" s="14">
        <f t="shared" si="3"/>
        <v>4.088094871399969</v>
      </c>
      <c r="P35" s="13" t="str">
        <f ca="1">IFERROR(__xludf.DUMMYFUNCTION("IFERROR(
  AVERAGE(
    FILTER(
      $AA$2:$AA35,
      $A$2:$A35 &gt;= #REF! - 30,
      $A$2:$A35 &lt;= #REF!,
      $AA$2:$AA35 &gt; 0
    )
  ),
"""")"),"")</f>
        <v/>
      </c>
      <c r="Q35" s="10"/>
      <c r="R35" s="10">
        <v>4869</v>
      </c>
      <c r="S35" s="10">
        <v>404</v>
      </c>
      <c r="T35" s="11">
        <f t="shared" si="4"/>
        <v>8.2973916615321421</v>
      </c>
      <c r="U35" s="13">
        <v>8</v>
      </c>
      <c r="V35" s="14">
        <f t="shared" si="5"/>
        <v>-0.29739166153214214</v>
      </c>
      <c r="W35" s="13" t="str">
        <f ca="1">IFERROR(__xludf.DUMMYFUNCTION("IFERROR(
  AVERAGE(
    FILTER(
      $AA$2:$AA35,
      $A$2:$A35 &gt;= #REF! - 30,
      $A$2:$A35 &lt;= #REF!,
      $AA$2:$AA35 &gt; 0
    )
  ),
"""")"),"")</f>
        <v/>
      </c>
      <c r="X35" s="10"/>
      <c r="Y35" s="10">
        <f t="shared" si="6"/>
        <v>11362</v>
      </c>
      <c r="Z35" s="10">
        <f t="shared" si="7"/>
        <v>757</v>
      </c>
      <c r="AA35" s="11">
        <f t="shared" si="8"/>
        <v>6.6625594085548316</v>
      </c>
      <c r="AB35" s="13">
        <v>8</v>
      </c>
      <c r="AC35" s="14">
        <f t="shared" si="9"/>
        <v>1.3374405914451684</v>
      </c>
      <c r="AD35" s="13">
        <f ca="1">IFERROR(__xludf.DUMMYFUNCTION("IFERROR(
  AVERAGE(
    FILTER(
      $AA$2:$AA35,
      $A$2:$A35 &gt;= A35 - 30,
      $A$2:$A35 &lt;= A35,
      $AA$2:$AA35 &gt; 0
    )
  ),
"""")"),8.03515416418579)</f>
        <v>8.0351541641857906</v>
      </c>
      <c r="AE35" s="14"/>
    </row>
    <row r="36" spans="1:31" x14ac:dyDescent="0.25">
      <c r="A36" s="9">
        <v>45935</v>
      </c>
      <c r="B36" s="10"/>
      <c r="C36" s="10">
        <v>427</v>
      </c>
      <c r="D36" s="10">
        <v>32</v>
      </c>
      <c r="E36" s="11">
        <f t="shared" si="0"/>
        <v>7.4941451990632322</v>
      </c>
      <c r="F36" s="13">
        <v>6</v>
      </c>
      <c r="G36" s="14">
        <f t="shared" si="1"/>
        <v>-1.4941451990632322</v>
      </c>
      <c r="H36" s="13">
        <f ca="1">IFERROR(__xludf.DUMMYFUNCTION("IFERROR(
  AVERAGE(
    FILTER(
      $E$2:$E36,
      $A$2:$A36&gt;=A36-30,
      $A$2:$A36&lt;=A36,
      $E$2:$E36&gt;0
    )
  ),
  """"
)"),7.18803704139934)</f>
        <v>7.1880370413993404</v>
      </c>
      <c r="I36" s="14"/>
      <c r="J36" s="10"/>
      <c r="K36" s="10">
        <v>0</v>
      </c>
      <c r="L36" s="10">
        <v>0</v>
      </c>
      <c r="M36" s="11" t="e">
        <f t="shared" si="2"/>
        <v>#DIV/0!</v>
      </c>
      <c r="N36" s="13">
        <v>8</v>
      </c>
      <c r="O36" s="14" t="e">
        <f t="shared" si="3"/>
        <v>#DIV/0!</v>
      </c>
      <c r="P36" s="13" t="str">
        <f ca="1">IFERROR(__xludf.DUMMYFUNCTION("IFERROR(
  AVERAGE(
    FILTER(
      $AA$2:$AA36,
      $A$2:$A36 &gt;= #REF! - 30,
      $A$2:$A36 &lt;= #REF!,
      $AA$2:$AA36 &gt; 0
    )
  ),
"""")"),"")</f>
        <v/>
      </c>
      <c r="Q36" s="10"/>
      <c r="R36" s="10">
        <v>407</v>
      </c>
      <c r="S36" s="10">
        <v>20</v>
      </c>
      <c r="T36" s="11">
        <f t="shared" si="4"/>
        <v>4.9140049140049138</v>
      </c>
      <c r="U36" s="13">
        <v>8</v>
      </c>
      <c r="V36" s="14">
        <f t="shared" si="5"/>
        <v>3.0859950859950862</v>
      </c>
      <c r="W36" s="13" t="str">
        <f ca="1">IFERROR(__xludf.DUMMYFUNCTION("IFERROR(
  AVERAGE(
    FILTER(
      $AA$2:$AA36,
      $A$2:$A36 &gt;= #REF! - 30,
      $A$2:$A36 &lt;= #REF!,
      $AA$2:$AA36 &gt; 0
    )
  ),
"""")"),"")</f>
        <v/>
      </c>
      <c r="X36" s="10"/>
      <c r="Y36" s="10">
        <f t="shared" si="6"/>
        <v>407</v>
      </c>
      <c r="Z36" s="10">
        <f t="shared" si="7"/>
        <v>52</v>
      </c>
      <c r="AA36" s="11">
        <f t="shared" si="8"/>
        <v>12.776412776412776</v>
      </c>
      <c r="AB36" s="13">
        <v>8</v>
      </c>
      <c r="AC36" s="14">
        <f t="shared" si="9"/>
        <v>-4.7764127764127764</v>
      </c>
      <c r="AD36" s="13">
        <f ca="1">IFERROR(__xludf.DUMMYFUNCTION("IFERROR(
  AVERAGE(
    FILTER(
      $AA$2:$AA36,
      $A$2:$A36 &gt;= A36 - 30,
      $A$2:$A36 &lt;= A36,
      $AA$2:$AA36 &gt; 0
    )
  ),
"""")"),8.02931395832058)</f>
        <v>8.0293139583205804</v>
      </c>
      <c r="AE36" s="14"/>
    </row>
    <row r="37" spans="1:31" x14ac:dyDescent="0.25">
      <c r="A37" s="9">
        <v>45936</v>
      </c>
      <c r="B37" s="10"/>
      <c r="C37" s="10">
        <v>2956</v>
      </c>
      <c r="D37" s="10">
        <v>160</v>
      </c>
      <c r="E37" s="11">
        <f t="shared" si="0"/>
        <v>5.4127198917456019</v>
      </c>
      <c r="F37" s="13">
        <v>6</v>
      </c>
      <c r="G37" s="14">
        <f t="shared" si="1"/>
        <v>0.58728010825439814</v>
      </c>
      <c r="H37" s="13">
        <f ca="1">IFERROR(__xludf.DUMMYFUNCTION("IFERROR(
  AVERAGE(
    FILTER(
      $E$2:$E37,
      $A$2:$A37&gt;=A37-30,
      $A$2:$A37&lt;=A37,
      $E$2:$E37&gt;0
    )
  ),
  """"
)"),7.09717530072245)</f>
        <v>7.0971753007224496</v>
      </c>
      <c r="I37" s="14"/>
      <c r="J37" s="10"/>
      <c r="K37" s="10">
        <v>5295</v>
      </c>
      <c r="L37" s="10">
        <v>427</v>
      </c>
      <c r="M37" s="11">
        <f t="shared" si="2"/>
        <v>8.0642115203021731</v>
      </c>
      <c r="N37" s="13">
        <v>8</v>
      </c>
      <c r="O37" s="14">
        <f t="shared" si="3"/>
        <v>-6.4211520302173142E-2</v>
      </c>
      <c r="P37" s="13" t="str">
        <f ca="1">IFERROR(__xludf.DUMMYFUNCTION("IFERROR(
  AVERAGE(
    FILTER(
      $AA$2:$AA37,
      $A$2:$A37 &gt;= #REF! - 30,
      $A$2:$A37 &lt;= #REF!,
      $AA$2:$AA37 &gt; 0
    )
  ),
"""")"),"")</f>
        <v/>
      </c>
      <c r="Q37" s="10"/>
      <c r="R37" s="10">
        <v>5696</v>
      </c>
      <c r="S37" s="10">
        <v>327</v>
      </c>
      <c r="T37" s="11">
        <f t="shared" si="4"/>
        <v>5.7408707865168536</v>
      </c>
      <c r="U37" s="13">
        <v>8</v>
      </c>
      <c r="V37" s="14">
        <f t="shared" si="5"/>
        <v>2.2591292134831464</v>
      </c>
      <c r="W37" s="13" t="str">
        <f ca="1">IFERROR(__xludf.DUMMYFUNCTION("IFERROR(
  AVERAGE(
    FILTER(
      $AA$2:$AA37,
      $A$2:$A37 &gt;= #REF! - 30,
      $A$2:$A37 &lt;= #REF!,
      $AA$2:$AA37 &gt; 0
    )
  ),
"""")"),"")</f>
        <v/>
      </c>
      <c r="X37" s="10"/>
      <c r="Y37" s="10">
        <f t="shared" si="6"/>
        <v>10991</v>
      </c>
      <c r="Z37" s="10">
        <f t="shared" si="7"/>
        <v>914</v>
      </c>
      <c r="AA37" s="11">
        <f t="shared" si="8"/>
        <v>8.3158948230370306</v>
      </c>
      <c r="AB37" s="13">
        <v>8</v>
      </c>
      <c r="AC37" s="14">
        <f t="shared" si="9"/>
        <v>-0.31589482303703065</v>
      </c>
      <c r="AD37" s="13">
        <f ca="1">IFERROR(__xludf.DUMMYFUNCTION("IFERROR(
  AVERAGE(
    FILTER(
      $AA$2:$AA37,
      $A$2:$A37 &gt;= A37 - 30,
      $A$2:$A37 &lt;= A37,
      $AA$2:$AA37 &gt; 0
    )
  ),
"""")"),8.11920224791716)</f>
        <v>8.1192022479171602</v>
      </c>
      <c r="AE37" s="14"/>
    </row>
    <row r="38" spans="1:31" x14ac:dyDescent="0.25">
      <c r="A38" s="9">
        <v>45937</v>
      </c>
      <c r="B38" s="10"/>
      <c r="C38" s="10">
        <v>1400</v>
      </c>
      <c r="D38" s="10">
        <v>125</v>
      </c>
      <c r="E38" s="11">
        <f t="shared" si="0"/>
        <v>8.9285714285714288</v>
      </c>
      <c r="F38" s="13">
        <v>6</v>
      </c>
      <c r="G38" s="14">
        <f t="shared" si="1"/>
        <v>-2.9285714285714288</v>
      </c>
      <c r="H38" s="13">
        <f ca="1">IFERROR(__xludf.DUMMYFUNCTION("IFERROR(
  AVERAGE(
    FILTER(
      $E$2:$E38,
      $A$2:$A38&gt;=A38-30,
      $A$2:$A38&lt;=A38,
      $E$2:$E38&gt;0
    )
  ),
  """"
)"),7.10639044812855)</f>
        <v>7.1063904481285496</v>
      </c>
      <c r="I38" s="14"/>
      <c r="J38" s="10"/>
      <c r="K38" s="10">
        <v>7180</v>
      </c>
      <c r="L38" s="10">
        <v>533</v>
      </c>
      <c r="M38" s="11">
        <f t="shared" si="2"/>
        <v>7.4233983286908085</v>
      </c>
      <c r="N38" s="13">
        <v>8</v>
      </c>
      <c r="O38" s="14">
        <f t="shared" si="3"/>
        <v>0.57660167130919149</v>
      </c>
      <c r="P38" s="13" t="str">
        <f ca="1">IFERROR(__xludf.DUMMYFUNCTION("IFERROR(
  AVERAGE(
    FILTER(
      $AA$2:$AA38,
      $A$2:$A38 &gt;= #REF! - 30,
      $A$2:$A38 &lt;= #REF!,
      $AA$2:$AA38 &gt; 0
    )
  ),
"""")"),"")</f>
        <v/>
      </c>
      <c r="Q38" s="10"/>
      <c r="R38" s="10">
        <v>6867</v>
      </c>
      <c r="S38" s="10">
        <v>504</v>
      </c>
      <c r="T38" s="11">
        <f t="shared" si="4"/>
        <v>7.3394495412844041</v>
      </c>
      <c r="U38" s="13">
        <v>8</v>
      </c>
      <c r="V38" s="14">
        <f t="shared" si="5"/>
        <v>0.66055045871559592</v>
      </c>
      <c r="W38" s="13" t="str">
        <f ca="1">IFERROR(__xludf.DUMMYFUNCTION("IFERROR(
  AVERAGE(
    FILTER(
      $AA$2:$AA38,
      $A$2:$A38 &gt;= #REF! - 30,
      $A$2:$A38 &lt;= #REF!,
      $AA$2:$AA38 &gt; 0
    )
  ),
"""")"),"")</f>
        <v/>
      </c>
      <c r="X38" s="10"/>
      <c r="Y38" s="10">
        <f t="shared" si="6"/>
        <v>14047</v>
      </c>
      <c r="Z38" s="10">
        <f t="shared" si="7"/>
        <v>1162</v>
      </c>
      <c r="AA38" s="11">
        <f t="shared" si="8"/>
        <v>8.2722289456823521</v>
      </c>
      <c r="AB38" s="13">
        <v>8</v>
      </c>
      <c r="AC38" s="14">
        <f t="shared" si="9"/>
        <v>-0.27222894568235212</v>
      </c>
      <c r="AD38" s="13">
        <f ca="1">IFERROR(__xludf.DUMMYFUNCTION("IFERROR(
  AVERAGE(
    FILTER(
      $AA$2:$AA38,
      $A$2:$A38 &gt;= A38 - 30,
      $A$2:$A38 &lt;= A38,
      $AA$2:$AA38 &gt; 0
    )
  ),
"""")"),8.14863898592172)</f>
        <v>8.1486389859217194</v>
      </c>
      <c r="AE38" s="14"/>
    </row>
    <row r="39" spans="1:31" x14ac:dyDescent="0.25">
      <c r="A39" s="9">
        <v>45938</v>
      </c>
      <c r="B39" s="10"/>
      <c r="C39" s="10">
        <v>2428</v>
      </c>
      <c r="D39" s="10">
        <v>137</v>
      </c>
      <c r="E39" s="11">
        <f t="shared" si="0"/>
        <v>5.6425041186161451</v>
      </c>
      <c r="F39" s="13">
        <v>6</v>
      </c>
      <c r="G39" s="14">
        <f t="shared" si="1"/>
        <v>0.35749588138385491</v>
      </c>
      <c r="H39" s="13">
        <f ca="1">IFERROR(__xludf.DUMMYFUNCTION("IFERROR(
  AVERAGE(
    FILTER(
      $E$2:$E39,
      $A$2:$A39&gt;=A39-30,
      $A$2:$A39&lt;=A39,
      $E$2:$E39&gt;0
    )
  ),
  """"
)"),7.05410879350311)</f>
        <v>7.0541087935031097</v>
      </c>
      <c r="I39" s="14"/>
      <c r="J39" s="10"/>
      <c r="K39" s="10">
        <v>4947</v>
      </c>
      <c r="L39" s="10">
        <v>416</v>
      </c>
      <c r="M39" s="11">
        <f t="shared" si="2"/>
        <v>8.4091368506165356</v>
      </c>
      <c r="N39" s="13">
        <v>8</v>
      </c>
      <c r="O39" s="14">
        <f t="shared" si="3"/>
        <v>-0.4091368506165356</v>
      </c>
      <c r="P39" s="13" t="str">
        <f ca="1">IFERROR(__xludf.DUMMYFUNCTION("IFERROR(
  AVERAGE(
    FILTER(
      $AA$2:$AA39,
      $A$2:$A39 &gt;= #REF! - 30,
      $A$2:$A39 &lt;= #REF!,
      $AA$2:$AA39 &gt; 0
    )
  ),
"""")"),"")</f>
        <v/>
      </c>
      <c r="Q39" s="10"/>
      <c r="R39" s="10">
        <v>7663</v>
      </c>
      <c r="S39" s="10">
        <v>763</v>
      </c>
      <c r="T39" s="11">
        <f t="shared" si="4"/>
        <v>9.9569359258775947</v>
      </c>
      <c r="U39" s="13">
        <v>8</v>
      </c>
      <c r="V39" s="14">
        <f t="shared" si="5"/>
        <v>-1.9569359258775947</v>
      </c>
      <c r="W39" s="13" t="str">
        <f ca="1">IFERROR(__xludf.DUMMYFUNCTION("IFERROR(
  AVERAGE(
    FILTER(
      $AA$2:$AA39,
      $A$2:$A39 &gt;= #REF! - 30,
      $A$2:$A39 &lt;= #REF!,
      $AA$2:$AA39 &gt; 0
    )
  ),
"""")"),"")</f>
        <v/>
      </c>
      <c r="X39" s="10"/>
      <c r="Y39" s="10">
        <f t="shared" si="6"/>
        <v>12610</v>
      </c>
      <c r="Z39" s="10">
        <f t="shared" si="7"/>
        <v>1316</v>
      </c>
      <c r="AA39" s="11">
        <f t="shared" si="8"/>
        <v>10.436161776367962</v>
      </c>
      <c r="AB39" s="13">
        <v>8</v>
      </c>
      <c r="AC39" s="14">
        <f t="shared" si="9"/>
        <v>-2.4361617763679622</v>
      </c>
      <c r="AD39" s="13">
        <f ca="1">IFERROR(__xludf.DUMMYFUNCTION("IFERROR(
  AVERAGE(
    FILTER(
      $AA$2:$AA39,
      $A$2:$A39 &gt;= A39 - 30,
      $A$2:$A39 &lt;= A39,
      $AA$2:$AA39 &gt; 0
    )
  ),
"""")"),8.22865390227684)</f>
        <v>8.2286539022768395</v>
      </c>
      <c r="AE39" s="14"/>
    </row>
    <row r="40" spans="1:31" x14ac:dyDescent="0.25">
      <c r="A40" s="9">
        <v>45939</v>
      </c>
      <c r="B40" s="10"/>
      <c r="C40" s="10">
        <v>3187</v>
      </c>
      <c r="D40" s="10">
        <v>236</v>
      </c>
      <c r="E40" s="11">
        <f t="shared" si="0"/>
        <v>7.4050831502980863</v>
      </c>
      <c r="F40" s="13">
        <v>6</v>
      </c>
      <c r="G40" s="14">
        <f t="shared" si="1"/>
        <v>-1.4050831502980863</v>
      </c>
      <c r="H40" s="13">
        <f ca="1">IFERROR(__xludf.DUMMYFUNCTION("IFERROR(
  AVERAGE(
    FILTER(
      $E$2:$E40,
      $A$2:$A40&gt;=A40-30,
      $A$2:$A40&lt;=A40,
      $E$2:$E40&gt;0
    )
  ),
  """"
)"),7.05518102565054)</f>
        <v>7.0551810256505396</v>
      </c>
      <c r="I40" s="14"/>
      <c r="J40" s="10"/>
      <c r="K40" s="10">
        <v>7807</v>
      </c>
      <c r="L40" s="10">
        <v>484</v>
      </c>
      <c r="M40" s="11">
        <f t="shared" si="2"/>
        <v>6.199564493403356</v>
      </c>
      <c r="N40" s="13">
        <v>8</v>
      </c>
      <c r="O40" s="14">
        <f t="shared" si="3"/>
        <v>1.800435506596644</v>
      </c>
      <c r="P40" s="13" t="str">
        <f ca="1">IFERROR(__xludf.DUMMYFUNCTION("IFERROR(
  AVERAGE(
    FILTER(
      $AA$2:$AA40,
      $A$2:$A40 &gt;= #REF! - 30,
      $A$2:$A40 &lt;= #REF!,
      $AA$2:$AA40 &gt; 0
    )
  ),
"""")"),"")</f>
        <v/>
      </c>
      <c r="Q40" s="10"/>
      <c r="R40" s="10">
        <v>9488</v>
      </c>
      <c r="S40" s="10">
        <v>710</v>
      </c>
      <c r="T40" s="11">
        <f t="shared" si="4"/>
        <v>7.4831365935919063</v>
      </c>
      <c r="U40" s="13">
        <v>8</v>
      </c>
      <c r="V40" s="14">
        <f t="shared" si="5"/>
        <v>0.5168634064080937</v>
      </c>
      <c r="W40" s="13" t="str">
        <f ca="1">IFERROR(__xludf.DUMMYFUNCTION("IFERROR(
  AVERAGE(
    FILTER(
      $AA$2:$AA40,
      $A$2:$A40 &gt;= #REF! - 30,
      $A$2:$A40 &lt;= #REF!,
      $AA$2:$AA40 &gt; 0
    )
  ),
"""")"),"")</f>
        <v/>
      </c>
      <c r="X40" s="10"/>
      <c r="Y40" s="10">
        <f t="shared" si="6"/>
        <v>17295</v>
      </c>
      <c r="Z40" s="10">
        <f t="shared" si="7"/>
        <v>1430</v>
      </c>
      <c r="AA40" s="11">
        <f t="shared" si="8"/>
        <v>8.2682856316854583</v>
      </c>
      <c r="AB40" s="13">
        <v>8</v>
      </c>
      <c r="AC40" s="14">
        <f t="shared" si="9"/>
        <v>-0.26828563168545827</v>
      </c>
      <c r="AD40" s="13">
        <f ca="1">IFERROR(__xludf.DUMMYFUNCTION("IFERROR(
  AVERAGE(
    FILTER(
      $AA$2:$AA40,
      $A$2:$A40 &gt;= A40 - 30,
      $A$2:$A40 &lt;= A40,
      $AA$2:$AA40 &gt; 0
    )
  ),
"""")"),8.27135134288731)</f>
        <v>8.2713513428873107</v>
      </c>
      <c r="AE40" s="14"/>
    </row>
    <row r="41" spans="1:31" x14ac:dyDescent="0.25">
      <c r="A41" s="9">
        <v>45940</v>
      </c>
      <c r="B41" s="10"/>
      <c r="C41" s="10">
        <v>1922</v>
      </c>
      <c r="D41" s="10">
        <v>95</v>
      </c>
      <c r="E41" s="11">
        <f t="shared" si="0"/>
        <v>4.9427679500520298</v>
      </c>
      <c r="F41" s="13">
        <v>6</v>
      </c>
      <c r="G41" s="14">
        <f t="shared" si="1"/>
        <v>1.0572320499479702</v>
      </c>
      <c r="H41" s="13">
        <f ca="1">IFERROR(__xludf.DUMMYFUNCTION("IFERROR(
  AVERAGE(
    FILTER(
      $E$2:$E41,
      $A$2:$A41&gt;=A41-30,
      $A$2:$A41&lt;=A41,
      $E$2:$E41&gt;0
    )
  ),
  """"
)"),7.02785612499028)</f>
        <v>7.0278561249902802</v>
      </c>
      <c r="I41" s="14"/>
      <c r="J41" s="10"/>
      <c r="K41" s="10">
        <v>3393</v>
      </c>
      <c r="L41" s="10">
        <v>180</v>
      </c>
      <c r="M41" s="11">
        <f t="shared" si="2"/>
        <v>5.3050397877984086</v>
      </c>
      <c r="N41" s="13">
        <v>8</v>
      </c>
      <c r="O41" s="14">
        <f t="shared" si="3"/>
        <v>2.6949602122015914</v>
      </c>
      <c r="P41" s="13" t="str">
        <f ca="1">IFERROR(__xludf.DUMMYFUNCTION("IFERROR(
  AVERAGE(
    FILTER(
      $AA$2:$AA41,
      $A$2:$A41 &gt;= #REF! - 30,
      $A$2:$A41 &lt;= #REF!,
      $AA$2:$AA41 &gt; 0
    )
  ),
"""")"),"")</f>
        <v/>
      </c>
      <c r="Q41" s="10"/>
      <c r="R41" s="10">
        <v>8508</v>
      </c>
      <c r="S41" s="10">
        <v>686</v>
      </c>
      <c r="T41" s="11">
        <f t="shared" si="4"/>
        <v>8.0629995298542543</v>
      </c>
      <c r="U41" s="13">
        <v>8</v>
      </c>
      <c r="V41" s="14">
        <f t="shared" si="5"/>
        <v>-6.2999529854254277E-2</v>
      </c>
      <c r="W41" s="13" t="str">
        <f ca="1">IFERROR(__xludf.DUMMYFUNCTION("IFERROR(
  AVERAGE(
    FILTER(
      $AA$2:$AA41,
      $A$2:$A41 &gt;= #REF! - 30,
      $A$2:$A41 &lt;= #REF!,
      $AA$2:$AA41 &gt; 0
    )
  ),
"""")"),"")</f>
        <v/>
      </c>
      <c r="X41" s="10"/>
      <c r="Y41" s="10">
        <f t="shared" si="6"/>
        <v>11901</v>
      </c>
      <c r="Z41" s="10">
        <f t="shared" si="7"/>
        <v>961</v>
      </c>
      <c r="AA41" s="11">
        <f t="shared" si="8"/>
        <v>8.0749516847323761</v>
      </c>
      <c r="AB41" s="13">
        <v>8</v>
      </c>
      <c r="AC41" s="14">
        <f t="shared" si="9"/>
        <v>-7.4951684732376123E-2</v>
      </c>
      <c r="AD41" s="13">
        <f ca="1">IFERROR(__xludf.DUMMYFUNCTION("IFERROR(
  AVERAGE(
    FILTER(
      $AA$2:$AA41,
      $A$2:$A41 &gt;= A41 - 30,
      $A$2:$A41 &lt;= A41,
      $AA$2:$AA41 &gt; 0
    )
  ),
"""")"),8.28308847335187)</f>
        <v>8.2830884733518708</v>
      </c>
      <c r="AE41" s="14"/>
    </row>
    <row r="42" spans="1:31" x14ac:dyDescent="0.25">
      <c r="A42" s="9">
        <v>45941</v>
      </c>
      <c r="B42" s="10"/>
      <c r="C42" s="10">
        <v>2856</v>
      </c>
      <c r="D42" s="10">
        <v>225</v>
      </c>
      <c r="E42" s="11">
        <f t="shared" si="0"/>
        <v>7.8781512605042012</v>
      </c>
      <c r="F42" s="13">
        <v>6</v>
      </c>
      <c r="G42" s="14">
        <f t="shared" si="1"/>
        <v>-1.8781512605042012</v>
      </c>
      <c r="H42" s="13">
        <f ca="1">IFERROR(__xludf.DUMMYFUNCTION("IFERROR(
  AVERAGE(
    FILTER(
      $E$2:$E42,
      $A$2:$A42&gt;=A42-30,
      $A$2:$A42&lt;=A42,
      $E$2:$E42&gt;0
    )
  ),
  """"
)"),7.13003238654262)</f>
        <v>7.1300323865426201</v>
      </c>
      <c r="I42" s="14"/>
      <c r="J42" s="10"/>
      <c r="K42" s="10">
        <v>2260</v>
      </c>
      <c r="L42" s="10">
        <v>146</v>
      </c>
      <c r="M42" s="11">
        <f t="shared" si="2"/>
        <v>6.4601769911504432</v>
      </c>
      <c r="N42" s="13">
        <v>8</v>
      </c>
      <c r="O42" s="14">
        <f t="shared" si="3"/>
        <v>1.5398230088495568</v>
      </c>
      <c r="P42" s="13" t="str">
        <f ca="1">IFERROR(__xludf.DUMMYFUNCTION("IFERROR(
  AVERAGE(
    FILTER(
      $AA$2:$AA42,
      $A$2:$A42 &gt;= #REF! - 30,
      $A$2:$A42 &lt;= #REF!,
      $AA$2:$AA42 &gt; 0
    )
  ),
"""")"),"")</f>
        <v/>
      </c>
      <c r="Q42" s="10"/>
      <c r="R42" s="10">
        <v>8563</v>
      </c>
      <c r="S42" s="10">
        <v>695</v>
      </c>
      <c r="T42" s="11">
        <f t="shared" si="4"/>
        <v>8.1163143758028724</v>
      </c>
      <c r="U42" s="13">
        <v>8</v>
      </c>
      <c r="V42" s="14">
        <f t="shared" si="5"/>
        <v>-0.11631437580287241</v>
      </c>
      <c r="W42" s="13" t="str">
        <f ca="1">IFERROR(__xludf.DUMMYFUNCTION("IFERROR(
  AVERAGE(
    FILTER(
      $AA$2:$AA42,
      $A$2:$A42 &gt;= #REF! - 30,
      $A$2:$A42 &lt;= #REF!,
      $AA$2:$AA42 &gt; 0
    )
  ),
"""")"),"")</f>
        <v/>
      </c>
      <c r="X42" s="10"/>
      <c r="Y42" s="10">
        <f t="shared" si="6"/>
        <v>10823</v>
      </c>
      <c r="Z42" s="10">
        <f t="shared" si="7"/>
        <v>1066</v>
      </c>
      <c r="AA42" s="11">
        <f t="shared" si="8"/>
        <v>9.8493948073547077</v>
      </c>
      <c r="AB42" s="13">
        <v>8</v>
      </c>
      <c r="AC42" s="14">
        <f t="shared" si="9"/>
        <v>-1.8493948073547077</v>
      </c>
      <c r="AD42" s="13">
        <f ca="1">IFERROR(__xludf.DUMMYFUNCTION("IFERROR(
  AVERAGE(
    FILTER(
      $AA$2:$AA42,
      $A$2:$A42 &gt;= A42 - 30,
      $A$2:$A42 &lt;= A42,
      $AA$2:$AA42 &gt; 0
    )
  ),
"""")"),8.31209093287087)</f>
        <v>8.3120909328708699</v>
      </c>
      <c r="AE42" s="14"/>
    </row>
    <row r="43" spans="1:31" x14ac:dyDescent="0.25">
      <c r="A43" s="9">
        <v>45942</v>
      </c>
      <c r="B43" s="10"/>
      <c r="C43" s="10">
        <v>0</v>
      </c>
      <c r="D43" s="10">
        <v>0</v>
      </c>
      <c r="E43" s="11" t="e">
        <f t="shared" si="0"/>
        <v>#DIV/0!</v>
      </c>
      <c r="F43" s="13">
        <v>6</v>
      </c>
      <c r="G43" s="14" t="e">
        <f t="shared" si="1"/>
        <v>#DIV/0!</v>
      </c>
      <c r="H43" s="13">
        <f ca="1">IFERROR(__xludf.DUMMYFUNCTION("IFERROR(
  AVERAGE(
    FILTER(
      $E$2:$E43,
      $A$2:$A43&gt;=A43-30,
      $A$2:$A43&lt;=A43,
      $E$2:$E43&gt;0
    )
  ),
  """"
)"),7.20235182028133)</f>
        <v>7.2023518202813301</v>
      </c>
      <c r="I43" s="14"/>
      <c r="J43" s="10"/>
      <c r="K43" s="10">
        <v>0</v>
      </c>
      <c r="L43" s="10">
        <v>0</v>
      </c>
      <c r="M43" s="11" t="e">
        <f t="shared" si="2"/>
        <v>#DIV/0!</v>
      </c>
      <c r="N43" s="13">
        <v>8</v>
      </c>
      <c r="O43" s="14" t="e">
        <f t="shared" si="3"/>
        <v>#DIV/0!</v>
      </c>
      <c r="P43" s="13" t="str">
        <f ca="1">IFERROR(__xludf.DUMMYFUNCTION("IFERROR(
  AVERAGE(
    FILTER(
      $AA$2:$AA43,
      $A$2:$A43 &gt;= #REF! - 30,
      $A$2:$A43 &lt;= #REF!,
      $AA$2:$AA43 &gt; 0
    )
  ),
"""")"),"")</f>
        <v/>
      </c>
      <c r="Q43" s="10"/>
      <c r="R43" s="10">
        <v>3145</v>
      </c>
      <c r="S43" s="10">
        <v>230</v>
      </c>
      <c r="T43" s="11">
        <f t="shared" si="4"/>
        <v>7.3131955484896665</v>
      </c>
      <c r="U43" s="13">
        <v>8</v>
      </c>
      <c r="V43" s="14">
        <f t="shared" si="5"/>
        <v>0.68680445151033354</v>
      </c>
      <c r="W43" s="13" t="str">
        <f ca="1">IFERROR(__xludf.DUMMYFUNCTION("IFERROR(
  AVERAGE(
    FILTER(
      $AA$2:$AA43,
      $A$2:$A43 &gt;= #REF! - 30,
      $A$2:$A43 &lt;= #REF!,
      $AA$2:$AA43 &gt; 0
    )
  ),
"""")"),"")</f>
        <v/>
      </c>
      <c r="X43" s="10"/>
      <c r="Y43" s="10">
        <f t="shared" si="6"/>
        <v>3145</v>
      </c>
      <c r="Z43" s="10">
        <f t="shared" si="7"/>
        <v>230</v>
      </c>
      <c r="AA43" s="11">
        <f t="shared" si="8"/>
        <v>7.3131955484896665</v>
      </c>
      <c r="AB43" s="13">
        <v>8</v>
      </c>
      <c r="AC43" s="14">
        <f t="shared" si="9"/>
        <v>0.68680445151033354</v>
      </c>
      <c r="AD43" s="13">
        <f ca="1">IFERROR(__xludf.DUMMYFUNCTION("IFERROR(
  AVERAGE(
    FILTER(
      $AA$2:$AA43,
      $A$2:$A43 &gt;= A43 - 30,
      $A$2:$A43 &lt;= A43,
      $AA$2:$AA43 &gt; 0
    )
  ),
"""")"),8.20817391369903)</f>
        <v>8.2081739136990297</v>
      </c>
      <c r="AE43" s="14"/>
    </row>
    <row r="44" spans="1:31" x14ac:dyDescent="0.25">
      <c r="A44" s="9">
        <v>45943</v>
      </c>
      <c r="B44" s="10"/>
      <c r="C44" s="10">
        <v>1470</v>
      </c>
      <c r="D44" s="10">
        <v>58</v>
      </c>
      <c r="E44" s="11">
        <f t="shared" si="0"/>
        <v>3.9455782312925165</v>
      </c>
      <c r="F44" s="13">
        <v>6</v>
      </c>
      <c r="G44" s="14">
        <f t="shared" si="1"/>
        <v>2.0544217687074835</v>
      </c>
      <c r="H44" s="13">
        <f ca="1">IFERROR(__xludf.DUMMYFUNCTION("IFERROR(
  AVERAGE(
    FILTER(
      $E$2:$E44,
      $A$2:$A44&gt;=A44-30,
      $A$2:$A44&lt;=A44,
      $E$2:$E44&gt;0
    )
  ),
  """"
)"),7.03633717329438)</f>
        <v>7.0363371732943802</v>
      </c>
      <c r="I44" s="14"/>
      <c r="J44" s="10"/>
      <c r="K44" s="10">
        <v>2020</v>
      </c>
      <c r="L44" s="10">
        <v>10</v>
      </c>
      <c r="M44" s="11">
        <f t="shared" si="2"/>
        <v>0.49504950495049505</v>
      </c>
      <c r="N44" s="13">
        <v>8</v>
      </c>
      <c r="O44" s="14">
        <f t="shared" si="3"/>
        <v>7.5049504950495045</v>
      </c>
      <c r="P44" s="13" t="str">
        <f ca="1">IFERROR(__xludf.DUMMYFUNCTION("IFERROR(
  AVERAGE(
    FILTER(
      $AA$2:$AA44,
      $A$2:$A44 &gt;= #REF! - 30,
      $A$2:$A44 &lt;= #REF!,
      $AA$2:$AA44 &gt; 0
    )
  ),
"""")"),"")</f>
        <v/>
      </c>
      <c r="Q44" s="10"/>
      <c r="R44" s="10">
        <v>6471</v>
      </c>
      <c r="S44" s="10">
        <v>647</v>
      </c>
      <c r="T44" s="11">
        <f t="shared" si="4"/>
        <v>9.9984546437953945</v>
      </c>
      <c r="U44" s="13">
        <v>8</v>
      </c>
      <c r="V44" s="14">
        <f t="shared" si="5"/>
        <v>-1.9984546437953945</v>
      </c>
      <c r="W44" s="13" t="str">
        <f ca="1">IFERROR(__xludf.DUMMYFUNCTION("IFERROR(
  AVERAGE(
    FILTER(
      $AA$2:$AA44,
      $A$2:$A44 &gt;= #REF! - 30,
      $A$2:$A44 &lt;= #REF!,
      $AA$2:$AA44 &gt; 0
    )
  ),
"""")"),"")</f>
        <v/>
      </c>
      <c r="X44" s="10"/>
      <c r="Y44" s="10">
        <f t="shared" si="6"/>
        <v>8491</v>
      </c>
      <c r="Z44" s="10">
        <f t="shared" si="7"/>
        <v>715</v>
      </c>
      <c r="AA44" s="11">
        <f t="shared" si="8"/>
        <v>8.420680720763162</v>
      </c>
      <c r="AB44" s="13">
        <v>8</v>
      </c>
      <c r="AC44" s="14">
        <f t="shared" si="9"/>
        <v>-0.42068072076316199</v>
      </c>
      <c r="AD44" s="13">
        <f ca="1">IFERROR(__xludf.DUMMYFUNCTION("IFERROR(
  AVERAGE(
    FILTER(
      $AA$2:$AA44,
      $A$2:$A44 &gt;= A44 - 30,
      $A$2:$A44 &lt;= A44,
      $AA$2:$AA44 &gt; 0
    )
  ),
"""")"),8.22481916436729)</f>
        <v>8.2248191643672897</v>
      </c>
      <c r="AE44" s="14"/>
    </row>
    <row r="45" spans="1:31" x14ac:dyDescent="0.25">
      <c r="A45" s="9">
        <v>45944</v>
      </c>
      <c r="B45" s="10"/>
      <c r="C45" s="10">
        <v>2650</v>
      </c>
      <c r="D45" s="10">
        <v>208</v>
      </c>
      <c r="E45" s="11">
        <f t="shared" si="0"/>
        <v>7.8490566037735849</v>
      </c>
      <c r="F45" s="13">
        <v>6</v>
      </c>
      <c r="G45" s="14">
        <f t="shared" si="1"/>
        <v>-1.8490566037735849</v>
      </c>
      <c r="H45" s="13">
        <f ca="1">IFERROR(__xludf.DUMMYFUNCTION("IFERROR(
  AVERAGE(
    FILTER(
      $E$2:$E45,
      $A$2:$A45&gt;=A45-30,
      $A$2:$A45&lt;=A45,
      $E$2:$E45&gt;0
    )
  ),
  """"
)"),7.13858370778643)</f>
        <v>7.13858370778643</v>
      </c>
      <c r="I45" s="14"/>
      <c r="J45" s="10"/>
      <c r="K45" s="10">
        <v>0</v>
      </c>
      <c r="L45" s="10">
        <v>0</v>
      </c>
      <c r="M45" s="11" t="e">
        <f t="shared" si="2"/>
        <v>#DIV/0!</v>
      </c>
      <c r="N45" s="13">
        <v>8</v>
      </c>
      <c r="O45" s="14" t="e">
        <f t="shared" si="3"/>
        <v>#DIV/0!</v>
      </c>
      <c r="P45" s="13" t="str">
        <f ca="1">IFERROR(__xludf.DUMMYFUNCTION("IFERROR(
  AVERAGE(
    FILTER(
      $AA$2:$AA45,
      $A$2:$A45 &gt;= #REF! - 30,
      $A$2:$A45 &lt;= #REF!,
      $AA$2:$AA45 &gt; 0
    )
  ),
"""")"),"")</f>
        <v/>
      </c>
      <c r="Q45" s="10"/>
      <c r="R45" s="10">
        <v>9554</v>
      </c>
      <c r="S45" s="10">
        <v>810</v>
      </c>
      <c r="T45" s="11">
        <f t="shared" si="4"/>
        <v>8.4781243458237388</v>
      </c>
      <c r="U45" s="13">
        <v>8</v>
      </c>
      <c r="V45" s="14">
        <f t="shared" si="5"/>
        <v>-0.47812434582373875</v>
      </c>
      <c r="W45" s="13" t="str">
        <f ca="1">IFERROR(__xludf.DUMMYFUNCTION("IFERROR(
  AVERAGE(
    FILTER(
      $AA$2:$AA45,
      $A$2:$A45 &gt;= #REF! - 30,
      $A$2:$A45 &lt;= #REF!,
      $AA$2:$AA45 &gt; 0
    )
  ),
"""")"),"")</f>
        <v/>
      </c>
      <c r="X45" s="10"/>
      <c r="Y45" s="10">
        <f t="shared" si="6"/>
        <v>9554</v>
      </c>
      <c r="Z45" s="10">
        <f t="shared" si="7"/>
        <v>1018</v>
      </c>
      <c r="AA45" s="11">
        <f t="shared" si="8"/>
        <v>10.655222943269834</v>
      </c>
      <c r="AB45" s="13">
        <v>8</v>
      </c>
      <c r="AC45" s="14">
        <f t="shared" si="9"/>
        <v>-2.655222943269834</v>
      </c>
      <c r="AD45" s="13">
        <f ca="1">IFERROR(__xludf.DUMMYFUNCTION("IFERROR(
  AVERAGE(
    FILTER(
      $AA$2:$AA45,
      $A$2:$A45 &gt;= A45 - 30,
      $A$2:$A45 &lt;= A45,
      $AA$2:$AA45 &gt; 0
    )
  ),
"""")"),8.24684283525986)</f>
        <v>8.2468428352598604</v>
      </c>
      <c r="AE45" s="14"/>
    </row>
    <row r="46" spans="1:31" x14ac:dyDescent="0.25">
      <c r="A46" s="9">
        <v>45945</v>
      </c>
      <c r="B46" s="10"/>
      <c r="C46" s="10">
        <v>2166</v>
      </c>
      <c r="D46" s="10">
        <v>128</v>
      </c>
      <c r="E46" s="11">
        <f t="shared" si="0"/>
        <v>5.9095106186518924</v>
      </c>
      <c r="F46" s="13">
        <v>6</v>
      </c>
      <c r="G46" s="14">
        <f t="shared" si="1"/>
        <v>9.0489381348107578E-2</v>
      </c>
      <c r="H46" s="13">
        <f ca="1">IFERROR(__xludf.DUMMYFUNCTION("IFERROR(
  AVERAGE(
    FILTER(
      $E$2:$E46,
      $A$2:$A46&gt;=A46-30,
      $A$2:$A46&lt;=A46,
      $E$2:$E46&gt;0
    )
  ),
  """"
)"),7.09468824031734)</f>
        <v>7.0946882403173399</v>
      </c>
      <c r="I46" s="14"/>
      <c r="J46" s="10"/>
      <c r="K46" s="10">
        <v>4100</v>
      </c>
      <c r="L46" s="10">
        <v>423</v>
      </c>
      <c r="M46" s="11">
        <f t="shared" si="2"/>
        <v>10.317073170731707</v>
      </c>
      <c r="N46" s="13">
        <v>8</v>
      </c>
      <c r="O46" s="14">
        <f t="shared" si="3"/>
        <v>-2.3170731707317067</v>
      </c>
      <c r="P46" s="13" t="str">
        <f ca="1">IFERROR(__xludf.DUMMYFUNCTION("IFERROR(
  AVERAGE(
    FILTER(
      $AA$2:$AA46,
      $A$2:$A46 &gt;= #REF! - 30,
      $A$2:$A46 &lt;= #REF!,
      $AA$2:$AA46 &gt; 0
    )
  ),
"""")"),"")</f>
        <v/>
      </c>
      <c r="Q46" s="10"/>
      <c r="R46" s="10">
        <v>5767</v>
      </c>
      <c r="S46" s="10">
        <v>514</v>
      </c>
      <c r="T46" s="11">
        <f t="shared" si="4"/>
        <v>8.9127796081151374</v>
      </c>
      <c r="U46" s="13">
        <v>8</v>
      </c>
      <c r="V46" s="14">
        <f t="shared" si="5"/>
        <v>-0.91277960811513736</v>
      </c>
      <c r="W46" s="13" t="str">
        <f ca="1">IFERROR(__xludf.DUMMYFUNCTION("IFERROR(
  AVERAGE(
    FILTER(
      $AA$2:$AA46,
      $A$2:$A46 &gt;= #REF! - 30,
      $A$2:$A46 &lt;= #REF!,
      $AA$2:$AA46 &gt; 0
    )
  ),
"""")"),"")</f>
        <v/>
      </c>
      <c r="X46" s="10"/>
      <c r="Y46" s="10">
        <f t="shared" si="6"/>
        <v>9867</v>
      </c>
      <c r="Z46" s="10">
        <f t="shared" si="7"/>
        <v>1065</v>
      </c>
      <c r="AA46" s="11">
        <f t="shared" si="8"/>
        <v>10.793554271815141</v>
      </c>
      <c r="AB46" s="13">
        <v>8</v>
      </c>
      <c r="AC46" s="14">
        <f t="shared" si="9"/>
        <v>-2.7935542718151414</v>
      </c>
      <c r="AD46" s="13">
        <f ca="1">IFERROR(__xludf.DUMMYFUNCTION("IFERROR(
  AVERAGE(
    FILTER(
      $AA$2:$AA46,
      $A$2:$A46 &gt;= A46 - 30,
      $A$2:$A46 &lt;= A46,
      $AA$2:$AA46 &gt; 0
    )
  ),
"""")"),8.4193620600507)</f>
        <v>8.4193620600507</v>
      </c>
      <c r="AE46" s="14"/>
    </row>
    <row r="47" spans="1:31" x14ac:dyDescent="0.25">
      <c r="A47" s="9">
        <v>45946</v>
      </c>
      <c r="B47" s="10"/>
      <c r="C47" s="10">
        <v>1351</v>
      </c>
      <c r="D47" s="10">
        <v>191</v>
      </c>
      <c r="E47" s="11">
        <f t="shared" si="0"/>
        <v>14.137675795706883</v>
      </c>
      <c r="F47" s="13">
        <v>6</v>
      </c>
      <c r="G47" s="14">
        <f t="shared" si="1"/>
        <v>-8.1376757957068833</v>
      </c>
      <c r="H47" s="13">
        <f ca="1">IFERROR(__xludf.DUMMYFUNCTION("IFERROR(
  AVERAGE(
    FILTER(
      $E$2:$E47,
      $A$2:$A47&gt;=A47-30,
      $A$2:$A47&lt;=A47,
      $E$2:$E47&gt;0
    )
  ),
  """"
)"),7.40330600604447)</f>
        <v>7.4033060060444704</v>
      </c>
      <c r="I47" s="14"/>
      <c r="J47" s="10"/>
      <c r="K47" s="10">
        <v>3940</v>
      </c>
      <c r="L47" s="10">
        <v>306</v>
      </c>
      <c r="M47" s="11">
        <f t="shared" si="2"/>
        <v>7.7664974619289335</v>
      </c>
      <c r="N47" s="13">
        <v>8</v>
      </c>
      <c r="O47" s="14">
        <f t="shared" si="3"/>
        <v>0.23350253807106647</v>
      </c>
      <c r="P47" s="13" t="str">
        <f ca="1">IFERROR(__xludf.DUMMYFUNCTION("IFERROR(
  AVERAGE(
    FILTER(
      $AA$2:$AA47,
      $A$2:$A47 &gt;= #REF! - 30,
      $A$2:$A47 &lt;= #REF!,
      $AA$2:$AA47 &gt; 0
    )
  ),
"""")"),"")</f>
        <v/>
      </c>
      <c r="Q47" s="10"/>
      <c r="R47" s="10">
        <v>10714</v>
      </c>
      <c r="S47" s="10">
        <v>661</v>
      </c>
      <c r="T47" s="11">
        <f t="shared" si="4"/>
        <v>6.1694978532760878</v>
      </c>
      <c r="U47" s="13">
        <v>8</v>
      </c>
      <c r="V47" s="14">
        <f t="shared" si="5"/>
        <v>1.8305021467239122</v>
      </c>
      <c r="W47" s="13" t="str">
        <f ca="1">IFERROR(__xludf.DUMMYFUNCTION("IFERROR(
  AVERAGE(
    FILTER(
      $AA$2:$AA47,
      $A$2:$A47 &gt;= #REF! - 30,
      $A$2:$A47 &lt;= #REF!,
      $AA$2:$AA47 &gt; 0
    )
  ),
"""")"),"")</f>
        <v/>
      </c>
      <c r="X47" s="10"/>
      <c r="Y47" s="10">
        <f t="shared" si="6"/>
        <v>14654</v>
      </c>
      <c r="Z47" s="10">
        <f t="shared" si="7"/>
        <v>1158</v>
      </c>
      <c r="AA47" s="11">
        <f t="shared" si="8"/>
        <v>7.9022792411628222</v>
      </c>
      <c r="AB47" s="13">
        <v>8</v>
      </c>
      <c r="AC47" s="14">
        <f t="shared" si="9"/>
        <v>9.772075883717779E-2</v>
      </c>
      <c r="AD47" s="13">
        <f ca="1">IFERROR(__xludf.DUMMYFUNCTION("IFERROR(
  AVERAGE(
    FILTER(
      $AA$2:$AA47,
      $A$2:$A47 &gt;= A47 - 30,
      $A$2:$A47 &lt;= A47,
      $AA$2:$AA47 &gt; 0
    )
  ),
"""")"),8.40907358203229)</f>
        <v>8.4090735820322902</v>
      </c>
      <c r="AE47" s="14"/>
    </row>
    <row r="48" spans="1:31" x14ac:dyDescent="0.25">
      <c r="A48" s="9">
        <v>45947</v>
      </c>
      <c r="B48" s="10"/>
      <c r="C48" s="10">
        <v>2600</v>
      </c>
      <c r="D48" s="10">
        <v>267</v>
      </c>
      <c r="E48" s="11">
        <f t="shared" si="0"/>
        <v>10.26923076923077</v>
      </c>
      <c r="F48" s="13">
        <v>6</v>
      </c>
      <c r="G48" s="14">
        <f t="shared" si="1"/>
        <v>-4.2692307692307701</v>
      </c>
      <c r="H48" s="13">
        <f ca="1">IFERROR(__xludf.DUMMYFUNCTION("IFERROR(
  AVERAGE(
    FILTER(
      $E$2:$E48,
      $A$2:$A48&gt;=A48-30,
      $A$2:$A48&lt;=A48,
      $E$2:$E48&gt;0
    )
  ),
  """"
)"),7.54078735185915)</f>
        <v>7.5407873518591497</v>
      </c>
      <c r="I48" s="14"/>
      <c r="J48" s="10"/>
      <c r="K48" s="10">
        <v>3880</v>
      </c>
      <c r="L48" s="10">
        <v>416</v>
      </c>
      <c r="M48" s="11">
        <f t="shared" si="2"/>
        <v>10.721649484536082</v>
      </c>
      <c r="N48" s="13">
        <v>8</v>
      </c>
      <c r="O48" s="14">
        <f t="shared" si="3"/>
        <v>-2.7216494845360817</v>
      </c>
      <c r="P48" s="13" t="str">
        <f ca="1">IFERROR(__xludf.DUMMYFUNCTION("IFERROR(
  AVERAGE(
    FILTER(
      $AA$2:$AA48,
      $A$2:$A48 &gt;= #REF! - 30,
      $A$2:$A48 &lt;= #REF!,
      $AA$2:$AA48 &gt; 0
    )
  ),
"""")"),"")</f>
        <v/>
      </c>
      <c r="Q48" s="10"/>
      <c r="R48" s="10">
        <v>9743</v>
      </c>
      <c r="S48" s="10">
        <v>660</v>
      </c>
      <c r="T48" s="11">
        <f t="shared" si="4"/>
        <v>6.7740942214923532</v>
      </c>
      <c r="U48" s="13">
        <v>8</v>
      </c>
      <c r="V48" s="14">
        <f t="shared" si="5"/>
        <v>1.2259057785076468</v>
      </c>
      <c r="W48" s="13" t="str">
        <f ca="1">IFERROR(__xludf.DUMMYFUNCTION("IFERROR(
  AVERAGE(
    FILTER(
      $AA$2:$AA48,
      $A$2:$A48 &gt;= #REF! - 30,
      $A$2:$A48 &lt;= #REF!,
      $AA$2:$AA48 &gt; 0
    )
  ),
"""")"),"")</f>
        <v/>
      </c>
      <c r="X48" s="10"/>
      <c r="Y48" s="10">
        <f t="shared" si="6"/>
        <v>13623</v>
      </c>
      <c r="Z48" s="10">
        <f t="shared" si="7"/>
        <v>1343</v>
      </c>
      <c r="AA48" s="11">
        <f t="shared" si="8"/>
        <v>9.8583278279380462</v>
      </c>
      <c r="AB48" s="13">
        <v>8</v>
      </c>
      <c r="AC48" s="14">
        <f t="shared" si="9"/>
        <v>-1.8583278279380462</v>
      </c>
      <c r="AD48" s="13">
        <f ca="1">IFERROR(__xludf.DUMMYFUNCTION("IFERROR(
  AVERAGE(
    FILTER(
      $AA$2:$AA48,
      $A$2:$A48 &gt;= A48 - 30,
      $A$2:$A48 &lt;= A48,
      $AA$2:$AA48 &gt; 0
    )
  ),
"""")"),8.48912051406058)</f>
        <v>8.4891205140605805</v>
      </c>
      <c r="AE48" s="14"/>
    </row>
    <row r="49" spans="1:31" x14ac:dyDescent="0.25">
      <c r="A49" s="9">
        <v>45948</v>
      </c>
      <c r="B49" s="10"/>
      <c r="C49" s="10">
        <v>900</v>
      </c>
      <c r="D49" s="10">
        <v>90</v>
      </c>
      <c r="E49" s="11">
        <f t="shared" si="0"/>
        <v>10</v>
      </c>
      <c r="F49" s="13">
        <v>6</v>
      </c>
      <c r="G49" s="14">
        <f t="shared" si="1"/>
        <v>-4</v>
      </c>
      <c r="H49" s="13">
        <f ca="1">IFERROR(__xludf.DUMMYFUNCTION("IFERROR(
  AVERAGE(
    FILTER(
      $E$2:$E49,
      $A$2:$A49&gt;=A49-30,
      $A$2:$A49&lt;=A49,
      $E$2:$E49&gt;0
    )
  ),
  """"
)"),7.76551885104997)</f>
        <v>7.7655188510499702</v>
      </c>
      <c r="I49" s="14"/>
      <c r="J49" s="10"/>
      <c r="K49" s="10">
        <v>1988</v>
      </c>
      <c r="L49" s="10">
        <v>176</v>
      </c>
      <c r="M49" s="11">
        <f t="shared" si="2"/>
        <v>8.8531187122736412</v>
      </c>
      <c r="N49" s="13">
        <v>8</v>
      </c>
      <c r="O49" s="14">
        <f t="shared" si="3"/>
        <v>-0.85311871227364122</v>
      </c>
      <c r="P49" s="13" t="str">
        <f ca="1">IFERROR(__xludf.DUMMYFUNCTION("IFERROR(
  AVERAGE(
    FILTER(
      $AA$2:$AA49,
      $A$2:$A49 &gt;= #REF! - 30,
      $A$2:$A49 &lt;= #REF!,
      $AA$2:$AA49 &gt; 0
    )
  ),
"""")"),"")</f>
        <v/>
      </c>
      <c r="Q49" s="10"/>
      <c r="R49" s="10">
        <v>6356</v>
      </c>
      <c r="S49" s="10">
        <v>468</v>
      </c>
      <c r="T49" s="11">
        <f t="shared" si="4"/>
        <v>7.3631214600377595</v>
      </c>
      <c r="U49" s="13">
        <v>8</v>
      </c>
      <c r="V49" s="14">
        <f t="shared" si="5"/>
        <v>0.63687853996224053</v>
      </c>
      <c r="W49" s="13" t="str">
        <f ca="1">IFERROR(__xludf.DUMMYFUNCTION("IFERROR(
  AVERAGE(
    FILTER(
      $AA$2:$AA49,
      $A$2:$A49 &gt;= #REF! - 30,
      $A$2:$A49 &lt;= #REF!,
      $AA$2:$AA49 &gt; 0
    )
  ),
"""")"),"")</f>
        <v/>
      </c>
      <c r="X49" s="10"/>
      <c r="Y49" s="10">
        <f t="shared" si="6"/>
        <v>8344</v>
      </c>
      <c r="Z49" s="10">
        <f t="shared" si="7"/>
        <v>734</v>
      </c>
      <c r="AA49" s="11">
        <f t="shared" si="8"/>
        <v>8.7967401725790992</v>
      </c>
      <c r="AB49" s="13">
        <v>8</v>
      </c>
      <c r="AC49" s="14">
        <f t="shared" si="9"/>
        <v>-0.79674017257909924</v>
      </c>
      <c r="AD49" s="13">
        <f ca="1">IFERROR(__xludf.DUMMYFUNCTION("IFERROR(
  AVERAGE(
    FILTER(
      $AA$2:$AA49,
      $A$2:$A49 &gt;= A49 - 30,
      $A$2:$A49 &lt;= A49,
      $AA$2:$AA49 &gt; 0
    )
  ),
"""")"),8.55933213784406)</f>
        <v>8.5593321378440592</v>
      </c>
      <c r="AE49" s="14"/>
    </row>
    <row r="50" spans="1:31" x14ac:dyDescent="0.25">
      <c r="A50" s="9">
        <v>45949</v>
      </c>
      <c r="B50" s="10"/>
      <c r="C50" s="10">
        <v>0</v>
      </c>
      <c r="D50" s="10">
        <v>0</v>
      </c>
      <c r="E50" s="11" t="e">
        <f t="shared" si="0"/>
        <v>#DIV/0!</v>
      </c>
      <c r="F50" s="13">
        <v>6</v>
      </c>
      <c r="G50" s="14" t="e">
        <f t="shared" si="1"/>
        <v>#DIV/0!</v>
      </c>
      <c r="H50" s="13">
        <f ca="1">IFERROR(__xludf.DUMMYFUNCTION("IFERROR(
  AVERAGE(
    FILTER(
      $E$2:$E50,
      $A$2:$A50&gt;=A50-30,
      $A$2:$A50&lt;=A50,
      $E$2:$E50&gt;0
    )
  ),
  """"
)"),7.61677910292032)</f>
        <v>7.6167791029203196</v>
      </c>
      <c r="I50" s="14"/>
      <c r="J50" s="10"/>
      <c r="K50" s="10">
        <v>440</v>
      </c>
      <c r="L50" s="10">
        <v>41</v>
      </c>
      <c r="M50" s="11">
        <f t="shared" si="2"/>
        <v>9.3181818181818183</v>
      </c>
      <c r="N50" s="13">
        <v>8</v>
      </c>
      <c r="O50" s="14">
        <f t="shared" si="3"/>
        <v>-1.3181818181818183</v>
      </c>
      <c r="P50" s="13" t="str">
        <f ca="1">IFERROR(__xludf.DUMMYFUNCTION("IFERROR(
  AVERAGE(
    FILTER(
      $AA$2:$AA50,
      $A$2:$A50 &gt;= #REF! - 30,
      $A$2:$A50 &lt;= #REF!,
      $AA$2:$AA50 &gt; 0
    )
  ),
"""")"),"")</f>
        <v/>
      </c>
      <c r="Q50" s="10"/>
      <c r="R50" s="10">
        <v>3165</v>
      </c>
      <c r="S50" s="10">
        <v>175</v>
      </c>
      <c r="T50" s="11">
        <f t="shared" si="4"/>
        <v>5.5292259083728279</v>
      </c>
      <c r="U50" s="13">
        <v>8</v>
      </c>
      <c r="V50" s="14">
        <f t="shared" si="5"/>
        <v>2.4707740916271721</v>
      </c>
      <c r="W50" s="13" t="str">
        <f ca="1">IFERROR(__xludf.DUMMYFUNCTION("IFERROR(
  AVERAGE(
    FILTER(
      $AA$2:$AA50,
      $A$2:$A50 &gt;= #REF! - 30,
      $A$2:$A50 &lt;= #REF!,
      $AA$2:$AA50 &gt; 0
    )
  ),
"""")"),"")</f>
        <v/>
      </c>
      <c r="X50" s="10"/>
      <c r="Y50" s="10">
        <f t="shared" si="6"/>
        <v>3605</v>
      </c>
      <c r="Z50" s="10">
        <f t="shared" si="7"/>
        <v>216</v>
      </c>
      <c r="AA50" s="11">
        <f t="shared" si="8"/>
        <v>5.9916782246879334</v>
      </c>
      <c r="AB50" s="13">
        <v>8</v>
      </c>
      <c r="AC50" s="14">
        <f t="shared" si="9"/>
        <v>2.0083217753120666</v>
      </c>
      <c r="AD50" s="13">
        <f ca="1">IFERROR(__xludf.DUMMYFUNCTION("IFERROR(
  AVERAGE(
    FILTER(
      $AA$2:$AA50,
      $A$2:$A50 &gt;= A50 - 30,
      $A$2:$A50 &lt;= A50,
      $AA$2:$AA50 &gt; 0
    )
  ),
"""")"),8.41812937647533)</f>
        <v>8.4181293764753296</v>
      </c>
      <c r="AE50" s="14"/>
    </row>
    <row r="51" spans="1:31" x14ac:dyDescent="0.25">
      <c r="A51" s="9">
        <v>45950</v>
      </c>
      <c r="B51" s="10"/>
      <c r="C51" s="10">
        <v>0</v>
      </c>
      <c r="D51" s="10">
        <v>0</v>
      </c>
      <c r="E51" s="11" t="e">
        <f t="shared" si="0"/>
        <v>#DIV/0!</v>
      </c>
      <c r="F51" s="13">
        <v>6</v>
      </c>
      <c r="G51" s="14" t="e">
        <f t="shared" si="1"/>
        <v>#DIV/0!</v>
      </c>
      <c r="H51" s="13">
        <f ca="1">IFERROR(__xludf.DUMMYFUNCTION("IFERROR(
  AVERAGE(
    FILTER(
      $E$2:$E51,
      $A$2:$A51&gt;=A51-30,
      $A$2:$A51&lt;=A51,
      $E$2:$E51&gt;0
    )
  ),
  """"
)"),7.57355216955804)</f>
        <v>7.5735521695580399</v>
      </c>
      <c r="I51" s="14"/>
      <c r="J51" s="10"/>
      <c r="K51" s="10">
        <v>0</v>
      </c>
      <c r="L51" s="10">
        <v>0</v>
      </c>
      <c r="M51" s="11" t="e">
        <f t="shared" si="2"/>
        <v>#DIV/0!</v>
      </c>
      <c r="N51" s="13">
        <v>8</v>
      </c>
      <c r="O51" s="14" t="e">
        <f t="shared" si="3"/>
        <v>#DIV/0!</v>
      </c>
      <c r="P51" s="13" t="str">
        <f ca="1">IFERROR(__xludf.DUMMYFUNCTION("IFERROR(
  AVERAGE(
    FILTER(
      $AA$2:$AA51,
      $A$2:$A51 &gt;= #REF! - 30,
      $A$2:$A51 &lt;= #REF!,
      $AA$2:$AA51 &gt; 0
    )
  ),
"""")"),"")</f>
        <v/>
      </c>
      <c r="Q51" s="10"/>
      <c r="R51" s="10">
        <v>0</v>
      </c>
      <c r="S51" s="10">
        <v>0</v>
      </c>
      <c r="T51" s="11" t="e">
        <f t="shared" si="4"/>
        <v>#DIV/0!</v>
      </c>
      <c r="U51" s="13">
        <v>8</v>
      </c>
      <c r="V51" s="14" t="e">
        <f t="shared" si="5"/>
        <v>#DIV/0!</v>
      </c>
      <c r="W51" s="13" t="str">
        <f ca="1">IFERROR(__xludf.DUMMYFUNCTION("IFERROR(
  AVERAGE(
    FILTER(
      $AA$2:$AA51,
      $A$2:$A51 &gt;= #REF! - 30,
      $A$2:$A51 &lt;= #REF!,
      $AA$2:$AA51 &gt; 0
    )
  ),
"""")"),"")</f>
        <v/>
      </c>
      <c r="X51" s="10"/>
      <c r="Y51" s="10">
        <f t="shared" si="6"/>
        <v>0</v>
      </c>
      <c r="Z51" s="10">
        <f t="shared" si="7"/>
        <v>0</v>
      </c>
      <c r="AA51" s="11" t="e">
        <f t="shared" si="8"/>
        <v>#DIV/0!</v>
      </c>
      <c r="AB51" s="13">
        <v>8</v>
      </c>
      <c r="AC51" s="14" t="e">
        <f t="shared" si="9"/>
        <v>#DIV/0!</v>
      </c>
      <c r="AD51" s="13">
        <f ca="1">IFERROR(__xludf.DUMMYFUNCTION("IFERROR(
  AVERAGE(
    FILTER(
      $AA$2:$AA51,
      $A$2:$A51 &gt;= A51 - 30,
      $A$2:$A51 &lt;= A51,
      $AA$2:$AA51 &gt; 0
    )
  ),
"""")"),8.41600120903925)</f>
        <v>8.4160012090392495</v>
      </c>
      <c r="AE51" s="14"/>
    </row>
    <row r="52" spans="1:31" x14ac:dyDescent="0.25">
      <c r="A52" s="9">
        <v>45951</v>
      </c>
      <c r="B52" s="10"/>
      <c r="C52" s="10">
        <v>0</v>
      </c>
      <c r="D52" s="10">
        <v>0</v>
      </c>
      <c r="E52" s="11" t="e">
        <f t="shared" si="0"/>
        <v>#DIV/0!</v>
      </c>
      <c r="F52" s="13">
        <v>6</v>
      </c>
      <c r="G52" s="14" t="e">
        <f t="shared" si="1"/>
        <v>#DIV/0!</v>
      </c>
      <c r="H52" s="13">
        <f ca="1">IFERROR(__xludf.DUMMYFUNCTION("IFERROR(
  AVERAGE(
    FILTER(
      $E$2:$E52,
      $A$2:$A52&gt;=A52-30,
      $A$2:$A52&lt;=A52,
      $E$2:$E52&gt;0
    )
  ),
  """"
)"),7.7144551120527)</f>
        <v>7.7144551120526996</v>
      </c>
      <c r="I52" s="14"/>
      <c r="J52" s="10"/>
      <c r="K52" s="10">
        <v>0</v>
      </c>
      <c r="L52" s="10">
        <v>0</v>
      </c>
      <c r="M52" s="11" t="e">
        <f t="shared" si="2"/>
        <v>#DIV/0!</v>
      </c>
      <c r="N52" s="13">
        <v>8</v>
      </c>
      <c r="O52" s="14" t="e">
        <f t="shared" si="3"/>
        <v>#DIV/0!</v>
      </c>
      <c r="P52" s="13" t="str">
        <f ca="1">IFERROR(__xludf.DUMMYFUNCTION("IFERROR(
  AVERAGE(
    FILTER(
      $AA$2:$AA52,
      $A$2:$A52 &gt;= #REF! - 30,
      $A$2:$A52 &lt;= #REF!,
      $AA$2:$AA52 &gt; 0
    )
  ),
"""")"),"")</f>
        <v/>
      </c>
      <c r="Q52" s="10"/>
      <c r="R52" s="10">
        <v>3003</v>
      </c>
      <c r="S52" s="10">
        <v>270</v>
      </c>
      <c r="T52" s="11">
        <f t="shared" si="4"/>
        <v>8.9910089910089912</v>
      </c>
      <c r="U52" s="13">
        <v>8</v>
      </c>
      <c r="V52" s="14">
        <f t="shared" si="5"/>
        <v>-0.9910089910089912</v>
      </c>
      <c r="W52" s="13" t="str">
        <f ca="1">IFERROR(__xludf.DUMMYFUNCTION("IFERROR(
  AVERAGE(
    FILTER(
      $AA$2:$AA52,
      $A$2:$A52 &gt;= #REF! - 30,
      $A$2:$A52 &lt;= #REF!,
      $AA$2:$AA52 &gt; 0
    )
  ),
"""")"),"")</f>
        <v/>
      </c>
      <c r="X52" s="10"/>
      <c r="Y52" s="10">
        <f t="shared" si="6"/>
        <v>3003</v>
      </c>
      <c r="Z52" s="10">
        <f t="shared" si="7"/>
        <v>270</v>
      </c>
      <c r="AA52" s="11">
        <f t="shared" si="8"/>
        <v>8.9910089910089912</v>
      </c>
      <c r="AB52" s="13">
        <v>8</v>
      </c>
      <c r="AC52" s="14">
        <f t="shared" si="9"/>
        <v>-0.9910089910089912</v>
      </c>
      <c r="AD52" s="13">
        <f ca="1">IFERROR(__xludf.DUMMYFUNCTION("IFERROR(
  AVERAGE(
    FILTER(
      $AA$2:$AA52,
      $A$2:$A52 &gt;= A52 - 30,
      $A$2:$A52 &lt;= A52,
      $AA$2:$AA52 &gt; 0
    )
  ),
"""")"),8.48210106729782)</f>
        <v>8.4821010672978208</v>
      </c>
      <c r="AE52" s="14"/>
    </row>
    <row r="53" spans="1:31" x14ac:dyDescent="0.25">
      <c r="A53" s="9">
        <v>45952</v>
      </c>
      <c r="B53" s="10"/>
      <c r="C53" s="10">
        <v>1647</v>
      </c>
      <c r="D53" s="10">
        <v>133</v>
      </c>
      <c r="E53" s="11">
        <f t="shared" si="0"/>
        <v>8.0752884031572556</v>
      </c>
      <c r="F53" s="13">
        <v>6</v>
      </c>
      <c r="G53" s="14">
        <f t="shared" si="1"/>
        <v>-2.0752884031572556</v>
      </c>
      <c r="H53" s="13">
        <f ca="1">IFERROR(__xludf.DUMMYFUNCTION("IFERROR(
  AVERAGE(
    FILTER(
      $E$2:$E53,
      $A$2:$A53&gt;=A53-30,
      $A$2:$A53&lt;=A53,
      $E$2:$E53&gt;0
    )
  ),
  """"
)"),7.79916877583856)</f>
        <v>7.7991687758385604</v>
      </c>
      <c r="I53" s="14"/>
      <c r="J53" s="10"/>
      <c r="K53" s="10">
        <v>1552</v>
      </c>
      <c r="L53" s="10">
        <v>90</v>
      </c>
      <c r="M53" s="11">
        <f t="shared" si="2"/>
        <v>5.7989690721649483</v>
      </c>
      <c r="N53" s="13">
        <v>8</v>
      </c>
      <c r="O53" s="14">
        <f t="shared" si="3"/>
        <v>2.2010309278350517</v>
      </c>
      <c r="P53" s="13" t="str">
        <f ca="1">IFERROR(__xludf.DUMMYFUNCTION("IFERROR(
  AVERAGE(
    FILTER(
      $AA$2:$AA53,
      $A$2:$A53 &gt;= #REF! - 30,
      $A$2:$A53 &lt;= #REF!,
      $AA$2:$AA53 &gt; 0
    )
  ),
"""")"),"")</f>
        <v/>
      </c>
      <c r="Q53" s="10"/>
      <c r="R53" s="10">
        <v>7491</v>
      </c>
      <c r="S53" s="10">
        <v>660</v>
      </c>
      <c r="T53" s="11">
        <f t="shared" si="4"/>
        <v>8.8105726872246706</v>
      </c>
      <c r="U53" s="13">
        <v>8</v>
      </c>
      <c r="V53" s="14">
        <f t="shared" si="5"/>
        <v>-0.81057268722467057</v>
      </c>
      <c r="W53" s="13" t="str">
        <f ca="1">IFERROR(__xludf.DUMMYFUNCTION("IFERROR(
  AVERAGE(
    FILTER(
      $AA$2:$AA53,
      $A$2:$A53 &gt;= #REF! - 30,
      $A$2:$A53 &lt;= #REF!,
      $AA$2:$AA53 &gt; 0
    )
  ),
"""")"),"")</f>
        <v/>
      </c>
      <c r="X53" s="10"/>
      <c r="Y53" s="10">
        <f t="shared" si="6"/>
        <v>9043</v>
      </c>
      <c r="Z53" s="10">
        <f t="shared" si="7"/>
        <v>883</v>
      </c>
      <c r="AA53" s="11">
        <f t="shared" si="8"/>
        <v>9.7644586973349554</v>
      </c>
      <c r="AB53" s="13">
        <v>8</v>
      </c>
      <c r="AC53" s="14">
        <f t="shared" si="9"/>
        <v>-1.7644586973349554</v>
      </c>
      <c r="AD53" s="13">
        <f ca="1">IFERROR(__xludf.DUMMYFUNCTION("IFERROR(
  AVERAGE(
    FILTER(
      $AA$2:$AA53,
      $A$2:$A53 &gt;= A53 - 30,
      $A$2:$A53 &lt;= A53,
      $AA$2:$AA53 &gt; 0
    )
  ),
"""")"),8.51596902848599)</f>
        <v>8.5159690284859906</v>
      </c>
      <c r="AE53" s="14"/>
    </row>
    <row r="54" spans="1:31" x14ac:dyDescent="0.25">
      <c r="A54" s="9">
        <v>45953</v>
      </c>
      <c r="B54" s="10"/>
      <c r="C54" s="10">
        <v>1215</v>
      </c>
      <c r="D54" s="10">
        <v>93</v>
      </c>
      <c r="E54" s="11">
        <f t="shared" si="0"/>
        <v>7.6543209876543212</v>
      </c>
      <c r="F54" s="13">
        <v>6</v>
      </c>
      <c r="G54" s="14">
        <f t="shared" si="1"/>
        <v>-1.6543209876543212</v>
      </c>
      <c r="H54" s="13">
        <f ca="1">IFERROR(__xludf.DUMMYFUNCTION("IFERROR(
  AVERAGE(
    FILTER(
      $E$2:$E54,
      $A$2:$A54&gt;=A54-30,
      $A$2:$A54&lt;=A54,
      $E$2:$E54&gt;0
    )
  ),
  """"
)"),7.7653197255235)</f>
        <v>7.7653197255234998</v>
      </c>
      <c r="I54" s="14"/>
      <c r="J54" s="10"/>
      <c r="K54" s="10">
        <v>1750</v>
      </c>
      <c r="L54" s="10">
        <v>179</v>
      </c>
      <c r="M54" s="11">
        <f t="shared" si="2"/>
        <v>10.228571428571428</v>
      </c>
      <c r="N54" s="13">
        <v>8</v>
      </c>
      <c r="O54" s="14">
        <f t="shared" si="3"/>
        <v>-2.2285714285714278</v>
      </c>
      <c r="P54" s="13" t="str">
        <f ca="1">IFERROR(__xludf.DUMMYFUNCTION("IFERROR(
  AVERAGE(
    FILTER(
      $AA$2:$AA54,
      $A$2:$A54 &gt;= #REF! - 30,
      $A$2:$A54 &lt;= #REF!,
      $AA$2:$AA54 &gt; 0
    )
  ),
"""")"),"")</f>
        <v/>
      </c>
      <c r="Q54" s="10"/>
      <c r="R54" s="10">
        <v>9484</v>
      </c>
      <c r="S54" s="10">
        <v>618</v>
      </c>
      <c r="T54" s="11">
        <f t="shared" si="4"/>
        <v>6.5162378743146361</v>
      </c>
      <c r="U54" s="13">
        <v>8</v>
      </c>
      <c r="V54" s="14">
        <f t="shared" si="5"/>
        <v>1.4837621256853639</v>
      </c>
      <c r="W54" s="13" t="str">
        <f ca="1">IFERROR(__xludf.DUMMYFUNCTION("IFERROR(
  AVERAGE(
    FILTER(
      $AA$2:$AA54,
      $A$2:$A54 &gt;= #REF! - 30,
      $A$2:$A54 &lt;= #REF!,
      $AA$2:$AA54 &gt; 0
    )
  ),
"""")"),"")</f>
        <v/>
      </c>
      <c r="X54" s="10"/>
      <c r="Y54" s="10">
        <f t="shared" si="6"/>
        <v>11234</v>
      </c>
      <c r="Z54" s="10">
        <f t="shared" si="7"/>
        <v>890</v>
      </c>
      <c r="AA54" s="11">
        <f t="shared" si="8"/>
        <v>7.9223784938579316</v>
      </c>
      <c r="AB54" s="13">
        <v>8</v>
      </c>
      <c r="AC54" s="14">
        <f t="shared" si="9"/>
        <v>7.7621506142068419E-2</v>
      </c>
      <c r="AD54" s="13">
        <f ca="1">IFERROR(__xludf.DUMMYFUNCTION("IFERROR(
  AVERAGE(
    FILTER(
      $AA$2:$AA54,
      $A$2:$A54 &gt;= A54 - 30,
      $A$2:$A54 &lt;= A54,
      $AA$2:$AA54 &gt; 0
    )
  ),
"""")"),8.51274365146931)</f>
        <v>8.5127436514693091</v>
      </c>
      <c r="AE54" s="14"/>
    </row>
    <row r="55" spans="1:31" x14ac:dyDescent="0.25">
      <c r="A55" s="9">
        <v>45954</v>
      </c>
      <c r="B55" s="10"/>
      <c r="C55" s="10">
        <v>2269</v>
      </c>
      <c r="D55" s="10">
        <v>91</v>
      </c>
      <c r="E55" s="11">
        <f t="shared" si="0"/>
        <v>4.0105773468488319</v>
      </c>
      <c r="F55" s="13">
        <v>6</v>
      </c>
      <c r="G55" s="14">
        <f t="shared" si="1"/>
        <v>1.9894226531511681</v>
      </c>
      <c r="H55" s="13">
        <f ca="1">IFERROR(__xludf.DUMMYFUNCTION("IFERROR(
  AVERAGE(
    FILTER(
      $E$2:$E55,
      $A$2:$A55&gt;=A55-30,
      $A$2:$A55&lt;=A55,
      $E$2:$E55&gt;0
    )
  ),
  """"
)"),7.62152595192757)</f>
        <v>7.6215259519275698</v>
      </c>
      <c r="I55" s="14"/>
      <c r="J55" s="10"/>
      <c r="K55" s="10">
        <v>5908</v>
      </c>
      <c r="L55" s="10">
        <v>388</v>
      </c>
      <c r="M55" s="11">
        <f t="shared" si="2"/>
        <v>6.567366283006093</v>
      </c>
      <c r="N55" s="13">
        <v>8</v>
      </c>
      <c r="O55" s="14">
        <f t="shared" si="3"/>
        <v>1.432633716993907</v>
      </c>
      <c r="P55" s="13" t="str">
        <f ca="1">IFERROR(__xludf.DUMMYFUNCTION("IFERROR(
  AVERAGE(
    FILTER(
      $AA$2:$AA55,
      $A$2:$A55 &gt;= #REF! - 30,
      $A$2:$A55 &lt;= #REF!,
      $AA$2:$AA55 &gt; 0
    )
  ),
"""")"),"")</f>
        <v/>
      </c>
      <c r="Q55" s="10"/>
      <c r="R55" s="10">
        <v>6091</v>
      </c>
      <c r="S55" s="10">
        <v>395</v>
      </c>
      <c r="T55" s="11">
        <f t="shared" si="4"/>
        <v>6.4849778361516996</v>
      </c>
      <c r="U55" s="13">
        <v>8</v>
      </c>
      <c r="V55" s="14">
        <f t="shared" si="5"/>
        <v>1.5150221638483004</v>
      </c>
      <c r="W55" s="13" t="str">
        <f ca="1">IFERROR(__xludf.DUMMYFUNCTION("IFERROR(
  AVERAGE(
    FILTER(
      $AA$2:$AA55,
      $A$2:$A55 &gt;= #REF! - 30,
      $A$2:$A55 &lt;= #REF!,
      $AA$2:$AA55 &gt; 0
    )
  ),
"""")"),"")</f>
        <v/>
      </c>
      <c r="X55" s="10"/>
      <c r="Y55" s="10">
        <f t="shared" si="6"/>
        <v>11999</v>
      </c>
      <c r="Z55" s="10">
        <f t="shared" si="7"/>
        <v>874</v>
      </c>
      <c r="AA55" s="11">
        <f t="shared" si="8"/>
        <v>7.2839403283606972</v>
      </c>
      <c r="AB55" s="13">
        <v>8</v>
      </c>
      <c r="AC55" s="14">
        <f t="shared" si="9"/>
        <v>0.71605967163930284</v>
      </c>
      <c r="AD55" s="13">
        <f ca="1">IFERROR(__xludf.DUMMYFUNCTION("IFERROR(
  AVERAGE(
    FILTER(
      $AA$2:$AA55,
      $A$2:$A55 &gt;= A55 - 30,
      $A$2:$A55 &lt;= A55,
      $AA$2:$AA55 &gt; 0
    )
  ),
"""")"),8.49659240714576)</f>
        <v>8.4965924071457604</v>
      </c>
      <c r="AE55" s="14"/>
    </row>
    <row r="56" spans="1:31" x14ac:dyDescent="0.25">
      <c r="A56" s="9">
        <v>45955</v>
      </c>
      <c r="B56" s="10"/>
      <c r="C56" s="10">
        <v>1234</v>
      </c>
      <c r="D56" s="10">
        <v>74</v>
      </c>
      <c r="E56" s="11">
        <f t="shared" si="0"/>
        <v>5.9967585089141</v>
      </c>
      <c r="F56" s="13">
        <v>6</v>
      </c>
      <c r="G56" s="14">
        <f t="shared" si="1"/>
        <v>3.2414910858999946E-3</v>
      </c>
      <c r="H56" s="13">
        <f ca="1">IFERROR(__xludf.DUMMYFUNCTION("IFERROR(
  AVERAGE(
    FILTER(
      $E$2:$E56,
      $A$2:$A56&gt;=A56-30,
      $A$2:$A56&lt;=A56,
      $E$2:$E56&gt;0
    )
  ),
  """"
)"),7.52187374586504)</f>
        <v>7.5218737458650402</v>
      </c>
      <c r="I56" s="14"/>
      <c r="J56" s="10"/>
      <c r="K56" s="10">
        <v>5361</v>
      </c>
      <c r="L56" s="10">
        <v>532</v>
      </c>
      <c r="M56" s="11">
        <f t="shared" si="2"/>
        <v>9.9235217310203314</v>
      </c>
      <c r="N56" s="13">
        <v>8</v>
      </c>
      <c r="O56" s="14">
        <f t="shared" si="3"/>
        <v>-1.9235217310203314</v>
      </c>
      <c r="P56" s="13" t="str">
        <f ca="1">IFERROR(__xludf.DUMMYFUNCTION("IFERROR(
  AVERAGE(
    FILTER(
      $AA$2:$AA56,
      $A$2:$A56 &gt;= #REF! - 30,
      $A$2:$A56 &lt;= #REF!,
      $AA$2:$AA56 &gt; 0
    )
  ),
"""")"),"")</f>
        <v/>
      </c>
      <c r="Q56" s="10"/>
      <c r="R56" s="10">
        <v>5886</v>
      </c>
      <c r="S56" s="10">
        <v>419</v>
      </c>
      <c r="T56" s="11">
        <f t="shared" si="4"/>
        <v>7.1185864763846416</v>
      </c>
      <c r="U56" s="13">
        <v>8</v>
      </c>
      <c r="V56" s="14">
        <f t="shared" si="5"/>
        <v>0.88141352361535841</v>
      </c>
      <c r="W56" s="13" t="str">
        <f ca="1">IFERROR(__xludf.DUMMYFUNCTION("IFERROR(
  AVERAGE(
    FILTER(
      $AA$2:$AA56,
      $A$2:$A56 &gt;= #REF! - 30,
      $A$2:$A56 &lt;= #REF!,
      $AA$2:$AA56 &gt; 0
    )
  ),
"""")"),"")</f>
        <v/>
      </c>
      <c r="X56" s="10"/>
      <c r="Y56" s="10">
        <f t="shared" si="6"/>
        <v>11247</v>
      </c>
      <c r="Z56" s="10">
        <f t="shared" si="7"/>
        <v>1025</v>
      </c>
      <c r="AA56" s="11">
        <f t="shared" si="8"/>
        <v>9.1135413888147951</v>
      </c>
      <c r="AB56" s="13">
        <v>8</v>
      </c>
      <c r="AC56" s="14">
        <f t="shared" si="9"/>
        <v>-1.1135413888147951</v>
      </c>
      <c r="AD56" s="13">
        <f ca="1">IFERROR(__xludf.DUMMYFUNCTION("IFERROR(
  AVERAGE(
    FILTER(
      $AA$2:$AA56,
      $A$2:$A56 &gt;= A56 - 30,
      $A$2:$A56 &lt;= A56,
      $AA$2:$AA56 &gt; 0
    )
  ),
"""")"),8.57944776547844)</f>
        <v>8.5794477654784398</v>
      </c>
      <c r="AE56" s="14"/>
    </row>
    <row r="57" spans="1:31" x14ac:dyDescent="0.25">
      <c r="A57" s="9">
        <v>45956</v>
      </c>
      <c r="B57" s="10"/>
      <c r="C57" s="10">
        <v>0</v>
      </c>
      <c r="D57" s="10">
        <v>0</v>
      </c>
      <c r="E57" s="11" t="e">
        <f t="shared" si="0"/>
        <v>#DIV/0!</v>
      </c>
      <c r="F57" s="13">
        <v>6</v>
      </c>
      <c r="G57" s="14" t="e">
        <f t="shared" si="1"/>
        <v>#DIV/0!</v>
      </c>
      <c r="H57" s="13">
        <f ca="1">IFERROR(__xludf.DUMMYFUNCTION("IFERROR(
  AVERAGE(
    FILTER(
      $E$2:$E57,
      $A$2:$A57&gt;=A57-30,
      $A$2:$A57&lt;=A57,
      $E$2:$E57&gt;0
    )
  ),
  """"
)"),7.4198055697965)</f>
        <v>7.4198055697965</v>
      </c>
      <c r="I57" s="14"/>
      <c r="J57" s="10"/>
      <c r="K57" s="10">
        <v>1320</v>
      </c>
      <c r="L57" s="10">
        <v>153</v>
      </c>
      <c r="M57" s="11">
        <f t="shared" si="2"/>
        <v>11.59090909090909</v>
      </c>
      <c r="N57" s="13">
        <v>8</v>
      </c>
      <c r="O57" s="14">
        <f t="shared" si="3"/>
        <v>-3.5909090909090899</v>
      </c>
      <c r="P57" s="13" t="str">
        <f ca="1">IFERROR(__xludf.DUMMYFUNCTION("IFERROR(
  AVERAGE(
    FILTER(
      $AA$2:$AA57,
      $A$2:$A57 &gt;= #REF! - 30,
      $A$2:$A57 &lt;= #REF!,
      $AA$2:$AA57 &gt; 0
    )
  ),
"""")"),"")</f>
        <v/>
      </c>
      <c r="Q57" s="10"/>
      <c r="R57" s="10">
        <v>1992</v>
      </c>
      <c r="S57" s="10">
        <v>163</v>
      </c>
      <c r="T57" s="11">
        <f t="shared" si="4"/>
        <v>8.1827309236947787</v>
      </c>
      <c r="U57" s="13">
        <v>8</v>
      </c>
      <c r="V57" s="14">
        <f t="shared" si="5"/>
        <v>-0.18273092369477872</v>
      </c>
      <c r="W57" s="13" t="str">
        <f ca="1">IFERROR(__xludf.DUMMYFUNCTION("IFERROR(
  AVERAGE(
    FILTER(
      $AA$2:$AA57,
      $A$2:$A57 &gt;= #REF! - 30,
      $A$2:$A57 &lt;= #REF!,
      $AA$2:$AA57 &gt; 0
    )
  ),
"""")"),"")</f>
        <v/>
      </c>
      <c r="X57" s="10"/>
      <c r="Y57" s="10">
        <f t="shared" si="6"/>
        <v>3312</v>
      </c>
      <c r="Z57" s="10">
        <f t="shared" si="7"/>
        <v>316</v>
      </c>
      <c r="AA57" s="11">
        <f t="shared" si="8"/>
        <v>9.541062801932366</v>
      </c>
      <c r="AB57" s="13">
        <v>8</v>
      </c>
      <c r="AC57" s="14">
        <f t="shared" si="9"/>
        <v>-1.541062801932366</v>
      </c>
      <c r="AD57" s="13">
        <f ca="1">IFERROR(__xludf.DUMMYFUNCTION("IFERROR(
  AVERAGE(
    FILTER(
      $AA$2:$AA57,
      $A$2:$A57 &gt;= A57 - 30,
      $A$2:$A57 &lt;= A57,
      $AA$2:$AA57 &gt; 0
    )
  ),
"""")"),8.58783454273127)</f>
        <v>8.5878345427312706</v>
      </c>
      <c r="AE57" s="14"/>
    </row>
    <row r="58" spans="1:31" x14ac:dyDescent="0.25">
      <c r="A58" s="9">
        <v>45957</v>
      </c>
      <c r="B58" s="10"/>
      <c r="C58" s="10">
        <v>1368</v>
      </c>
      <c r="D58" s="10">
        <v>98</v>
      </c>
      <c r="E58" s="11">
        <f t="shared" si="0"/>
        <v>7.1637426900584789</v>
      </c>
      <c r="F58" s="13">
        <v>6</v>
      </c>
      <c r="G58" s="14">
        <f t="shared" si="1"/>
        <v>-1.1637426900584789</v>
      </c>
      <c r="H58" s="13">
        <f ca="1">IFERROR(__xludf.DUMMYFUNCTION("IFERROR(
  AVERAGE(
    FILTER(
      $E$2:$E58,
      $A$2:$A58&gt;=A58-30,
      $A$2:$A58&lt;=A58,
      $E$2:$E58&gt;0
    )
  ),
  """"
)"),7.49484584749741)</f>
        <v>7.4948458474974098</v>
      </c>
      <c r="I58" s="14"/>
      <c r="J58" s="10"/>
      <c r="K58" s="10">
        <v>3906</v>
      </c>
      <c r="L58" s="10">
        <v>267</v>
      </c>
      <c r="M58" s="11">
        <f t="shared" si="2"/>
        <v>6.8356374807987716</v>
      </c>
      <c r="N58" s="13">
        <v>8</v>
      </c>
      <c r="O58" s="14">
        <f t="shared" si="3"/>
        <v>1.1643625192012284</v>
      </c>
      <c r="P58" s="13" t="str">
        <f ca="1">IFERROR(__xludf.DUMMYFUNCTION("IFERROR(
  AVERAGE(
    FILTER(
      $AA$2:$AA58,
      $A$2:$A58 &gt;= #REF! - 30,
      $A$2:$A58 &lt;= #REF!,
      $AA$2:$AA58 &gt; 0
    )
  ),
"""")"),"")</f>
        <v/>
      </c>
      <c r="Q58" s="10"/>
      <c r="R58" s="10">
        <v>4439</v>
      </c>
      <c r="S58" s="10">
        <v>334</v>
      </c>
      <c r="T58" s="11">
        <f t="shared" si="4"/>
        <v>7.524217166028385</v>
      </c>
      <c r="U58" s="13">
        <v>8</v>
      </c>
      <c r="V58" s="14">
        <f t="shared" si="5"/>
        <v>0.47578283397161503</v>
      </c>
      <c r="W58" s="13" t="str">
        <f ca="1">IFERROR(__xludf.DUMMYFUNCTION("IFERROR(
  AVERAGE(
    FILTER(
      $AA$2:$AA58,
      $A$2:$A58 &gt;= #REF! - 30,
      $A$2:$A58 &lt;= #REF!,
      $AA$2:$AA58 &gt; 0
    )
  ),
"""")"),"")</f>
        <v/>
      </c>
      <c r="X58" s="10"/>
      <c r="Y58" s="10">
        <f t="shared" si="6"/>
        <v>8345</v>
      </c>
      <c r="Z58" s="10">
        <f t="shared" si="7"/>
        <v>699</v>
      </c>
      <c r="AA58" s="11">
        <f t="shared" si="8"/>
        <v>8.3762732174955055</v>
      </c>
      <c r="AB58" s="13">
        <v>8</v>
      </c>
      <c r="AC58" s="14">
        <f t="shared" si="9"/>
        <v>-0.37627321749550546</v>
      </c>
      <c r="AD58" s="13">
        <f ca="1">IFERROR(__xludf.DUMMYFUNCTION("IFERROR(
  AVERAGE(
    FILTER(
      $AA$2:$AA58,
      $A$2:$A58 &gt;= A58 - 30,
      $A$2:$A58 &lt;= A58,
      $AA$2:$AA58 &gt; 0
    )
  ),
"""")"),8.54808167386785)</f>
        <v>8.5480816738678502</v>
      </c>
      <c r="AE58" s="14"/>
    </row>
    <row r="59" spans="1:31" x14ac:dyDescent="0.25">
      <c r="A59" s="9">
        <v>45958</v>
      </c>
      <c r="B59" s="10"/>
      <c r="C59" s="10">
        <v>1650</v>
      </c>
      <c r="D59" s="10">
        <v>130</v>
      </c>
      <c r="E59" s="11">
        <f t="shared" si="0"/>
        <v>7.878787878787878</v>
      </c>
      <c r="F59" s="13">
        <v>6</v>
      </c>
      <c r="G59" s="14">
        <f t="shared" si="1"/>
        <v>-1.878787878787878</v>
      </c>
      <c r="H59" s="13">
        <f ca="1">IFERROR(__xludf.DUMMYFUNCTION("IFERROR(
  AVERAGE(
    FILTER(
      $E$2:$E59,
      $A$2:$A59&gt;=A59-30,
      $A$2:$A59&lt;=A59,
      $E$2:$E59&gt;0
    )
  ),
  """"
)"),7.34358903383651)</f>
        <v>7.3435890338365102</v>
      </c>
      <c r="I59" s="14"/>
      <c r="J59" s="10"/>
      <c r="K59" s="10">
        <v>4181</v>
      </c>
      <c r="L59" s="10">
        <v>305</v>
      </c>
      <c r="M59" s="11">
        <f t="shared" si="2"/>
        <v>7.2949055249940207</v>
      </c>
      <c r="N59" s="13">
        <v>8</v>
      </c>
      <c r="O59" s="14">
        <f t="shared" si="3"/>
        <v>0.70509447500597933</v>
      </c>
      <c r="P59" s="13" t="str">
        <f ca="1">IFERROR(__xludf.DUMMYFUNCTION("IFERROR(
  AVERAGE(
    FILTER(
      $AA$2:$AA59,
      $A$2:$A59 &gt;= #REF! - 30,
      $A$2:$A59 &lt;= #REF!,
      $AA$2:$AA59 &gt; 0
    )
  ),
"""")"),"")</f>
        <v/>
      </c>
      <c r="Q59" s="10"/>
      <c r="R59" s="10">
        <v>7003</v>
      </c>
      <c r="S59" s="10">
        <v>550</v>
      </c>
      <c r="T59" s="11">
        <f t="shared" si="4"/>
        <v>7.8537769527345427</v>
      </c>
      <c r="U59" s="13">
        <v>8</v>
      </c>
      <c r="V59" s="14">
        <f t="shared" si="5"/>
        <v>0.14622304726545732</v>
      </c>
      <c r="W59" s="13" t="str">
        <f ca="1">IFERROR(__xludf.DUMMYFUNCTION("IFERROR(
  AVERAGE(
    FILTER(
      $AA$2:$AA59,
      $A$2:$A59 &gt;= #REF! - 30,
      $A$2:$A59 &lt;= #REF!,
      $AA$2:$AA59 &gt; 0
    )
  ),
"""")"),"")</f>
        <v/>
      </c>
      <c r="X59" s="10"/>
      <c r="Y59" s="10">
        <f t="shared" si="6"/>
        <v>11184</v>
      </c>
      <c r="Z59" s="10">
        <f t="shared" si="7"/>
        <v>985</v>
      </c>
      <c r="AA59" s="11">
        <f t="shared" si="8"/>
        <v>8.8072246065808297</v>
      </c>
      <c r="AB59" s="13">
        <v>8</v>
      </c>
      <c r="AC59" s="14">
        <f t="shared" si="9"/>
        <v>-0.80722460658082973</v>
      </c>
      <c r="AD59" s="13">
        <f ca="1">IFERROR(__xludf.DUMMYFUNCTION("IFERROR(
  AVERAGE(
    FILTER(
      $AA$2:$AA59,
      $A$2:$A59 &gt;= A59 - 30,
      $A$2:$A59 &lt;= A59,
      $AA$2:$AA59 &gt; 0
    )
  ),
"""")"),8.56060880547125)</f>
        <v>8.5606088054712508</v>
      </c>
      <c r="AE59" s="14"/>
    </row>
    <row r="60" spans="1:31" x14ac:dyDescent="0.25">
      <c r="A60" s="9">
        <v>45959</v>
      </c>
      <c r="B60" s="10"/>
      <c r="C60" s="10">
        <v>1806</v>
      </c>
      <c r="D60" s="10">
        <v>120</v>
      </c>
      <c r="E60" s="11">
        <f t="shared" si="0"/>
        <v>6.6445182724252501</v>
      </c>
      <c r="F60" s="13">
        <v>6</v>
      </c>
      <c r="G60" s="14">
        <f t="shared" si="1"/>
        <v>-0.64451827242525006</v>
      </c>
      <c r="H60" s="13">
        <f ca="1">IFERROR(__xludf.DUMMYFUNCTION("IFERROR(
  AVERAGE(
    FILTER(
      $E$2:$E60,
      $A$2:$A60&gt;=A60-30,
      $A$2:$A60&lt;=A60,
      $E$2:$E60&gt;0
    )
  ),
  """"
)"),7.31562620338006)</f>
        <v>7.3156262033800603</v>
      </c>
      <c r="I60" s="14"/>
      <c r="J60" s="10"/>
      <c r="K60" s="10">
        <v>7382</v>
      </c>
      <c r="L60" s="10">
        <v>635</v>
      </c>
      <c r="M60" s="11">
        <f t="shared" si="2"/>
        <v>8.6020048767271753</v>
      </c>
      <c r="N60" s="13">
        <v>8</v>
      </c>
      <c r="O60" s="14">
        <f t="shared" si="3"/>
        <v>-0.60200487672717529</v>
      </c>
      <c r="P60" s="13" t="str">
        <f ca="1">IFERROR(__xludf.DUMMYFUNCTION("IFERROR(
  AVERAGE(
    FILTER(
      $AA$2:$AA60,
      $A$2:$A60 &gt;= #REF! - 30,
      $A$2:$A60 &lt;= #REF!,
      $AA$2:$AA60 &gt; 0
    )
  ),
"""")"),"")</f>
        <v/>
      </c>
      <c r="Q60" s="10"/>
      <c r="R60" s="10">
        <v>4462</v>
      </c>
      <c r="S60" s="10">
        <v>548</v>
      </c>
      <c r="T60" s="11">
        <f t="shared" si="4"/>
        <v>12.281488121918423</v>
      </c>
      <c r="U60" s="13">
        <v>8</v>
      </c>
      <c r="V60" s="14">
        <f t="shared" si="5"/>
        <v>-4.2814881219184233</v>
      </c>
      <c r="W60" s="13" t="str">
        <f ca="1">IFERROR(__xludf.DUMMYFUNCTION("IFERROR(
  AVERAGE(
    FILTER(
      $AA$2:$AA60,
      $A$2:$A60 &gt;= #REF! - 30,
      $A$2:$A60 &lt;= #REF!,
      $AA$2:$AA60 &gt; 0
    )
  ),
"""")"),"")</f>
        <v/>
      </c>
      <c r="X60" s="10"/>
      <c r="Y60" s="10">
        <f t="shared" si="6"/>
        <v>11844</v>
      </c>
      <c r="Z60" s="10">
        <f t="shared" si="7"/>
        <v>1303</v>
      </c>
      <c r="AA60" s="11">
        <f t="shared" si="8"/>
        <v>11.001350894967917</v>
      </c>
      <c r="AB60" s="13">
        <v>8</v>
      </c>
      <c r="AC60" s="14">
        <f t="shared" si="9"/>
        <v>-3.0013508949679171</v>
      </c>
      <c r="AD60" s="13">
        <f ca="1">IFERROR(__xludf.DUMMYFUNCTION("IFERROR(
  AVERAGE(
    FILTER(
      $AA$2:$AA60,
      $A$2:$A60 &gt;= A60 - 30,
      $A$2:$A60 &lt;= A60,
      $AA$2:$AA60 &gt; 0
    )
  ),
"""")"),8.73472384444642)</f>
        <v>8.7347238444464192</v>
      </c>
      <c r="AE60" s="14"/>
    </row>
    <row r="61" spans="1:31" x14ac:dyDescent="0.25">
      <c r="A61" s="9">
        <v>45960</v>
      </c>
      <c r="B61" s="10"/>
      <c r="C61" s="10">
        <v>4337</v>
      </c>
      <c r="D61" s="10">
        <v>286</v>
      </c>
      <c r="E61" s="11">
        <f t="shared" si="0"/>
        <v>6.5944201060641001</v>
      </c>
      <c r="F61" s="13">
        <v>6</v>
      </c>
      <c r="G61" s="14">
        <f t="shared" si="1"/>
        <v>-0.59442010606410012</v>
      </c>
      <c r="H61" s="13">
        <f ca="1">IFERROR(__xludf.DUMMYFUNCTION("IFERROR(
  AVERAGE(
    FILTER(
      $E$2:$E61,
      $A$2:$A61&gt;=A61-30,
      $A$2:$A61&lt;=A61,
      $E$2:$E61&gt;0
    )
  ),
  """"
)"),7.23988046120352)</f>
        <v>7.2398804612035201</v>
      </c>
      <c r="I61" s="14"/>
      <c r="J61" s="10"/>
      <c r="K61" s="10">
        <v>3780</v>
      </c>
      <c r="L61" s="10">
        <v>310</v>
      </c>
      <c r="M61" s="11">
        <f t="shared" si="2"/>
        <v>8.2010582010582009</v>
      </c>
      <c r="N61" s="13">
        <v>8</v>
      </c>
      <c r="O61" s="14">
        <f t="shared" si="3"/>
        <v>-0.20105820105820094</v>
      </c>
      <c r="P61" s="13" t="str">
        <f ca="1">IFERROR(__xludf.DUMMYFUNCTION("IFERROR(
  AVERAGE(
    FILTER(
      $AA$2:$AA61,
      $A$2:$A61 &gt;= #REF! - 30,
      $A$2:$A61 &lt;= #REF!,
      $AA$2:$AA61 &gt; 0
    )
  ),
"""")"),"")</f>
        <v/>
      </c>
      <c r="Q61" s="10"/>
      <c r="R61" s="10">
        <v>11540</v>
      </c>
      <c r="S61" s="10">
        <v>803</v>
      </c>
      <c r="T61" s="11">
        <f t="shared" si="4"/>
        <v>6.9584055459272101</v>
      </c>
      <c r="U61" s="13">
        <v>8</v>
      </c>
      <c r="V61" s="14">
        <f t="shared" si="5"/>
        <v>1.0415944540727899</v>
      </c>
      <c r="W61" s="13" t="str">
        <f ca="1">IFERROR(__xludf.DUMMYFUNCTION("IFERROR(
  AVERAGE(
    FILTER(
      $AA$2:$AA61,
      $A$2:$A61 &gt;= #REF! - 30,
      $A$2:$A61 &lt;= #REF!,
      $AA$2:$AA61 &gt; 0
    )
  ),
"""")"),"")</f>
        <v/>
      </c>
      <c r="X61" s="10"/>
      <c r="Y61" s="10">
        <f t="shared" si="6"/>
        <v>15320</v>
      </c>
      <c r="Z61" s="10">
        <f t="shared" si="7"/>
        <v>1399</v>
      </c>
      <c r="AA61" s="11">
        <f t="shared" si="8"/>
        <v>9.1318537859007822</v>
      </c>
      <c r="AB61" s="13">
        <v>8</v>
      </c>
      <c r="AC61" s="14">
        <f t="shared" si="9"/>
        <v>-1.1318537859007822</v>
      </c>
      <c r="AD61" s="13">
        <f ca="1">IFERROR(__xludf.DUMMYFUNCTION("IFERROR(
  AVERAGE(
    FILTER(
      $AA$2:$AA61,
      $A$2:$A61 &gt;= A61 - 30,
      $A$2:$A61 &lt;= A61,
      $AA$2:$AA61 &gt; 0
    )
  ),
"""")"),8.81821066474759)</f>
        <v>8.8182106647475909</v>
      </c>
      <c r="AE61" s="14"/>
    </row>
    <row r="62" spans="1:31" x14ac:dyDescent="0.25">
      <c r="A62" s="9">
        <v>45961</v>
      </c>
      <c r="B62" s="10"/>
      <c r="C62" s="10">
        <v>1392</v>
      </c>
      <c r="D62" s="10">
        <v>109</v>
      </c>
      <c r="E62" s="11">
        <f t="shared" si="0"/>
        <v>7.8304597701149419</v>
      </c>
      <c r="F62" s="13">
        <v>6</v>
      </c>
      <c r="G62" s="14">
        <f t="shared" si="1"/>
        <v>-1.8304597701149419</v>
      </c>
      <c r="H62" s="13">
        <f ca="1">IFERROR(__xludf.DUMMYFUNCTION("IFERROR(
  AVERAGE(
    FILTER(
      $E$2:$E62,
      $A$2:$A62&gt;=A62-30,
      $A$2:$A62&lt;=A62,
      $E$2:$E62&gt;0
    )
  ),
  """"
)"),7.37929859260475)</f>
        <v>7.3792985926047496</v>
      </c>
      <c r="I62" s="14"/>
      <c r="J62" s="10"/>
      <c r="K62" s="10">
        <v>8841</v>
      </c>
      <c r="L62" s="10">
        <v>669</v>
      </c>
      <c r="M62" s="11">
        <f t="shared" si="2"/>
        <v>7.5670173057346455</v>
      </c>
      <c r="N62" s="13">
        <v>8</v>
      </c>
      <c r="O62" s="14">
        <f t="shared" si="3"/>
        <v>0.43298269426535452</v>
      </c>
      <c r="P62" s="13" t="str">
        <f ca="1">IFERROR(__xludf.DUMMYFUNCTION("IFERROR(
  AVERAGE(
    FILTER(
      $AA$2:$AA62,
      $A$2:$A62 &gt;= #REF! - 30,
      $A$2:$A62 &lt;= #REF!,
      $AA$2:$AA62 &gt; 0
    )
  ),
"""")"),"")</f>
        <v/>
      </c>
      <c r="Q62" s="10"/>
      <c r="R62" s="10">
        <v>8840</v>
      </c>
      <c r="S62" s="10">
        <v>783</v>
      </c>
      <c r="T62" s="11">
        <f t="shared" si="4"/>
        <v>8.8574660633484168</v>
      </c>
      <c r="U62" s="13">
        <v>8</v>
      </c>
      <c r="V62" s="14">
        <f t="shared" si="5"/>
        <v>-0.8574660633484168</v>
      </c>
      <c r="W62" s="13" t="str">
        <f ca="1">IFERROR(__xludf.DUMMYFUNCTION("IFERROR(
  AVERAGE(
    FILTER(
      $AA$2:$AA62,
      $A$2:$A62 &gt;= #REF! - 30,
      $A$2:$A62 &lt;= #REF!,
      $AA$2:$AA62 &gt; 0
    )
  ),
"""")"),"")</f>
        <v/>
      </c>
      <c r="X62" s="10"/>
      <c r="Y62" s="10">
        <f t="shared" si="6"/>
        <v>17681</v>
      </c>
      <c r="Z62" s="10">
        <f t="shared" si="7"/>
        <v>1561</v>
      </c>
      <c r="AA62" s="11">
        <f t="shared" si="8"/>
        <v>8.8286861602850522</v>
      </c>
      <c r="AB62" s="13">
        <v>8</v>
      </c>
      <c r="AC62" s="14">
        <f t="shared" si="9"/>
        <v>-0.82868616028505215</v>
      </c>
      <c r="AD62" s="13">
        <f ca="1">IFERROR(__xludf.DUMMYFUNCTION("IFERROR(
  AVERAGE(
    FILTER(
      $AA$2:$AA62,
      $A$2:$A62 &gt;= A62 - 30,
      $A$2:$A62 &lt;= A62,
      $AA$2:$AA62 &gt; 0
    )
  ),
"""")"),8.80208453482704)</f>
        <v>8.8020845348270402</v>
      </c>
      <c r="AE62" s="14"/>
    </row>
    <row r="63" spans="1:31" x14ac:dyDescent="0.25">
      <c r="A63" s="9">
        <v>45962</v>
      </c>
      <c r="B63" s="10"/>
      <c r="C63" s="10">
        <v>1651</v>
      </c>
      <c r="D63" s="10">
        <v>158</v>
      </c>
      <c r="E63" s="11">
        <f t="shared" si="0"/>
        <v>9.5699576014536643</v>
      </c>
      <c r="F63" s="13">
        <v>6</v>
      </c>
      <c r="G63" s="14">
        <f t="shared" si="1"/>
        <v>-3.5699576014536643</v>
      </c>
      <c r="H63" s="13">
        <f ca="1">IFERROR(__xludf.DUMMYFUNCTION("IFERROR(
  AVERAGE(
    FILTER(
      $E$2:$E63,
      $A$2:$A63&gt;=A63-30,
      $A$2:$A63&lt;=A63,
      $E$2:$E63&gt;0
    )
  ),
  """"
)"),7.51531026427215)</f>
        <v>7.5153102642721503</v>
      </c>
      <c r="I63" s="14"/>
      <c r="J63" s="10"/>
      <c r="K63" s="10">
        <v>2040</v>
      </c>
      <c r="L63" s="10">
        <v>137</v>
      </c>
      <c r="M63" s="11">
        <f t="shared" si="2"/>
        <v>6.715686274509804</v>
      </c>
      <c r="N63" s="13">
        <v>8</v>
      </c>
      <c r="O63" s="14">
        <f t="shared" si="3"/>
        <v>1.284313725490196</v>
      </c>
      <c r="P63" s="13" t="str">
        <f ca="1">IFERROR(__xludf.DUMMYFUNCTION("IFERROR(
  AVERAGE(
    FILTER(
      $AA$2:$AA63,
      $A$2:$A63 &gt;= #REF! - 30,
      $A$2:$A63 &lt;= #REF!,
      $AA$2:$AA63 &gt; 0
    )
  ),
"""")"),"")</f>
        <v/>
      </c>
      <c r="Q63" s="10"/>
      <c r="R63" s="10">
        <v>7755</v>
      </c>
      <c r="S63" s="10">
        <v>647</v>
      </c>
      <c r="T63" s="11">
        <f t="shared" si="4"/>
        <v>8.343004513217279</v>
      </c>
      <c r="U63" s="13">
        <v>8</v>
      </c>
      <c r="V63" s="14">
        <f t="shared" si="5"/>
        <v>-0.34300451321727898</v>
      </c>
      <c r="W63" s="13" t="str">
        <f ca="1">IFERROR(__xludf.DUMMYFUNCTION("IFERROR(
  AVERAGE(
    FILTER(
      $AA$2:$AA63,
      $A$2:$A63 &gt;= #REF! - 30,
      $A$2:$A63 &lt;= #REF!,
      $AA$2:$AA63 &gt; 0
    )
  ),
"""")"),"")</f>
        <v/>
      </c>
      <c r="X63" s="10"/>
      <c r="Y63" s="10">
        <f t="shared" si="6"/>
        <v>9795</v>
      </c>
      <c r="Z63" s="10">
        <f t="shared" si="7"/>
        <v>942</v>
      </c>
      <c r="AA63" s="11">
        <f t="shared" si="8"/>
        <v>9.6171516079632458</v>
      </c>
      <c r="AB63" s="13">
        <v>8</v>
      </c>
      <c r="AC63" s="14">
        <f t="shared" si="9"/>
        <v>-1.6171516079632458</v>
      </c>
      <c r="AD63" s="13">
        <f ca="1">IFERROR(__xludf.DUMMYFUNCTION("IFERROR(
  AVERAGE(
    FILTER(
      $AA$2:$AA63,
      $A$2:$A63 &gt;= A63 - 30,
      $A$2:$A63 &lt;= A63,
      $AA$2:$AA63 &gt; 0
    )
  ),
"""")"),8.85029051847434)</f>
        <v>8.8502905184743401</v>
      </c>
      <c r="AE63" s="14"/>
    </row>
    <row r="64" spans="1:31" x14ac:dyDescent="0.25">
      <c r="A64" s="9">
        <v>45963</v>
      </c>
      <c r="B64" s="10"/>
      <c r="C64" s="10">
        <v>731</v>
      </c>
      <c r="D64" s="10">
        <v>71</v>
      </c>
      <c r="E64" s="11">
        <f t="shared" si="0"/>
        <v>9.7127222982216139</v>
      </c>
      <c r="F64" s="13">
        <v>6</v>
      </c>
      <c r="G64" s="14">
        <f t="shared" si="1"/>
        <v>-3.7127222982216139</v>
      </c>
      <c r="H64" s="13">
        <f ca="1">IFERROR(__xludf.DUMMYFUNCTION("IFERROR(
  AVERAGE(
    FILTER(
      $E$2:$E64,
      $A$2:$A64&gt;=A64-30,
      $A$2:$A64&lt;=A64,
      $E$2:$E64&gt;0
    )
  ),
  """"
)"),7.59982611173174)</f>
        <v>7.5998261117317396</v>
      </c>
      <c r="I64" s="14"/>
      <c r="J64" s="10"/>
      <c r="K64" s="10">
        <v>1940</v>
      </c>
      <c r="L64" s="10">
        <v>137</v>
      </c>
      <c r="M64" s="11">
        <f t="shared" si="2"/>
        <v>7.0618556701030926</v>
      </c>
      <c r="N64" s="13">
        <v>8</v>
      </c>
      <c r="O64" s="14">
        <f t="shared" si="3"/>
        <v>0.93814432989690744</v>
      </c>
      <c r="P64" s="13" t="str">
        <f ca="1">IFERROR(__xludf.DUMMYFUNCTION("IFERROR(
  AVERAGE(
    FILTER(
      $AA$2:$AA64,
      $A$2:$A64 &gt;= #REF! - 30,
      $A$2:$A64 &lt;= #REF!,
      $AA$2:$AA64 &gt; 0
    )
  ),
"""")"),"")</f>
        <v/>
      </c>
      <c r="Q64" s="10"/>
      <c r="R64" s="10">
        <v>1651</v>
      </c>
      <c r="S64" s="10">
        <v>180</v>
      </c>
      <c r="T64" s="11">
        <f t="shared" si="4"/>
        <v>10.902483343428225</v>
      </c>
      <c r="U64" s="13">
        <v>8</v>
      </c>
      <c r="V64" s="14">
        <f t="shared" si="5"/>
        <v>-2.9024833434282247</v>
      </c>
      <c r="W64" s="13" t="str">
        <f ca="1">IFERROR(__xludf.DUMMYFUNCTION("IFERROR(
  AVERAGE(
    FILTER(
      $AA$2:$AA64,
      $A$2:$A64 &gt;= #REF! - 30,
      $A$2:$A64 &lt;= #REF!,
      $AA$2:$AA64 &gt; 0
    )
  ),
"""")"),"")</f>
        <v/>
      </c>
      <c r="X64" s="10"/>
      <c r="Y64" s="10">
        <f t="shared" si="6"/>
        <v>3591</v>
      </c>
      <c r="Z64" s="10">
        <f t="shared" si="7"/>
        <v>388</v>
      </c>
      <c r="AA64" s="11">
        <f t="shared" si="8"/>
        <v>10.804789752158172</v>
      </c>
      <c r="AB64" s="13">
        <v>8</v>
      </c>
      <c r="AC64" s="14">
        <f t="shared" si="9"/>
        <v>-2.8047897521581717</v>
      </c>
      <c r="AD64" s="13">
        <f ca="1">IFERROR(__xludf.DUMMYFUNCTION("IFERROR(
  AVERAGE(
    FILTER(
      $AA$2:$AA64,
      $A$2:$A64 &gt;= A64 - 30,
      $A$2:$A64 &lt;= A64,
      $AA$2:$AA64 &gt; 0
    )
  ),
"""")"),8.91544049293046)</f>
        <v>8.9154404929304594</v>
      </c>
      <c r="AE64" s="14"/>
    </row>
    <row r="65" spans="1:31" x14ac:dyDescent="0.25">
      <c r="A65" s="9">
        <v>45964</v>
      </c>
      <c r="B65" s="10"/>
      <c r="C65" s="10">
        <v>1429</v>
      </c>
      <c r="D65" s="10">
        <v>76</v>
      </c>
      <c r="E65" s="11">
        <f t="shared" si="0"/>
        <v>5.3184044786564026</v>
      </c>
      <c r="F65" s="13">
        <v>6</v>
      </c>
      <c r="G65" s="14">
        <f t="shared" si="1"/>
        <v>0.68159552134359735</v>
      </c>
      <c r="H65" s="13">
        <f ca="1">IFERROR(__xludf.DUMMYFUNCTION("IFERROR(
  AVERAGE(
    FILTER(
      $E$2:$E65,
      $A$2:$A65&gt;=A65-30,
      $A$2:$A65&lt;=A65,
      $E$2:$E65&gt;0
    )
  ),
  """"
)"),7.42448073798063)</f>
        <v>7.4244807379806304</v>
      </c>
      <c r="I65" s="14"/>
      <c r="J65" s="10"/>
      <c r="K65" s="10">
        <v>6273</v>
      </c>
      <c r="L65" s="10">
        <v>569</v>
      </c>
      <c r="M65" s="11">
        <f t="shared" si="2"/>
        <v>9.0706201179658859</v>
      </c>
      <c r="N65" s="13">
        <v>8</v>
      </c>
      <c r="O65" s="14">
        <f t="shared" si="3"/>
        <v>-1.0706201179658859</v>
      </c>
      <c r="P65" s="13" t="str">
        <f ca="1">IFERROR(__xludf.DUMMYFUNCTION("IFERROR(
  AVERAGE(
    FILTER(
      $AA$2:$AA65,
      $A$2:$A65 &gt;= #REF! - 30,
      $A$2:$A65 &lt;= #REF!,
      $AA$2:$AA65 &gt; 0
    )
  ),
"""")"),"")</f>
        <v/>
      </c>
      <c r="Q65" s="10"/>
      <c r="R65" s="10">
        <v>11518</v>
      </c>
      <c r="S65" s="10">
        <v>610</v>
      </c>
      <c r="T65" s="11">
        <f t="shared" si="4"/>
        <v>5.2960583434624064</v>
      </c>
      <c r="U65" s="13">
        <v>8</v>
      </c>
      <c r="V65" s="14">
        <f t="shared" si="5"/>
        <v>2.7039416565375936</v>
      </c>
      <c r="W65" s="13" t="str">
        <f ca="1">IFERROR(__xludf.DUMMYFUNCTION("IFERROR(
  AVERAGE(
    FILTER(
      $AA$2:$AA65,
      $A$2:$A65 &gt;= #REF! - 30,
      $A$2:$A65 &lt;= #REF!,
      $AA$2:$AA65 &gt; 0
    )
  ),
"""")"),"")</f>
        <v/>
      </c>
      <c r="X65" s="10"/>
      <c r="Y65" s="10">
        <f t="shared" si="6"/>
        <v>17791</v>
      </c>
      <c r="Z65" s="10">
        <f t="shared" si="7"/>
        <v>1255</v>
      </c>
      <c r="AA65" s="11">
        <f t="shared" si="8"/>
        <v>7.0541284919341241</v>
      </c>
      <c r="AB65" s="13">
        <v>8</v>
      </c>
      <c r="AC65" s="14">
        <f t="shared" si="9"/>
        <v>0.94587150806587594</v>
      </c>
      <c r="AD65" s="13">
        <f ca="1">IFERROR(__xludf.DUMMYFUNCTION("IFERROR(
  AVERAGE(
    FILTER(
      $AA$2:$AA65,
      $A$2:$A65 &gt;= A65 - 30,
      $A$2:$A65 &lt;= A65,
      $AA$2:$AA65 &gt; 0
    )
  ),
"""")"),8.95418060077095)</f>
        <v>8.9541806007709503</v>
      </c>
      <c r="AE65" s="14"/>
    </row>
    <row r="66" spans="1:31" x14ac:dyDescent="0.25">
      <c r="A66" s="9">
        <v>45965</v>
      </c>
      <c r="B66" s="10"/>
      <c r="C66" s="10">
        <v>1500</v>
      </c>
      <c r="D66" s="10">
        <v>180</v>
      </c>
      <c r="E66" s="11">
        <f t="shared" si="0"/>
        <v>12</v>
      </c>
      <c r="F66" s="13">
        <v>6</v>
      </c>
      <c r="G66" s="14">
        <f t="shared" si="1"/>
        <v>-6</v>
      </c>
      <c r="H66" s="13">
        <f ca="1">IFERROR(__xludf.DUMMYFUNCTION("IFERROR(
  AVERAGE(
    FILTER(
      $E$2:$E66,
      $A$2:$A66&gt;=A66-30,
      $A$2:$A66&lt;=A66,
      $E$2:$E66&gt;0
    )
  ),
  """"
)"),7.6255751292255)</f>
        <v>7.6255751292255001</v>
      </c>
      <c r="I66" s="14"/>
      <c r="J66" s="10"/>
      <c r="K66" s="10">
        <v>3560</v>
      </c>
      <c r="L66" s="10">
        <v>282</v>
      </c>
      <c r="M66" s="11">
        <f t="shared" si="2"/>
        <v>7.9213483146067407</v>
      </c>
      <c r="N66" s="13">
        <v>8</v>
      </c>
      <c r="O66" s="14">
        <f t="shared" si="3"/>
        <v>7.8651685393259285E-2</v>
      </c>
      <c r="P66" s="13" t="str">
        <f ca="1">IFERROR(__xludf.DUMMYFUNCTION("IFERROR(
  AVERAGE(
    FILTER(
      $AA$2:$AA66,
      $A$2:$A66 &gt;= #REF! - 30,
      $A$2:$A66 &lt;= #REF!,
      $AA$2:$AA66 &gt; 0
    )
  ),
"""")"),"")</f>
        <v/>
      </c>
      <c r="Q66" s="10"/>
      <c r="R66" s="10">
        <v>3593</v>
      </c>
      <c r="S66" s="10">
        <v>633</v>
      </c>
      <c r="T66" s="11">
        <f t="shared" si="4"/>
        <v>17.617589757862511</v>
      </c>
      <c r="U66" s="13">
        <v>8</v>
      </c>
      <c r="V66" s="14">
        <f t="shared" si="5"/>
        <v>-9.6175897578625111</v>
      </c>
      <c r="W66" s="13" t="str">
        <f ca="1">IFERROR(__xludf.DUMMYFUNCTION("IFERROR(
  AVERAGE(
    FILTER(
      $AA$2:$AA66,
      $A$2:$A66 &gt;= #REF! - 30,
      $A$2:$A66 &lt;= #REF!,
      $AA$2:$AA66 &gt; 0
    )
  ),
"""")"),"")</f>
        <v/>
      </c>
      <c r="X66" s="10"/>
      <c r="Y66" s="10">
        <f t="shared" si="6"/>
        <v>7153</v>
      </c>
      <c r="Z66" s="10">
        <f t="shared" si="7"/>
        <v>1095</v>
      </c>
      <c r="AA66" s="11">
        <f t="shared" si="8"/>
        <v>15.308262267580035</v>
      </c>
      <c r="AB66" s="13">
        <v>8</v>
      </c>
      <c r="AC66" s="14">
        <f t="shared" si="9"/>
        <v>-7.3082622675800355</v>
      </c>
      <c r="AD66" s="13">
        <f ca="1">IFERROR(__xludf.DUMMYFUNCTION("IFERROR(
  AVERAGE(
    FILTER(
      $AA$2:$AA66,
      $A$2:$A66 &gt;= A66 - 30,
      $A$2:$A66 &lt;= A66,
      $AA$2:$AA66 &gt; 0
    )
  ),
"""")"),9.24237069607179)</f>
        <v>9.2423706960717897</v>
      </c>
      <c r="AE66" s="14"/>
    </row>
    <row r="67" spans="1:31" x14ac:dyDescent="0.25">
      <c r="A67" s="9">
        <v>45966</v>
      </c>
      <c r="B67" s="10"/>
      <c r="C67" s="10">
        <v>1561</v>
      </c>
      <c r="D67" s="10">
        <v>112</v>
      </c>
      <c r="E67" s="11">
        <f t="shared" si="0"/>
        <v>7.1748878923766819</v>
      </c>
      <c r="F67" s="13">
        <v>6</v>
      </c>
      <c r="G67" s="14">
        <f t="shared" si="1"/>
        <v>-1.1748878923766819</v>
      </c>
      <c r="H67" s="13">
        <f ca="1">IFERROR(__xludf.DUMMYFUNCTION("IFERROR(
  AVERAGE(
    FILTER(
      $E$2:$E67,
      $A$2:$A67&gt;=A67-30,
      $A$2:$A67&lt;=A67,
      $E$2:$E67&gt;0
    )
  ),
  """"
)"),7.61329600204525)</f>
        <v>7.6132960020452503</v>
      </c>
      <c r="I67" s="14"/>
      <c r="J67" s="10"/>
      <c r="K67" s="10">
        <v>4510</v>
      </c>
      <c r="L67" s="10">
        <v>518</v>
      </c>
      <c r="M67" s="11">
        <f t="shared" si="2"/>
        <v>11.485587583148558</v>
      </c>
      <c r="N67" s="13">
        <v>8</v>
      </c>
      <c r="O67" s="14">
        <f t="shared" si="3"/>
        <v>-3.4855875831485577</v>
      </c>
      <c r="P67" s="13" t="str">
        <f ca="1">IFERROR(__xludf.DUMMYFUNCTION("IFERROR(
  AVERAGE(
    FILTER(
      $AA$2:$AA67,
      $A$2:$A67 &gt;= #REF! - 30,
      $A$2:$A67 &lt;= #REF!,
      $AA$2:$AA67 &gt; 0
    )
  ),
"""")"),"")</f>
        <v/>
      </c>
      <c r="Q67" s="10"/>
      <c r="R67" s="10">
        <v>7056</v>
      </c>
      <c r="S67" s="10">
        <v>622</v>
      </c>
      <c r="T67" s="11">
        <f t="shared" si="4"/>
        <v>8.8151927437641717</v>
      </c>
      <c r="U67" s="13">
        <v>8</v>
      </c>
      <c r="V67" s="14">
        <f t="shared" si="5"/>
        <v>-0.81519274376417172</v>
      </c>
      <c r="W67" s="13" t="str">
        <f ca="1">IFERROR(__xludf.DUMMYFUNCTION("IFERROR(
  AVERAGE(
    FILTER(
      $AA$2:$AA67,
      $A$2:$A67 &gt;= #REF! - 30,
      $A$2:$A67 &lt;= #REF!,
      $AA$2:$AA67 &gt; 0
    )
  ),
"""")"),"")</f>
        <v/>
      </c>
      <c r="X67" s="10"/>
      <c r="Y67" s="10">
        <f t="shared" si="6"/>
        <v>11566</v>
      </c>
      <c r="Z67" s="10">
        <f t="shared" si="7"/>
        <v>1252</v>
      </c>
      <c r="AA67" s="11">
        <f t="shared" si="8"/>
        <v>10.824831402386305</v>
      </c>
      <c r="AB67" s="13">
        <v>8</v>
      </c>
      <c r="AC67" s="14">
        <f t="shared" si="9"/>
        <v>-2.8248314023863053</v>
      </c>
      <c r="AD67" s="13">
        <f ca="1">IFERROR(__xludf.DUMMYFUNCTION("IFERROR(
  AVERAGE(
    FILTER(
      $AA$2:$AA67,
      $A$2:$A67 &gt;= A67 - 30,
      $A$2:$A67 &lt;= A67,
      $AA$2:$AA67 &gt; 0
    )
  ),
"""")"),9.17731798360424)</f>
        <v>9.1773179836042402</v>
      </c>
      <c r="AE67" s="14"/>
    </row>
    <row r="68" spans="1:31" x14ac:dyDescent="0.25">
      <c r="A68" s="9">
        <v>45967</v>
      </c>
      <c r="B68" s="10"/>
      <c r="C68" s="10">
        <v>1855</v>
      </c>
      <c r="D68" s="10">
        <v>91</v>
      </c>
      <c r="E68" s="11">
        <f t="shared" si="0"/>
        <v>4.9056603773584913</v>
      </c>
      <c r="F68" s="13">
        <v>6</v>
      </c>
      <c r="G68" s="14">
        <f t="shared" si="1"/>
        <v>1.0943396226415087</v>
      </c>
      <c r="H68" s="13">
        <f ca="1">IFERROR(__xludf.DUMMYFUNCTION("IFERROR(
  AVERAGE(
    FILTER(
      $E$2:$E68,
      $A$2:$A68&gt;=A68-30,
      $A$2:$A68&lt;=A68,
      $E$2:$E68&gt;0
    )
  ),
  """"
)"),7.59379371303036)</f>
        <v>7.5937937130303599</v>
      </c>
      <c r="I68" s="14"/>
      <c r="J68" s="10"/>
      <c r="K68" s="10">
        <v>6161</v>
      </c>
      <c r="L68" s="10">
        <v>561</v>
      </c>
      <c r="M68" s="11">
        <f t="shared" si="2"/>
        <v>9.1056646648271382</v>
      </c>
      <c r="N68" s="13">
        <v>8</v>
      </c>
      <c r="O68" s="14">
        <f t="shared" si="3"/>
        <v>-1.1056646648271382</v>
      </c>
      <c r="P68" s="13" t="str">
        <f ca="1">IFERROR(__xludf.DUMMYFUNCTION("IFERROR(
  AVERAGE(
    FILTER(
      $AA$2:$AA68,
      $A$2:$A68 &gt;= #REF! - 30,
      $A$2:$A68 &lt;= #REF!,
      $AA$2:$AA68 &gt; 0
    )
  ),
"""")"),"")</f>
        <v/>
      </c>
      <c r="Q68" s="10"/>
      <c r="R68" s="10">
        <v>5056</v>
      </c>
      <c r="S68" s="10">
        <v>412</v>
      </c>
      <c r="T68" s="11">
        <f t="shared" si="4"/>
        <v>8.1487341772151911</v>
      </c>
      <c r="U68" s="13">
        <v>8</v>
      </c>
      <c r="V68" s="14">
        <f t="shared" si="5"/>
        <v>-0.14873417721519111</v>
      </c>
      <c r="W68" s="13" t="str">
        <f ca="1">IFERROR(__xludf.DUMMYFUNCTION("IFERROR(
  AVERAGE(
    FILTER(
      $AA$2:$AA68,
      $A$2:$A68 &gt;= #REF! - 30,
      $A$2:$A68 &lt;= #REF!,
      $AA$2:$AA68 &gt; 0
    )
  ),
"""")"),"")</f>
        <v/>
      </c>
      <c r="X68" s="10"/>
      <c r="Y68" s="10">
        <f t="shared" si="6"/>
        <v>11217</v>
      </c>
      <c r="Z68" s="10">
        <f t="shared" si="7"/>
        <v>1064</v>
      </c>
      <c r="AA68" s="11">
        <f t="shared" si="8"/>
        <v>9.485602210929839</v>
      </c>
      <c r="AB68" s="13">
        <v>8</v>
      </c>
      <c r="AC68" s="14">
        <f t="shared" si="9"/>
        <v>-1.485602210929839</v>
      </c>
      <c r="AD68" s="13">
        <f ca="1">IFERROR(__xludf.DUMMYFUNCTION("IFERROR(
  AVERAGE(
    FILTER(
      $AA$2:$AA68,
      $A$2:$A68 &gt;= A68 - 30,
      $A$2:$A68 &lt;= A68,
      $AA$2:$AA68 &gt; 0
    )
  ),
"""")"),9.21630822986733)</f>
        <v>9.2163082298673302</v>
      </c>
      <c r="AE68" s="14"/>
    </row>
    <row r="69" spans="1:31" x14ac:dyDescent="0.25">
      <c r="A69" s="9">
        <v>45968</v>
      </c>
      <c r="B69" s="10"/>
      <c r="C69" s="10">
        <v>1587</v>
      </c>
      <c r="D69" s="10">
        <v>90</v>
      </c>
      <c r="E69" s="11">
        <f t="shared" si="0"/>
        <v>5.6710775047258979</v>
      </c>
      <c r="F69" s="13">
        <v>6</v>
      </c>
      <c r="G69" s="14">
        <f t="shared" si="1"/>
        <v>0.32892249527410211</v>
      </c>
      <c r="H69" s="13">
        <f ca="1">IFERROR(__xludf.DUMMYFUNCTION("IFERROR(
  AVERAGE(
    FILTER(
      $E$2:$E69,
      $A$2:$A69&gt;=A69-30,
      $A$2:$A69&lt;=A69,
      $E$2:$E69&gt;0
    )
  ),
  """"
)"),7.46850548519015)</f>
        <v>7.4685054851901498</v>
      </c>
      <c r="I69" s="14"/>
      <c r="J69" s="10"/>
      <c r="K69" s="10">
        <v>7915</v>
      </c>
      <c r="L69" s="10">
        <v>501</v>
      </c>
      <c r="M69" s="11">
        <f t="shared" si="2"/>
        <v>6.3297536323436514</v>
      </c>
      <c r="N69" s="13">
        <v>8</v>
      </c>
      <c r="O69" s="14">
        <f t="shared" si="3"/>
        <v>1.6702463676563486</v>
      </c>
      <c r="P69" s="13" t="str">
        <f ca="1">IFERROR(__xludf.DUMMYFUNCTION("IFERROR(
  AVERAGE(
    FILTER(
      $AA$2:$AA69,
      $A$2:$A69 &gt;= #REF! - 30,
      $A$2:$A69 &lt;= #REF!,
      $AA$2:$AA69 &gt; 0
    )
  ),
"""")"),"")</f>
        <v/>
      </c>
      <c r="Q69" s="10"/>
      <c r="R69" s="10">
        <v>8024</v>
      </c>
      <c r="S69" s="10">
        <v>725</v>
      </c>
      <c r="T69" s="11">
        <f t="shared" si="4"/>
        <v>9.0353938185443674</v>
      </c>
      <c r="U69" s="13">
        <v>8</v>
      </c>
      <c r="V69" s="14">
        <f t="shared" si="5"/>
        <v>-1.0353938185443674</v>
      </c>
      <c r="W69" s="13" t="str">
        <f ca="1">IFERROR(__xludf.DUMMYFUNCTION("IFERROR(
  AVERAGE(
    FILTER(
      $AA$2:$AA69,
      $A$2:$A69 &gt;= #REF! - 30,
      $A$2:$A69 &lt;= #REF!,
      $AA$2:$AA69 &gt; 0
    )
  ),
"""")"),"")</f>
        <v/>
      </c>
      <c r="X69" s="10"/>
      <c r="Y69" s="10">
        <f t="shared" si="6"/>
        <v>15939</v>
      </c>
      <c r="Z69" s="10">
        <f t="shared" si="7"/>
        <v>1316</v>
      </c>
      <c r="AA69" s="11">
        <f t="shared" si="8"/>
        <v>8.2564778216952135</v>
      </c>
      <c r="AB69" s="13">
        <v>8</v>
      </c>
      <c r="AC69" s="14">
        <f t="shared" si="9"/>
        <v>-0.25647782169521349</v>
      </c>
      <c r="AD69" s="13">
        <f ca="1">IFERROR(__xludf.DUMMYFUNCTION("IFERROR(
  AVERAGE(
    FILTER(
      $AA$2:$AA69,
      $A$2:$A69 &gt;= A69 - 30,
      $A$2:$A69 &lt;= A69,
      $AA$2:$AA69 &gt; 0
    )
  ),
"""")"),9.21578319240109)</f>
        <v>9.2157831924010907</v>
      </c>
      <c r="AE69" s="14"/>
    </row>
    <row r="70" spans="1:31" x14ac:dyDescent="0.25">
      <c r="A70" s="9">
        <v>45969</v>
      </c>
      <c r="B70" s="10"/>
      <c r="C70" s="10">
        <v>1860</v>
      </c>
      <c r="D70" s="10">
        <v>132</v>
      </c>
      <c r="E70" s="11">
        <f t="shared" si="0"/>
        <v>7.096774193548387</v>
      </c>
      <c r="F70" s="13">
        <v>6</v>
      </c>
      <c r="G70" s="14">
        <f t="shared" si="1"/>
        <v>-1.096774193548387</v>
      </c>
      <c r="H70" s="13">
        <f ca="1">IFERROR(__xludf.DUMMYFUNCTION("IFERROR(
  AVERAGE(
    FILTER(
      $E$2:$E70,
      $A$2:$A70&gt;=A70-30,
      $A$2:$A70&lt;=A70,
      $E$2:$E70&gt;0
    )
  ),
  """"
)"),7.52443894961062)</f>
        <v>7.5244389496106203</v>
      </c>
      <c r="I70" s="14"/>
      <c r="J70" s="10"/>
      <c r="K70" s="10">
        <v>4660</v>
      </c>
      <c r="L70" s="10">
        <v>410</v>
      </c>
      <c r="M70" s="11">
        <f t="shared" si="2"/>
        <v>8.7982832618025757</v>
      </c>
      <c r="N70" s="13">
        <v>8</v>
      </c>
      <c r="O70" s="14">
        <f t="shared" si="3"/>
        <v>-0.79828326180257569</v>
      </c>
      <c r="P70" s="13" t="str">
        <f ca="1">IFERROR(__xludf.DUMMYFUNCTION("IFERROR(
  AVERAGE(
    FILTER(
      $AA$2:$AA70,
      $A$2:$A70 &gt;= #REF! - 30,
      $A$2:$A70 &lt;= #REF!,
      $AA$2:$AA70 &gt; 0
    )
  ),
"""")"),"")</f>
        <v/>
      </c>
      <c r="Q70" s="10"/>
      <c r="R70" s="10">
        <v>10682</v>
      </c>
      <c r="S70" s="10">
        <v>858</v>
      </c>
      <c r="T70" s="11">
        <f t="shared" si="4"/>
        <v>8.0322037071709413</v>
      </c>
      <c r="U70" s="13">
        <v>8</v>
      </c>
      <c r="V70" s="14">
        <f t="shared" si="5"/>
        <v>-3.2203707170941342E-2</v>
      </c>
      <c r="W70" s="13" t="str">
        <f ca="1">IFERROR(__xludf.DUMMYFUNCTION("IFERROR(
  AVERAGE(
    FILTER(
      $AA$2:$AA70,
      $A$2:$A70 &gt;= #REF! - 30,
      $A$2:$A70 &lt;= #REF!,
      $AA$2:$AA70 &gt; 0
    )
  ),
"""")"),"")</f>
        <v/>
      </c>
      <c r="X70" s="10"/>
      <c r="Y70" s="10">
        <f t="shared" si="6"/>
        <v>15342</v>
      </c>
      <c r="Z70" s="10">
        <f t="shared" si="7"/>
        <v>1400</v>
      </c>
      <c r="AA70" s="11">
        <f t="shared" si="8"/>
        <v>9.1252770173380267</v>
      </c>
      <c r="AB70" s="13">
        <v>8</v>
      </c>
      <c r="AC70" s="14">
        <f t="shared" si="9"/>
        <v>-1.1252770173380267</v>
      </c>
      <c r="AD70" s="13">
        <f ca="1">IFERROR(__xludf.DUMMYFUNCTION("IFERROR(
  AVERAGE(
    FILTER(
      $AA$2:$AA70,
      $A$2:$A70 &gt;= A70 - 30,
      $A$2:$A70 &lt;= A70,
      $AA$2:$AA70 &gt; 0
    )
  ),
"""")"),9.17208703376676)</f>
        <v>9.1720870337667595</v>
      </c>
      <c r="AE70" s="14"/>
    </row>
    <row r="71" spans="1:31" x14ac:dyDescent="0.25">
      <c r="A71" s="9">
        <v>45970</v>
      </c>
      <c r="B71" s="10"/>
      <c r="C71" s="10">
        <v>0</v>
      </c>
      <c r="D71" s="10">
        <v>0</v>
      </c>
      <c r="E71" s="11" t="e">
        <f t="shared" si="0"/>
        <v>#DIV/0!</v>
      </c>
      <c r="F71" s="13">
        <v>6</v>
      </c>
      <c r="G71" s="14" t="e">
        <f t="shared" si="1"/>
        <v>#DIV/0!</v>
      </c>
      <c r="H71" s="13">
        <f ca="1">IFERROR(__xludf.DUMMYFUNCTION("IFERROR(
  AVERAGE(
    FILTER(
      $E$2:$E71,
      $A$2:$A71&gt;=A71-30,
      $A$2:$A71&lt;=A71,
      $E$2:$E71&gt;0
    )
  ),
  """"
)"),7.52921318158312)</f>
        <v>7.5292131815831196</v>
      </c>
      <c r="I71" s="14"/>
      <c r="J71" s="10"/>
      <c r="K71" s="10">
        <v>960</v>
      </c>
      <c r="L71" s="10">
        <v>112</v>
      </c>
      <c r="M71" s="11">
        <f t="shared" si="2"/>
        <v>11.666666666666666</v>
      </c>
      <c r="N71" s="13">
        <v>8</v>
      </c>
      <c r="O71" s="14">
        <f t="shared" si="3"/>
        <v>-3.6666666666666661</v>
      </c>
      <c r="P71" s="13" t="str">
        <f ca="1">IFERROR(__xludf.DUMMYFUNCTION("IFERROR(
  AVERAGE(
    FILTER(
      $AA$2:$AA71,
      $A$2:$A71 &gt;= #REF! - 30,
      $A$2:$A71 &lt;= #REF!,
      $AA$2:$AA71 &gt; 0
    )
  ),
"""")"),"")</f>
        <v/>
      </c>
      <c r="Q71" s="10"/>
      <c r="R71" s="10">
        <v>10682</v>
      </c>
      <c r="S71" s="10">
        <v>858</v>
      </c>
      <c r="T71" s="11">
        <f t="shared" si="4"/>
        <v>8.0322037071709413</v>
      </c>
      <c r="U71" s="13">
        <v>8</v>
      </c>
      <c r="V71" s="14">
        <f t="shared" si="5"/>
        <v>-3.2203707170941342E-2</v>
      </c>
      <c r="W71" s="13" t="str">
        <f ca="1">IFERROR(__xludf.DUMMYFUNCTION("IFERROR(
  AVERAGE(
    FILTER(
      $AA$2:$AA71,
      $A$2:$A71 &gt;= #REF! - 30,
      $A$2:$A71 &lt;= #REF!,
      $AA$2:$AA71 &gt; 0
    )
  ),
"""")"),"")</f>
        <v/>
      </c>
      <c r="X71" s="10"/>
      <c r="Y71" s="10">
        <f t="shared" si="6"/>
        <v>11642</v>
      </c>
      <c r="Z71" s="10">
        <f t="shared" si="7"/>
        <v>970</v>
      </c>
      <c r="AA71" s="11">
        <f t="shared" si="8"/>
        <v>8.3319017350970626</v>
      </c>
      <c r="AB71" s="13">
        <v>8</v>
      </c>
      <c r="AC71" s="14">
        <f t="shared" si="9"/>
        <v>-0.33190173509706256</v>
      </c>
      <c r="AD71" s="13">
        <f ca="1">IFERROR(__xludf.DUMMYFUNCTION("IFERROR(
  AVERAGE(
    FILTER(
      $AA$2:$AA71,
      $A$2:$A71 &gt;= A71 - 30,
      $A$2:$A71 &lt;= A71,
      $AA$2:$AA71 &gt; 0
    )
  ),
"""")"),9.17420757054715)</f>
        <v>9.17420757054715</v>
      </c>
      <c r="AE71" s="14"/>
    </row>
    <row r="72" spans="1:31" x14ac:dyDescent="0.25">
      <c r="A72" s="9">
        <v>45971</v>
      </c>
      <c r="B72" s="10"/>
      <c r="C72" s="10">
        <v>2142</v>
      </c>
      <c r="D72" s="10">
        <v>204</v>
      </c>
      <c r="E72" s="11">
        <f t="shared" si="0"/>
        <v>9.5238095238095237</v>
      </c>
      <c r="F72" s="13">
        <v>6</v>
      </c>
      <c r="G72" s="14">
        <f t="shared" si="1"/>
        <v>-3.5238095238095237</v>
      </c>
      <c r="H72" s="13">
        <f ca="1">IFERROR(__xludf.DUMMYFUNCTION("IFERROR(
  AVERAGE(
    FILTER(
      $E$2:$E72,
      $A$2:$A72&gt;=A72-30,
      $A$2:$A72&lt;=A72,
      $E$2:$E72&gt;0
    )
  ),
  """"
)"),7.71245484453342)</f>
        <v>7.7124548445334202</v>
      </c>
      <c r="I72" s="14"/>
      <c r="J72" s="10"/>
      <c r="K72" s="10">
        <v>1345</v>
      </c>
      <c r="L72" s="10">
        <v>72</v>
      </c>
      <c r="M72" s="11">
        <f t="shared" si="2"/>
        <v>5.3531598513011156</v>
      </c>
      <c r="N72" s="13">
        <v>8</v>
      </c>
      <c r="O72" s="14">
        <f t="shared" si="3"/>
        <v>2.6468401486988844</v>
      </c>
      <c r="P72" s="13" t="str">
        <f ca="1">IFERROR(__xludf.DUMMYFUNCTION("IFERROR(
  AVERAGE(
    FILTER(
      $AA$2:$AA72,
      $A$2:$A72 &gt;= #REF! - 30,
      $A$2:$A72 &lt;= #REF!,
      $AA$2:$AA72 &gt; 0
    )
  ),
"""")"),"")</f>
        <v/>
      </c>
      <c r="Q72" s="10"/>
      <c r="R72" s="10">
        <v>13545</v>
      </c>
      <c r="S72" s="10">
        <v>1065</v>
      </c>
      <c r="T72" s="11">
        <f t="shared" si="4"/>
        <v>7.8626799557032108</v>
      </c>
      <c r="U72" s="13">
        <v>8</v>
      </c>
      <c r="V72" s="14">
        <f t="shared" si="5"/>
        <v>0.13732004429678923</v>
      </c>
      <c r="W72" s="13" t="str">
        <f ca="1">IFERROR(__xludf.DUMMYFUNCTION("IFERROR(
  AVERAGE(
    FILTER(
      $AA$2:$AA72,
      $A$2:$A72 &gt;= #REF! - 30,
      $A$2:$A72 &lt;= #REF!,
      $AA$2:$AA72 &gt; 0
    )
  ),
"""")"),"")</f>
        <v/>
      </c>
      <c r="X72" s="10"/>
      <c r="Y72" s="10">
        <f t="shared" si="6"/>
        <v>14890</v>
      </c>
      <c r="Z72" s="10">
        <f t="shared" si="7"/>
        <v>1341</v>
      </c>
      <c r="AA72" s="11">
        <f t="shared" si="8"/>
        <v>9.0060443250503699</v>
      </c>
      <c r="AB72" s="13">
        <v>8</v>
      </c>
      <c r="AC72" s="14">
        <f t="shared" si="9"/>
        <v>-1.0060443250503699</v>
      </c>
      <c r="AD72" s="13">
        <f ca="1">IFERROR(__xludf.DUMMYFUNCTION("IFERROR(
  AVERAGE(
    FILTER(
      $AA$2:$AA72,
      $A$2:$A72 &gt;= A72 - 30,
      $A$2:$A72 &lt;= A72,
      $AA$2:$AA72 &gt; 0
    )
  ),
"""")"),9.20524399189108)</f>
        <v>9.2052439918910807</v>
      </c>
      <c r="AE72" s="14"/>
    </row>
    <row r="73" spans="1:31" x14ac:dyDescent="0.25">
      <c r="A73" s="9">
        <v>45972</v>
      </c>
      <c r="B73" s="10"/>
      <c r="C73" s="10">
        <v>1567</v>
      </c>
      <c r="D73" s="10">
        <v>101</v>
      </c>
      <c r="E73" s="11">
        <f t="shared" si="0"/>
        <v>6.4454371410338229</v>
      </c>
      <c r="F73" s="13">
        <v>6</v>
      </c>
      <c r="G73" s="14">
        <f t="shared" si="1"/>
        <v>-0.44543714103382293</v>
      </c>
      <c r="H73" s="13">
        <f ca="1">IFERROR(__xludf.DUMMYFUNCTION("IFERROR(
  AVERAGE(
    FILTER(
      $E$2:$E73,
      $A$2:$A73&gt;=A73-30,
      $A$2:$A73&lt;=A73,
      $E$2:$E73&gt;0
    )
  ),
  """"
)"),7.65514627975461)</f>
        <v>7.6551462797546099</v>
      </c>
      <c r="I73" s="14"/>
      <c r="J73" s="10"/>
      <c r="K73" s="10">
        <v>4141</v>
      </c>
      <c r="L73" s="10">
        <v>327</v>
      </c>
      <c r="M73" s="11">
        <f t="shared" si="2"/>
        <v>7.8966433228688722</v>
      </c>
      <c r="N73" s="13">
        <v>8</v>
      </c>
      <c r="O73" s="14">
        <f t="shared" si="3"/>
        <v>0.10335667713112784</v>
      </c>
      <c r="P73" s="13" t="str">
        <f ca="1">IFERROR(__xludf.DUMMYFUNCTION("IFERROR(
  AVERAGE(
    FILTER(
      $AA$2:$AA73,
      $A$2:$A73 &gt;= #REF! - 30,
      $A$2:$A73 &lt;= #REF!,
      $AA$2:$AA73 &gt; 0
    )
  ),
"""")"),"")</f>
        <v/>
      </c>
      <c r="Q73" s="10"/>
      <c r="R73" s="10">
        <v>6327</v>
      </c>
      <c r="S73" s="10">
        <v>645</v>
      </c>
      <c r="T73" s="11">
        <f t="shared" si="4"/>
        <v>10.194404931247036</v>
      </c>
      <c r="U73" s="13">
        <v>8</v>
      </c>
      <c r="V73" s="14">
        <f t="shared" si="5"/>
        <v>-2.1944049312470355</v>
      </c>
      <c r="W73" s="13" t="str">
        <f ca="1">IFERROR(__xludf.DUMMYFUNCTION("IFERROR(
  AVERAGE(
    FILTER(
      $AA$2:$AA73,
      $A$2:$A73 &gt;= #REF! - 30,
      $A$2:$A73 &lt;= #REF!,
      $AA$2:$AA73 &gt; 0
    )
  ),
"""")"),"")</f>
        <v/>
      </c>
      <c r="X73" s="10"/>
      <c r="Y73" s="10">
        <f t="shared" si="6"/>
        <v>10468</v>
      </c>
      <c r="Z73" s="10">
        <f t="shared" si="7"/>
        <v>1073</v>
      </c>
      <c r="AA73" s="11">
        <f t="shared" si="8"/>
        <v>10.250286587695836</v>
      </c>
      <c r="AB73" s="13">
        <v>8</v>
      </c>
      <c r="AC73" s="14">
        <f t="shared" si="9"/>
        <v>-2.250286587695836</v>
      </c>
      <c r="AD73" s="13">
        <f ca="1">IFERROR(__xludf.DUMMYFUNCTION("IFERROR(
  AVERAGE(
    FILTER(
      $AA$2:$AA73,
      $A$2:$A73 &gt;= A73 - 30,
      $A$2:$A73 &lt;= A73,
      $AA$2:$AA73 &gt; 0
    )
  ),
"""")"),9.21860705123579)</f>
        <v>9.2186070512357894</v>
      </c>
      <c r="AE73" s="14"/>
    </row>
    <row r="74" spans="1:31" x14ac:dyDescent="0.25">
      <c r="A74" s="9">
        <v>45973</v>
      </c>
      <c r="B74" s="10"/>
      <c r="C74" s="10">
        <v>2355</v>
      </c>
      <c r="D74" s="10">
        <v>130</v>
      </c>
      <c r="E74" s="11">
        <f t="shared" si="0"/>
        <v>5.520169851380043</v>
      </c>
      <c r="F74" s="13">
        <v>6</v>
      </c>
      <c r="G74" s="14">
        <f t="shared" si="1"/>
        <v>0.47983014861995699</v>
      </c>
      <c r="H74" s="13">
        <f ca="1">IFERROR(__xludf.DUMMYFUNCTION("IFERROR(
  AVERAGE(
    FILTER(
      $E$2:$E74,
      $A$2:$A74&gt;=A74-30,
      $A$2:$A74&lt;=A74,
      $E$2:$E74&gt;0
    )
  ),
  """"
)"),7.5730318017402)</f>
        <v>7.5730318017401999</v>
      </c>
      <c r="I74" s="14"/>
      <c r="J74" s="10"/>
      <c r="K74" s="10">
        <v>2937</v>
      </c>
      <c r="L74" s="10">
        <v>109</v>
      </c>
      <c r="M74" s="11">
        <f t="shared" si="2"/>
        <v>3.7112700034048345</v>
      </c>
      <c r="N74" s="13">
        <v>8</v>
      </c>
      <c r="O74" s="14">
        <f t="shared" si="3"/>
        <v>4.2887299965951655</v>
      </c>
      <c r="P74" s="13" t="str">
        <f ca="1">IFERROR(__xludf.DUMMYFUNCTION("IFERROR(
  AVERAGE(
    FILTER(
      $AA$2:$AA74,
      $A$2:$A74 &gt;= #REF! - 30,
      $A$2:$A74 &lt;= #REF!,
      $AA$2:$AA74 &gt; 0
    )
  ),
"""")"),"")</f>
        <v/>
      </c>
      <c r="Q74" s="10"/>
      <c r="R74" s="10">
        <v>7291</v>
      </c>
      <c r="S74" s="10">
        <v>469</v>
      </c>
      <c r="T74" s="11">
        <f t="shared" si="4"/>
        <v>6.4325881223426142</v>
      </c>
      <c r="U74" s="13">
        <v>8</v>
      </c>
      <c r="V74" s="14">
        <f t="shared" si="5"/>
        <v>1.5674118776573858</v>
      </c>
      <c r="W74" s="13" t="str">
        <f ca="1">IFERROR(__xludf.DUMMYFUNCTION("IFERROR(
  AVERAGE(
    FILTER(
      $AA$2:$AA74,
      $A$2:$A74 &gt;= #REF! - 30,
      $A$2:$A74 &lt;= #REF!,
      $AA$2:$AA74 &gt; 0
    )
  ),
"""")"),"")</f>
        <v/>
      </c>
      <c r="X74" s="10"/>
      <c r="Y74" s="10">
        <f t="shared" si="6"/>
        <v>10228</v>
      </c>
      <c r="Z74" s="10">
        <f t="shared" si="7"/>
        <v>708</v>
      </c>
      <c r="AA74" s="11">
        <f t="shared" si="8"/>
        <v>6.9221744231521321</v>
      </c>
      <c r="AB74" s="13">
        <v>8</v>
      </c>
      <c r="AC74" s="14">
        <f t="shared" si="9"/>
        <v>1.0778255768478679</v>
      </c>
      <c r="AD74" s="13">
        <f ca="1">IFERROR(__xludf.DUMMYFUNCTION("IFERROR(
  AVERAGE(
    FILTER(
      $AA$2:$AA74,
      $A$2:$A74 &gt;= A74 - 30,
      $A$2:$A74 &lt;= A74,
      $AA$2:$AA74 &gt; 0
    )
  ),
"""")"),9.20557301372454)</f>
        <v>9.2055730137245408</v>
      </c>
      <c r="AE74" s="14"/>
    </row>
    <row r="75" spans="1:31" x14ac:dyDescent="0.25">
      <c r="A75" s="9">
        <v>45974</v>
      </c>
      <c r="B75" s="10"/>
      <c r="C75" s="10">
        <v>2420</v>
      </c>
      <c r="D75" s="10">
        <v>100</v>
      </c>
      <c r="E75" s="11">
        <f t="shared" si="0"/>
        <v>4.1322314049586781</v>
      </c>
      <c r="F75" s="13">
        <v>6</v>
      </c>
      <c r="G75" s="14">
        <f t="shared" si="1"/>
        <v>1.8677685950413219</v>
      </c>
      <c r="H75" s="13">
        <f ca="1">IFERROR(__xludf.DUMMYFUNCTION("IFERROR(
  AVERAGE(
    FILTER(
      $E$2:$E75,
      $A$2:$A75&gt;=A75-30,
      $A$2:$A75&lt;=A75,
      $E$2:$E75&gt;0
    )
  ),
  """"
)"),7.58021076995813)</f>
        <v>7.5802107699581303</v>
      </c>
      <c r="I75" s="14"/>
      <c r="J75" s="10"/>
      <c r="K75" s="10">
        <v>4175</v>
      </c>
      <c r="L75" s="10">
        <v>375</v>
      </c>
      <c r="M75" s="11">
        <f t="shared" si="2"/>
        <v>8.9820359281437128</v>
      </c>
      <c r="N75" s="13">
        <v>8</v>
      </c>
      <c r="O75" s="14">
        <f t="shared" si="3"/>
        <v>-0.98203592814371277</v>
      </c>
      <c r="P75" s="13" t="str">
        <f ca="1">IFERROR(__xludf.DUMMYFUNCTION("IFERROR(
  AVERAGE(
    FILTER(
      $AA$2:$AA75,
      $A$2:$A75 &gt;= #REF! - 30,
      $A$2:$A75 &lt;= #REF!,
      $AA$2:$AA75 &gt; 0
    )
  ),
"""")"),"")</f>
        <v/>
      </c>
      <c r="Q75" s="10"/>
      <c r="R75" s="10">
        <v>8201</v>
      </c>
      <c r="S75" s="10">
        <v>633</v>
      </c>
      <c r="T75" s="11">
        <f t="shared" si="4"/>
        <v>7.7185709059870753</v>
      </c>
      <c r="U75" s="13">
        <v>8</v>
      </c>
      <c r="V75" s="14">
        <f t="shared" si="5"/>
        <v>0.28142909401292471</v>
      </c>
      <c r="W75" s="13" t="str">
        <f ca="1">IFERROR(__xludf.DUMMYFUNCTION("IFERROR(
  AVERAGE(
    FILTER(
      $AA$2:$AA75,
      $A$2:$A75 &gt;= #REF! - 30,
      $A$2:$A75 &lt;= #REF!,
      $AA$2:$AA75 &gt; 0
    )
  ),
"""")"),"")</f>
        <v/>
      </c>
      <c r="X75" s="10"/>
      <c r="Y75" s="10">
        <f t="shared" si="6"/>
        <v>12376</v>
      </c>
      <c r="Z75" s="10">
        <f t="shared" si="7"/>
        <v>1108</v>
      </c>
      <c r="AA75" s="11">
        <f t="shared" si="8"/>
        <v>8.9528118939883647</v>
      </c>
      <c r="AB75" s="13">
        <v>8</v>
      </c>
      <c r="AC75" s="14">
        <f t="shared" si="9"/>
        <v>-0.95281189398836474</v>
      </c>
      <c r="AD75" s="13">
        <f ca="1">IFERROR(__xludf.DUMMYFUNCTION("IFERROR(
  AVERAGE(
    FILTER(
      $AA$2:$AA75,
      $A$2:$A75 &gt;= A75 - 30,
      $A$2:$A75 &lt;= A75,
      $AA$2:$AA75 &gt; 0
    )
  ),
"""")"),9.22331071949871)</f>
        <v>9.2233107194987092</v>
      </c>
      <c r="AE75" s="14"/>
    </row>
    <row r="76" spans="1:31" x14ac:dyDescent="0.25">
      <c r="A76" s="9">
        <v>45975</v>
      </c>
      <c r="B76" s="10"/>
      <c r="C76" s="10">
        <v>1954</v>
      </c>
      <c r="D76" s="10">
        <v>65</v>
      </c>
      <c r="E76" s="11">
        <f t="shared" si="0"/>
        <v>3.3265097236438077</v>
      </c>
      <c r="F76" s="13">
        <v>6</v>
      </c>
      <c r="G76" s="14">
        <f t="shared" si="1"/>
        <v>2.6734902763561923</v>
      </c>
      <c r="H76" s="13">
        <f ca="1">IFERROR(__xludf.DUMMYFUNCTION("IFERROR(
  AVERAGE(
    FILTER(
      $E$2:$E76,
      $A$2:$A76&gt;=A76-30,
      $A$2:$A76&lt;=A76,
      $E$2:$E76&gt;0
    )
  ),
  """"
)"),7.40626665918391)</f>
        <v>7.4062666591839097</v>
      </c>
      <c r="I76" s="14"/>
      <c r="J76" s="10"/>
      <c r="K76" s="10">
        <v>2040</v>
      </c>
      <c r="L76" s="10">
        <v>146</v>
      </c>
      <c r="M76" s="11">
        <f t="shared" si="2"/>
        <v>7.1568627450980387</v>
      </c>
      <c r="N76" s="13">
        <v>8</v>
      </c>
      <c r="O76" s="14">
        <f t="shared" si="3"/>
        <v>0.84313725490196134</v>
      </c>
      <c r="P76" s="13" t="str">
        <f ca="1">IFERROR(__xludf.DUMMYFUNCTION("IFERROR(
  AVERAGE(
    FILTER(
      $AA$2:$AA76,
      $A$2:$A76 &gt;= #REF! - 30,
      $A$2:$A76 &lt;= #REF!,
      $AA$2:$AA76 &gt; 0
    )
  ),
"""")"),"")</f>
        <v/>
      </c>
      <c r="Q76" s="10"/>
      <c r="R76" s="10">
        <v>10501</v>
      </c>
      <c r="S76" s="10">
        <v>1036</v>
      </c>
      <c r="T76" s="11">
        <f t="shared" si="4"/>
        <v>9.865727073612037</v>
      </c>
      <c r="U76" s="13">
        <v>8</v>
      </c>
      <c r="V76" s="14">
        <f t="shared" si="5"/>
        <v>-1.865727073612037</v>
      </c>
      <c r="W76" s="13" t="str">
        <f ca="1">IFERROR(__xludf.DUMMYFUNCTION("IFERROR(
  AVERAGE(
    FILTER(
      $AA$2:$AA76,
      $A$2:$A76 &gt;= #REF! - 30,
      $A$2:$A76 &lt;= #REF!,
      $AA$2:$AA76 &gt; 0
    )
  ),
"""")"),"")</f>
        <v/>
      </c>
      <c r="X76" s="10"/>
      <c r="Y76" s="10">
        <f t="shared" si="6"/>
        <v>12541</v>
      </c>
      <c r="Z76" s="10">
        <f t="shared" si="7"/>
        <v>1247</v>
      </c>
      <c r="AA76" s="11">
        <f t="shared" si="8"/>
        <v>9.9433856949206607</v>
      </c>
      <c r="AB76" s="13">
        <v>8</v>
      </c>
      <c r="AC76" s="14">
        <f t="shared" si="9"/>
        <v>-1.9433856949206607</v>
      </c>
      <c r="AD76" s="13">
        <f ca="1">IFERROR(__xludf.DUMMYFUNCTION("IFERROR(
  AVERAGE(
    FILTER(
      $AA$2:$AA76,
      $A$2:$A76 &gt;= A76 - 30,
      $A$2:$A76 &lt;= A76,
      $AA$2:$AA76 &gt; 0
    )
  ),
"""")"),9.19958281122041)</f>
        <v>9.1995828112204094</v>
      </c>
      <c r="AE76" s="14"/>
    </row>
    <row r="77" spans="1:31" x14ac:dyDescent="0.25">
      <c r="A77" s="9">
        <v>45976</v>
      </c>
      <c r="B77" s="10"/>
      <c r="C77" s="10">
        <v>1932</v>
      </c>
      <c r="D77" s="10">
        <v>276</v>
      </c>
      <c r="E77" s="11">
        <f t="shared" si="0"/>
        <v>14.285714285714285</v>
      </c>
      <c r="F77" s="13">
        <v>6</v>
      </c>
      <c r="G77" s="14">
        <f t="shared" si="1"/>
        <v>-8.2857142857142847</v>
      </c>
      <c r="H77" s="13">
        <f ca="1">IFERROR(__xludf.DUMMYFUNCTION("IFERROR(
  AVERAGE(
    FILTER(
      $E$2:$E77,
      $A$2:$A77&gt;=A77-30,
      $A$2:$A77&lt;=A77,
      $E$2:$E77&gt;0
    )
  ),
  """"
)"),7.72842833868631)</f>
        <v>7.7284283386863102</v>
      </c>
      <c r="I77" s="14"/>
      <c r="J77" s="10"/>
      <c r="K77" s="10">
        <v>1030</v>
      </c>
      <c r="L77" s="10">
        <v>57</v>
      </c>
      <c r="M77" s="11">
        <f t="shared" si="2"/>
        <v>5.5339805825242721</v>
      </c>
      <c r="N77" s="13">
        <v>8</v>
      </c>
      <c r="O77" s="14">
        <f t="shared" si="3"/>
        <v>2.4660194174757279</v>
      </c>
      <c r="P77" s="13" t="str">
        <f ca="1">IFERROR(__xludf.DUMMYFUNCTION("IFERROR(
  AVERAGE(
    FILTER(
      $AA$2:$AA77,
      $A$2:$A77 &gt;= #REF! - 30,
      $A$2:$A77 &lt;= #REF!,
      $AA$2:$AA77 &gt; 0
    )
  ),
"""")"),"")</f>
        <v/>
      </c>
      <c r="Q77" s="10"/>
      <c r="R77" s="10">
        <v>10514</v>
      </c>
      <c r="S77" s="10">
        <v>962</v>
      </c>
      <c r="T77" s="11">
        <f t="shared" si="4"/>
        <v>9.1497051550313877</v>
      </c>
      <c r="U77" s="13">
        <v>8</v>
      </c>
      <c r="V77" s="14">
        <f t="shared" si="5"/>
        <v>-1.1497051550313877</v>
      </c>
      <c r="W77" s="13" t="str">
        <f ca="1">IFERROR(__xludf.DUMMYFUNCTION("IFERROR(
  AVERAGE(
    FILTER(
      $AA$2:$AA77,
      $A$2:$A77 &gt;= #REF! - 30,
      $A$2:$A77 &lt;= #REF!,
      $AA$2:$AA77 &gt; 0
    )
  ),
"""")"),"")</f>
        <v/>
      </c>
      <c r="X77" s="10"/>
      <c r="Y77" s="10">
        <f t="shared" si="6"/>
        <v>11544</v>
      </c>
      <c r="Z77" s="10">
        <f t="shared" si="7"/>
        <v>1295</v>
      </c>
      <c r="AA77" s="11">
        <f t="shared" si="8"/>
        <v>11.217948717948719</v>
      </c>
      <c r="AB77" s="13">
        <v>8</v>
      </c>
      <c r="AC77" s="14">
        <f t="shared" si="9"/>
        <v>-3.217948717948719</v>
      </c>
      <c r="AD77" s="13">
        <f ca="1">IFERROR(__xludf.DUMMYFUNCTION("IFERROR(
  AVERAGE(
    FILTER(
      $AA$2:$AA77,
      $A$2:$A77 &gt;= A77 - 30,
      $A$2:$A77 &lt;= A77,
      $AA$2:$AA77 &gt; 0
    )
  ),
"""")"),9.21372929275819)</f>
        <v>9.21372929275819</v>
      </c>
      <c r="AE77" s="14"/>
    </row>
    <row r="78" spans="1:31" x14ac:dyDescent="0.25">
      <c r="A78" s="9">
        <v>45977</v>
      </c>
      <c r="B78" s="10"/>
      <c r="C78" s="10">
        <v>960</v>
      </c>
      <c r="D78" s="10">
        <v>80</v>
      </c>
      <c r="E78" s="11">
        <f t="shared" si="0"/>
        <v>8.3333333333333321</v>
      </c>
      <c r="F78" s="13">
        <v>6</v>
      </c>
      <c r="G78" s="14">
        <f t="shared" si="1"/>
        <v>-2.3333333333333321</v>
      </c>
      <c r="H78" s="13">
        <f ca="1">IFERROR(__xludf.DUMMYFUNCTION("IFERROR(
  AVERAGE(
    FILTER(
      $E$2:$E78,
      $A$2:$A78&gt;=A78-30,
      $A$2:$A78&lt;=A78,
      $E$2:$E78&gt;0
    )
  ),
  """"
)"),7.50518439782579)</f>
        <v>7.5051843978257899</v>
      </c>
      <c r="I78" s="14"/>
      <c r="J78" s="10"/>
      <c r="K78" s="10">
        <v>0</v>
      </c>
      <c r="L78" s="10">
        <v>0</v>
      </c>
      <c r="M78" s="11" t="e">
        <f t="shared" si="2"/>
        <v>#DIV/0!</v>
      </c>
      <c r="N78" s="13">
        <v>8</v>
      </c>
      <c r="O78" s="14" t="e">
        <f t="shared" si="3"/>
        <v>#DIV/0!</v>
      </c>
      <c r="P78" s="13" t="str">
        <f ca="1">IFERROR(__xludf.DUMMYFUNCTION("IFERROR(
  AVERAGE(
    FILTER(
      $AA$2:$AA78,
      $A$2:$A78 &gt;= #REF! - 30,
      $A$2:$A78 &lt;= #REF!,
      $AA$2:$AA78 &gt; 0
    )
  ),
"""")"),"")</f>
        <v/>
      </c>
      <c r="Q78" s="10"/>
      <c r="R78" s="10">
        <v>2276</v>
      </c>
      <c r="S78" s="10">
        <v>172</v>
      </c>
      <c r="T78" s="11">
        <f t="shared" si="4"/>
        <v>7.5571177504393665</v>
      </c>
      <c r="U78" s="13">
        <v>8</v>
      </c>
      <c r="V78" s="14">
        <f t="shared" si="5"/>
        <v>0.44288224956063349</v>
      </c>
      <c r="W78" s="13" t="str">
        <f ca="1">IFERROR(__xludf.DUMMYFUNCTION("IFERROR(
  AVERAGE(
    FILTER(
      $AA$2:$AA78,
      $A$2:$A78 &gt;= #REF! - 30,
      $A$2:$A78 &lt;= #REF!,
      $AA$2:$AA78 &gt; 0
    )
  ),
"""")"),"")</f>
        <v/>
      </c>
      <c r="X78" s="10"/>
      <c r="Y78" s="10">
        <f t="shared" si="6"/>
        <v>2276</v>
      </c>
      <c r="Z78" s="10">
        <f t="shared" si="7"/>
        <v>252</v>
      </c>
      <c r="AA78" s="11">
        <f t="shared" si="8"/>
        <v>11.072056239015819</v>
      </c>
      <c r="AB78" s="13">
        <v>8</v>
      </c>
      <c r="AC78" s="14">
        <f t="shared" si="9"/>
        <v>-3.0720562390158186</v>
      </c>
      <c r="AD78" s="13">
        <f ca="1">IFERROR(__xludf.DUMMYFUNCTION("IFERROR(
  AVERAGE(
    FILTER(
      $AA$2:$AA78,
      $A$2:$A78 &gt;= A78 - 30,
      $A$2:$A78 &lt;= A78,
      $AA$2:$AA78 &gt; 0
    )
  ),
"""")"),9.31938852601996)</f>
        <v>9.31938852601996</v>
      </c>
      <c r="AE78" s="14"/>
    </row>
    <row r="79" spans="1:31" x14ac:dyDescent="0.25">
      <c r="A79" s="9">
        <v>45978</v>
      </c>
      <c r="B79" s="10"/>
      <c r="C79" s="10">
        <v>2584</v>
      </c>
      <c r="D79" s="10">
        <v>124</v>
      </c>
      <c r="E79" s="11">
        <f t="shared" si="0"/>
        <v>4.7987616099071211</v>
      </c>
      <c r="F79" s="13">
        <v>6</v>
      </c>
      <c r="G79" s="14">
        <f t="shared" si="1"/>
        <v>1.2012383900928789</v>
      </c>
      <c r="H79" s="13">
        <f ca="1">IFERROR(__xludf.DUMMYFUNCTION("IFERROR(
  AVERAGE(
    FILTER(
      $E$2:$E79,
      $A$2:$A79&gt;=A79-30,
      $A$2:$A79&lt;=A79,
      $E$2:$E79&gt;0
    )
  ),
  """"
)"),7.2947817378518)</f>
        <v>7.2947817378517996</v>
      </c>
      <c r="I79" s="14"/>
      <c r="J79" s="10"/>
      <c r="K79" s="10">
        <v>3744</v>
      </c>
      <c r="L79" s="10">
        <v>111</v>
      </c>
      <c r="M79" s="11">
        <f t="shared" si="2"/>
        <v>2.9647435897435894</v>
      </c>
      <c r="N79" s="13">
        <v>8</v>
      </c>
      <c r="O79" s="14">
        <f t="shared" si="3"/>
        <v>5.0352564102564106</v>
      </c>
      <c r="P79" s="13" t="str">
        <f ca="1">IFERROR(__xludf.DUMMYFUNCTION("IFERROR(
  AVERAGE(
    FILTER(
      $AA$2:$AA79,
      $A$2:$A79 &gt;= #REF! - 30,
      $A$2:$A79 &lt;= #REF!,
      $AA$2:$AA79 &gt; 0
    )
  ),
"""")"),"")</f>
        <v/>
      </c>
      <c r="Q79" s="10"/>
      <c r="R79" s="10">
        <v>7226</v>
      </c>
      <c r="S79" s="10">
        <v>781</v>
      </c>
      <c r="T79" s="11">
        <f t="shared" si="4"/>
        <v>10.808192637697205</v>
      </c>
      <c r="U79" s="13">
        <v>8</v>
      </c>
      <c r="V79" s="14">
        <f t="shared" si="5"/>
        <v>-2.8081926376972053</v>
      </c>
      <c r="W79" s="13" t="str">
        <f ca="1">IFERROR(__xludf.DUMMYFUNCTION("IFERROR(
  AVERAGE(
    FILTER(
      $AA$2:$AA79,
      $A$2:$A79 &gt;= #REF! - 30,
      $A$2:$A79 &lt;= #REF!,
      $AA$2:$AA79 &gt; 0
    )
  ),
"""")"),"")</f>
        <v/>
      </c>
      <c r="X79" s="10"/>
      <c r="Y79" s="10">
        <f t="shared" si="6"/>
        <v>10970</v>
      </c>
      <c r="Z79" s="10">
        <f t="shared" si="7"/>
        <v>1016</v>
      </c>
      <c r="AA79" s="11">
        <f t="shared" si="8"/>
        <v>9.2616226071103007</v>
      </c>
      <c r="AB79" s="13">
        <v>8</v>
      </c>
      <c r="AC79" s="14">
        <f t="shared" si="9"/>
        <v>-1.2616226071103007</v>
      </c>
      <c r="AD79" s="13">
        <f ca="1">IFERROR(__xludf.DUMMYFUNCTION("IFERROR(
  AVERAGE(
    FILTER(
      $AA$2:$AA79,
      $A$2:$A79 &gt;= A79 - 30,
      $A$2:$A79 &lt;= A79,
      $AA$2:$AA79 &gt; 0
    )
  ),
"""")"),9.29949835199237)</f>
        <v>9.2994983519923693</v>
      </c>
      <c r="AE79" s="14"/>
    </row>
    <row r="80" spans="1:31" x14ac:dyDescent="0.25">
      <c r="A80" s="9">
        <v>45979</v>
      </c>
      <c r="B80" s="10"/>
      <c r="C80" s="10">
        <v>3085</v>
      </c>
      <c r="D80" s="10">
        <v>180</v>
      </c>
      <c r="E80" s="11">
        <f t="shared" si="0"/>
        <v>5.8346839546191251</v>
      </c>
      <c r="F80" s="13">
        <v>6</v>
      </c>
      <c r="G80" s="14">
        <f t="shared" si="1"/>
        <v>0.16531604538087485</v>
      </c>
      <c r="H80" s="13">
        <f ca="1">IFERROR(__xludf.DUMMYFUNCTION("IFERROR(
  AVERAGE(
    FILTER(
      $E$2:$E80,
      $A$2:$A80&gt;=A80-30,
      $A$2:$A80&lt;=A80,
      $E$2:$E80&gt;0
    )
  ),
  """"
)"),7.13457727456792)</f>
        <v>7.1345772745679197</v>
      </c>
      <c r="I80" s="14"/>
      <c r="J80" s="10"/>
      <c r="K80" s="10">
        <v>4288</v>
      </c>
      <c r="L80" s="10">
        <v>406</v>
      </c>
      <c r="M80" s="11">
        <f t="shared" si="2"/>
        <v>9.468283582089553</v>
      </c>
      <c r="N80" s="13">
        <v>8</v>
      </c>
      <c r="O80" s="14">
        <f t="shared" si="3"/>
        <v>-1.468283582089553</v>
      </c>
      <c r="P80" s="13" t="str">
        <f ca="1">IFERROR(__xludf.DUMMYFUNCTION("IFERROR(
  AVERAGE(
    FILTER(
      $AA$2:$AA80,
      $A$2:$A80 &gt;= #REF! - 30,
      $A$2:$A80 &lt;= #REF!,
      $AA$2:$AA80 &gt; 0
    )
  ),
"""")"),"")</f>
        <v/>
      </c>
      <c r="Q80" s="10"/>
      <c r="R80" s="10">
        <v>7443</v>
      </c>
      <c r="S80" s="10">
        <v>569</v>
      </c>
      <c r="T80" s="11">
        <f t="shared" si="4"/>
        <v>7.6447668950691927</v>
      </c>
      <c r="U80" s="13">
        <v>8</v>
      </c>
      <c r="V80" s="14">
        <f t="shared" si="5"/>
        <v>0.35523310493080729</v>
      </c>
      <c r="W80" s="13" t="str">
        <f ca="1">IFERROR(__xludf.DUMMYFUNCTION("IFERROR(
  AVERAGE(
    FILTER(
      $AA$2:$AA80,
      $A$2:$A80 &gt;= #REF! - 30,
      $A$2:$A80 &lt;= #REF!,
      $AA$2:$AA80 &gt; 0
    )
  ),
"""")"),"")</f>
        <v/>
      </c>
      <c r="X80" s="10"/>
      <c r="Y80" s="10">
        <f t="shared" si="6"/>
        <v>11731</v>
      </c>
      <c r="Z80" s="10">
        <f t="shared" si="7"/>
        <v>1155</v>
      </c>
      <c r="AA80" s="11">
        <f t="shared" si="8"/>
        <v>9.8457079532861655</v>
      </c>
      <c r="AB80" s="13">
        <v>8</v>
      </c>
      <c r="AC80" s="14">
        <f t="shared" si="9"/>
        <v>-1.8457079532861655</v>
      </c>
      <c r="AD80" s="13">
        <f ca="1">IFERROR(__xludf.DUMMYFUNCTION("IFERROR(
  AVERAGE(
    FILTER(
      $AA$2:$AA80,
      $A$2:$A80 &gt;= A80 - 30,
      $A$2:$A80 &lt;= A80,
      $AA$2:$AA80 &gt; 0
    )
  ),
"""")"),9.3344639446826)</f>
        <v>9.3344639446826001</v>
      </c>
      <c r="AE80" s="14"/>
    </row>
    <row r="81" spans="1:31" x14ac:dyDescent="0.25">
      <c r="A81" s="9">
        <v>45980</v>
      </c>
      <c r="B81" s="10"/>
      <c r="C81" s="10">
        <v>2514</v>
      </c>
      <c r="D81" s="10">
        <v>95</v>
      </c>
      <c r="E81" s="11">
        <f t="shared" si="0"/>
        <v>3.7788385043754973</v>
      </c>
      <c r="F81" s="13">
        <v>6</v>
      </c>
      <c r="G81" s="14">
        <f t="shared" si="1"/>
        <v>2.2211614956245027</v>
      </c>
      <c r="H81" s="13">
        <f ca="1">IFERROR(__xludf.DUMMYFUNCTION("IFERROR(
  AVERAGE(
    FILTER(
      $E$2:$E81,
      $A$2:$A81&gt;=A81-30,
      $A$2:$A81&lt;=A81,
      $E$2:$E81&gt;0
    )
  ),
  """"
)"),7.01029065344968)</f>
        <v>7.0102906534496796</v>
      </c>
      <c r="I81" s="14"/>
      <c r="J81" s="10"/>
      <c r="K81" s="10">
        <v>5480</v>
      </c>
      <c r="L81" s="10">
        <v>399</v>
      </c>
      <c r="M81" s="11">
        <f t="shared" si="2"/>
        <v>7.281021897810219</v>
      </c>
      <c r="N81" s="13">
        <v>8</v>
      </c>
      <c r="O81" s="14">
        <f t="shared" si="3"/>
        <v>0.71897810218978098</v>
      </c>
      <c r="P81" s="13" t="str">
        <f ca="1">IFERROR(__xludf.DUMMYFUNCTION("IFERROR(
  AVERAGE(
    FILTER(
      $AA$2:$AA81,
      $A$2:$A81 &gt;= #REF! - 30,
      $A$2:$A81 &lt;= #REF!,
      $AA$2:$AA81 &gt; 0
    )
  ),
"""")"),"")</f>
        <v/>
      </c>
      <c r="Q81" s="10"/>
      <c r="R81" s="10">
        <v>8227</v>
      </c>
      <c r="S81" s="10">
        <v>786</v>
      </c>
      <c r="T81" s="11">
        <f t="shared" si="4"/>
        <v>9.5539078643490942</v>
      </c>
      <c r="U81" s="13">
        <v>8</v>
      </c>
      <c r="V81" s="14">
        <f t="shared" si="5"/>
        <v>-1.5539078643490942</v>
      </c>
      <c r="W81" s="13" t="str">
        <f ca="1">IFERROR(__xludf.DUMMYFUNCTION("IFERROR(
  AVERAGE(
    FILTER(
      $AA$2:$AA81,
      $A$2:$A81 &gt;= #REF! - 30,
      $A$2:$A81 &lt;= #REF!,
      $AA$2:$AA81 &gt; 0
    )
  ),
"""")"),"")</f>
        <v/>
      </c>
      <c r="X81" s="10"/>
      <c r="Y81" s="10">
        <f t="shared" si="6"/>
        <v>13707</v>
      </c>
      <c r="Z81" s="10">
        <f t="shared" si="7"/>
        <v>1280</v>
      </c>
      <c r="AA81" s="11">
        <f t="shared" si="8"/>
        <v>9.3382943021813674</v>
      </c>
      <c r="AB81" s="13">
        <v>8</v>
      </c>
      <c r="AC81" s="14">
        <f t="shared" si="9"/>
        <v>-1.3382943021813674</v>
      </c>
      <c r="AD81" s="13">
        <f ca="1">IFERROR(__xludf.DUMMYFUNCTION("IFERROR(
  AVERAGE(
    FILTER(
      $AA$2:$AA81,
      $A$2:$A81 &gt;= A81 - 30,
      $A$2:$A81 &lt;= A81,
      $AA$2:$AA81 &gt; 0
    )
  ),
"""")"),9.44601781393238)</f>
        <v>9.4460178139323805</v>
      </c>
      <c r="AE81" s="14"/>
    </row>
    <row r="82" spans="1:31" x14ac:dyDescent="0.25">
      <c r="A82" s="9">
        <v>45981</v>
      </c>
      <c r="B82" s="10"/>
      <c r="C82" s="10">
        <v>2256</v>
      </c>
      <c r="D82" s="10">
        <v>160</v>
      </c>
      <c r="E82" s="11">
        <f t="shared" si="0"/>
        <v>7.0921985815602842</v>
      </c>
      <c r="F82" s="13">
        <v>6</v>
      </c>
      <c r="G82" s="14">
        <f t="shared" si="1"/>
        <v>-1.0921985815602842</v>
      </c>
      <c r="H82" s="13">
        <f ca="1">IFERROR(__xludf.DUMMYFUNCTION("IFERROR(
  AVERAGE(
    FILTER(
      $E$2:$E82,
      $A$2:$A82&gt;=A82-30,
      $A$2:$A82&lt;=A82,
      $E$2:$E82&gt;0
    )
  ),
  """"
)"),7.01321593659649)</f>
        <v>7.0132159365964899</v>
      </c>
      <c r="I82" s="14"/>
      <c r="J82" s="10"/>
      <c r="K82" s="10">
        <v>3730</v>
      </c>
      <c r="L82" s="10">
        <v>430</v>
      </c>
      <c r="M82" s="11">
        <f t="shared" si="2"/>
        <v>11.528150134048257</v>
      </c>
      <c r="N82" s="13">
        <v>8</v>
      </c>
      <c r="O82" s="14">
        <f t="shared" si="3"/>
        <v>-3.5281501340482571</v>
      </c>
      <c r="P82" s="13" t="str">
        <f ca="1">IFERROR(__xludf.DUMMYFUNCTION("IFERROR(
  AVERAGE(
    FILTER(
      $AA$2:$AA82,
      $A$2:$A82 &gt;= #REF! - 30,
      $A$2:$A82 &lt;= #REF!,
      $AA$2:$AA82 &gt; 0
    )
  ),
"""")"),"")</f>
        <v/>
      </c>
      <c r="Q82" s="10"/>
      <c r="R82" s="10">
        <v>7378</v>
      </c>
      <c r="S82" s="10">
        <v>510</v>
      </c>
      <c r="T82" s="11">
        <f t="shared" si="4"/>
        <v>6.9124423963133648</v>
      </c>
      <c r="U82" s="13">
        <v>8</v>
      </c>
      <c r="V82" s="14">
        <f t="shared" si="5"/>
        <v>1.0875576036866352</v>
      </c>
      <c r="W82" s="13" t="str">
        <f ca="1">IFERROR(__xludf.DUMMYFUNCTION("IFERROR(
  AVERAGE(
    FILTER(
      $AA$2:$AA82,
      $A$2:$A82 &gt;= #REF! - 30,
      $A$2:$A82 &lt;= #REF!,
      $AA$2:$AA82 &gt; 0
    )
  ),
"""")"),"")</f>
        <v/>
      </c>
      <c r="X82" s="10"/>
      <c r="Y82" s="10">
        <f t="shared" si="6"/>
        <v>11108</v>
      </c>
      <c r="Z82" s="10">
        <f t="shared" si="7"/>
        <v>1100</v>
      </c>
      <c r="AA82" s="11">
        <f t="shared" si="8"/>
        <v>9.9027727763773861</v>
      </c>
      <c r="AB82" s="13">
        <v>8</v>
      </c>
      <c r="AC82" s="14">
        <f t="shared" si="9"/>
        <v>-1.9027727763773861</v>
      </c>
      <c r="AD82" s="13">
        <f ca="1">IFERROR(__xludf.DUMMYFUNCTION("IFERROR(
  AVERAGE(
    FILTER(
      $AA$2:$AA82,
      $A$2:$A82 &gt;= A82 - 30,
      $A$2:$A82 &lt;= A82,
      $AA$2:$AA82 &gt; 0
    )
  ),
"""")"),9.46075184497899)</f>
        <v>9.46075184497899</v>
      </c>
      <c r="AE82" s="14"/>
    </row>
    <row r="83" spans="1:31" x14ac:dyDescent="0.25">
      <c r="A83" s="9">
        <v>45982</v>
      </c>
      <c r="B83" s="10"/>
      <c r="C83" s="10">
        <v>1618</v>
      </c>
      <c r="D83" s="10">
        <v>60</v>
      </c>
      <c r="E83" s="11">
        <f t="shared" si="0"/>
        <v>3.7082818294190356</v>
      </c>
      <c r="F83" s="13">
        <v>6</v>
      </c>
      <c r="G83" s="14">
        <f t="shared" si="1"/>
        <v>2.2917181705809644</v>
      </c>
      <c r="H83" s="13">
        <f ca="1">IFERROR(__xludf.DUMMYFUNCTION("IFERROR(
  AVERAGE(
    FILTER(
      $E$2:$E83,
      $A$2:$A83&gt;=A83-30,
      $A$2:$A83&lt;=A83,
      $E$2:$E83&gt;0
    )
  ),
  """"
)"),6.89925269152141)</f>
        <v>6.8992526915214096</v>
      </c>
      <c r="I83" s="14"/>
      <c r="J83" s="10"/>
      <c r="K83" s="10">
        <v>920</v>
      </c>
      <c r="L83" s="10">
        <v>109</v>
      </c>
      <c r="M83" s="11">
        <f t="shared" si="2"/>
        <v>11.847826086956522</v>
      </c>
      <c r="N83" s="13">
        <v>8</v>
      </c>
      <c r="O83" s="14">
        <f t="shared" si="3"/>
        <v>-3.8478260869565215</v>
      </c>
      <c r="P83" s="13" t="str">
        <f ca="1">IFERROR(__xludf.DUMMYFUNCTION("IFERROR(
  AVERAGE(
    FILTER(
      $AA$2:$AA83,
      $A$2:$A83 &gt;= #REF! - 30,
      $A$2:$A83 &lt;= #REF!,
      $AA$2:$AA83 &gt; 0
    )
  ),
"""")"),"")</f>
        <v/>
      </c>
      <c r="Q83" s="10"/>
      <c r="R83" s="10">
        <v>9930</v>
      </c>
      <c r="S83" s="10">
        <v>733</v>
      </c>
      <c r="T83" s="11">
        <f t="shared" si="4"/>
        <v>7.3816717019133931</v>
      </c>
      <c r="U83" s="13">
        <v>8</v>
      </c>
      <c r="V83" s="14">
        <f t="shared" si="5"/>
        <v>0.61832829808660694</v>
      </c>
      <c r="W83" s="13" t="str">
        <f ca="1">IFERROR(__xludf.DUMMYFUNCTION("IFERROR(
  AVERAGE(
    FILTER(
      $AA$2:$AA83,
      $A$2:$A83 &gt;= #REF! - 30,
      $A$2:$A83 &lt;= #REF!,
      $AA$2:$AA83 &gt; 0
    )
  ),
"""")"),"")</f>
        <v/>
      </c>
      <c r="X83" s="10"/>
      <c r="Y83" s="10">
        <f t="shared" si="6"/>
        <v>10850</v>
      </c>
      <c r="Z83" s="10">
        <f t="shared" si="7"/>
        <v>902</v>
      </c>
      <c r="AA83" s="11">
        <f t="shared" si="8"/>
        <v>8.3133640552995391</v>
      </c>
      <c r="AB83" s="13">
        <v>8</v>
      </c>
      <c r="AC83" s="14">
        <f t="shared" si="9"/>
        <v>-0.31336405529953915</v>
      </c>
      <c r="AD83" s="13">
        <f ca="1">IFERROR(__xludf.DUMMYFUNCTION("IFERROR(
  AVERAGE(
    FILTER(
      $AA$2:$AA83,
      $A$2:$A83 &gt;= A83 - 30,
      $A$2:$A83 &lt;= A83,
      $AA$2:$AA83 &gt; 0
    )
  ),
"""")"),9.43889233092385)</f>
        <v>9.4388923309238493</v>
      </c>
      <c r="AE83" s="14"/>
    </row>
    <row r="84" spans="1:31" x14ac:dyDescent="0.25">
      <c r="A84" s="9">
        <v>45983</v>
      </c>
      <c r="B84" s="10"/>
      <c r="C84" s="10">
        <v>872</v>
      </c>
      <c r="D84" s="10">
        <v>49</v>
      </c>
      <c r="E84" s="11">
        <f t="shared" si="0"/>
        <v>5.6192660550458715</v>
      </c>
      <c r="F84" s="13">
        <v>6</v>
      </c>
      <c r="G84" s="14">
        <f t="shared" si="1"/>
        <v>0.38073394495412849</v>
      </c>
      <c r="H84" s="13">
        <f ca="1">IFERROR(__xludf.DUMMYFUNCTION("IFERROR(
  AVERAGE(
    FILTER(
      $E$2:$E84,
      $A$2:$A84&gt;=A84-30,
      $A$2:$A84&lt;=A84,
      $E$2:$E84&gt;0
    )
  ),
  """"
)"),6.81456226572446)</f>
        <v>6.8145622657244598</v>
      </c>
      <c r="I84" s="14"/>
      <c r="J84" s="10"/>
      <c r="K84" s="10">
        <v>1480</v>
      </c>
      <c r="L84" s="10">
        <v>103</v>
      </c>
      <c r="M84" s="11">
        <f t="shared" si="2"/>
        <v>6.9594594594594588</v>
      </c>
      <c r="N84" s="13">
        <v>8</v>
      </c>
      <c r="O84" s="14">
        <f t="shared" si="3"/>
        <v>1.0405405405405412</v>
      </c>
      <c r="P84" s="13" t="str">
        <f ca="1">IFERROR(__xludf.DUMMYFUNCTION("IFERROR(
  AVERAGE(
    FILTER(
      $AA$2:$AA84,
      $A$2:$A84 &gt;= #REF! - 30,
      $A$2:$A84 &lt;= #REF!,
      $AA$2:$AA84 &gt; 0
    )
  ),
"""")"),"")</f>
        <v/>
      </c>
      <c r="Q84" s="10"/>
      <c r="R84" s="10">
        <v>11678</v>
      </c>
      <c r="S84" s="10">
        <v>950</v>
      </c>
      <c r="T84" s="11">
        <f t="shared" si="4"/>
        <v>8.1349546155163566</v>
      </c>
      <c r="U84" s="13">
        <v>8</v>
      </c>
      <c r="V84" s="14">
        <f t="shared" si="5"/>
        <v>-0.13495461551635657</v>
      </c>
      <c r="W84" s="13" t="str">
        <f ca="1">IFERROR(__xludf.DUMMYFUNCTION("IFERROR(
  AVERAGE(
    FILTER(
      $AA$2:$AA84,
      $A$2:$A84 &gt;= #REF! - 30,
      $A$2:$A84 &lt;= #REF!,
      $AA$2:$AA84 &gt; 0
    )
  ),
"""")"),"")</f>
        <v/>
      </c>
      <c r="X84" s="10"/>
      <c r="Y84" s="10">
        <f t="shared" si="6"/>
        <v>13158</v>
      </c>
      <c r="Z84" s="10">
        <f t="shared" si="7"/>
        <v>1102</v>
      </c>
      <c r="AA84" s="11">
        <f t="shared" si="8"/>
        <v>8.3751329989360084</v>
      </c>
      <c r="AB84" s="13">
        <v>8</v>
      </c>
      <c r="AC84" s="14">
        <f t="shared" si="9"/>
        <v>-0.37513299893600838</v>
      </c>
      <c r="AD84" s="13">
        <f ca="1">IFERROR(__xludf.DUMMYFUNCTION("IFERROR(
  AVERAGE(
    FILTER(
      $AA$2:$AA84,
      $A$2:$A84 &gt;= A84 - 30,
      $A$2:$A84 &lt;= A84,
      $AA$2:$AA84 &gt; 0
    )
  ),
"""")"),9.39407537291098)</f>
        <v>9.3940753729109794</v>
      </c>
      <c r="AE84" s="14"/>
    </row>
    <row r="85" spans="1:31" x14ac:dyDescent="0.25">
      <c r="A85" s="9">
        <v>45984</v>
      </c>
      <c r="B85" s="10"/>
      <c r="C85" s="10">
        <v>0</v>
      </c>
      <c r="D85" s="10">
        <v>0</v>
      </c>
      <c r="E85" s="11" t="e">
        <f t="shared" si="0"/>
        <v>#DIV/0!</v>
      </c>
      <c r="F85" s="13">
        <v>6</v>
      </c>
      <c r="G85" s="14" t="e">
        <f t="shared" si="1"/>
        <v>#DIV/0!</v>
      </c>
      <c r="H85" s="13">
        <f ca="1">IFERROR(__xludf.DUMMYFUNCTION("IFERROR(
  AVERAGE(
    FILTER(
      $E$2:$E85,
      $A$2:$A85&gt;=A85-30,
      $A$2:$A85&lt;=A85,
      $E$2:$E85&gt;0
    )
  ),
  """"
)"),6.78457088279839)</f>
        <v>6.7845708827983904</v>
      </c>
      <c r="I85" s="14"/>
      <c r="J85" s="10"/>
      <c r="K85" s="10">
        <v>600</v>
      </c>
      <c r="L85" s="10">
        <v>41</v>
      </c>
      <c r="M85" s="11">
        <f t="shared" si="2"/>
        <v>6.833333333333333</v>
      </c>
      <c r="N85" s="13">
        <v>8</v>
      </c>
      <c r="O85" s="14">
        <f t="shared" si="3"/>
        <v>1.166666666666667</v>
      </c>
      <c r="P85" s="13" t="str">
        <f ca="1">IFERROR(__xludf.DUMMYFUNCTION("IFERROR(
  AVERAGE(
    FILTER(
      $AA$2:$AA85,
      $A$2:$A85 &gt;= #REF! - 30,
      $A$2:$A85 &lt;= #REF!,
      $AA$2:$AA85 &gt; 0
    )
  ),
"""")"),"")</f>
        <v/>
      </c>
      <c r="Q85" s="10"/>
      <c r="R85" s="10">
        <v>1873</v>
      </c>
      <c r="S85" s="10">
        <v>103</v>
      </c>
      <c r="T85" s="11">
        <f t="shared" si="4"/>
        <v>5.4991991457554725</v>
      </c>
      <c r="U85" s="13">
        <v>8</v>
      </c>
      <c r="V85" s="14">
        <f t="shared" si="5"/>
        <v>2.5008008542445275</v>
      </c>
      <c r="W85" s="13" t="str">
        <f ca="1">IFERROR(__xludf.DUMMYFUNCTION("IFERROR(
  AVERAGE(
    FILTER(
      $AA$2:$AA85,
      $A$2:$A85 &gt;= #REF! - 30,
      $A$2:$A85 &lt;= #REF!,
      $AA$2:$AA85 &gt; 0
    )
  ),
"""")"),"")</f>
        <v/>
      </c>
      <c r="X85" s="10"/>
      <c r="Y85" s="10">
        <f t="shared" si="6"/>
        <v>2473</v>
      </c>
      <c r="Z85" s="10">
        <f t="shared" si="7"/>
        <v>144</v>
      </c>
      <c r="AA85" s="11">
        <f t="shared" si="8"/>
        <v>5.8228871815608576</v>
      </c>
      <c r="AB85" s="13">
        <v>8</v>
      </c>
      <c r="AC85" s="14">
        <f t="shared" si="9"/>
        <v>2.1771128184391424</v>
      </c>
      <c r="AD85" s="13">
        <f ca="1">IFERROR(__xludf.DUMMYFUNCTION("IFERROR(
  AVERAGE(
    FILTER(
      $AA$2:$AA85,
      $A$2:$A85 &gt;= A85 - 30,
      $A$2:$A85 &lt;= A85,
      $AA$2:$AA85 &gt; 0
    )
  ),
"""")"),9.32634984670785)</f>
        <v>9.3263498467078492</v>
      </c>
      <c r="AE85" s="14"/>
    </row>
    <row r="86" spans="1:31" x14ac:dyDescent="0.25">
      <c r="A86" s="9">
        <v>45985</v>
      </c>
      <c r="B86" s="10"/>
      <c r="C86" s="10">
        <v>530</v>
      </c>
      <c r="D86" s="10">
        <v>12</v>
      </c>
      <c r="E86" s="11">
        <f t="shared" si="0"/>
        <v>2.2641509433962264</v>
      </c>
      <c r="F86" s="13">
        <v>6</v>
      </c>
      <c r="G86" s="14">
        <f t="shared" si="1"/>
        <v>3.7358490566037736</v>
      </c>
      <c r="H86" s="13">
        <f ca="1">IFERROR(__xludf.DUMMYFUNCTION("IFERROR(
  AVERAGE(
    FILTER(
      $E$2:$E86,
      $A$2:$A86&gt;=A86-30,
      $A$2:$A86&lt;=A86,
      $E$2:$E86&gt;0
    )
  ),
  """"
)"),6.72219851124651)</f>
        <v>6.7221985112465097</v>
      </c>
      <c r="I86" s="14"/>
      <c r="J86" s="10"/>
      <c r="K86" s="10">
        <v>2000</v>
      </c>
      <c r="L86" s="10">
        <v>216</v>
      </c>
      <c r="M86" s="11">
        <f t="shared" si="2"/>
        <v>10.8</v>
      </c>
      <c r="N86" s="13">
        <v>8</v>
      </c>
      <c r="O86" s="14">
        <f t="shared" si="3"/>
        <v>-2.8000000000000007</v>
      </c>
      <c r="P86" s="13" t="str">
        <f ca="1">IFERROR(__xludf.DUMMYFUNCTION("IFERROR(
  AVERAGE(
    FILTER(
      $AA$2:$AA86,
      $A$2:$A86 &gt;= #REF! - 30,
      $A$2:$A86 &lt;= #REF!,
      $AA$2:$AA86 &gt; 0
    )
  ),
"""")"),"")</f>
        <v/>
      </c>
      <c r="Q86" s="10"/>
      <c r="R86" s="10">
        <v>8449</v>
      </c>
      <c r="S86" s="10">
        <v>530</v>
      </c>
      <c r="T86" s="11">
        <f t="shared" si="4"/>
        <v>6.2729317078944264</v>
      </c>
      <c r="U86" s="13">
        <v>8</v>
      </c>
      <c r="V86" s="14">
        <f t="shared" si="5"/>
        <v>1.7270682921055736</v>
      </c>
      <c r="W86" s="13" t="str">
        <f ca="1">IFERROR(__xludf.DUMMYFUNCTION("IFERROR(
  AVERAGE(
    FILTER(
      $AA$2:$AA86,
      $A$2:$A86 &gt;= #REF! - 30,
      $A$2:$A86 &lt;= #REF!,
      $AA$2:$AA86 &gt; 0
    )
  ),
"""")"),"")</f>
        <v/>
      </c>
      <c r="X86" s="10"/>
      <c r="Y86" s="10">
        <f t="shared" si="6"/>
        <v>10449</v>
      </c>
      <c r="Z86" s="10">
        <f t="shared" si="7"/>
        <v>758</v>
      </c>
      <c r="AA86" s="11">
        <f t="shared" si="8"/>
        <v>7.2542827064790885</v>
      </c>
      <c r="AB86" s="13">
        <v>8</v>
      </c>
      <c r="AC86" s="14">
        <f t="shared" si="9"/>
        <v>0.74571729352091154</v>
      </c>
      <c r="AD86" s="13">
        <f ca="1">IFERROR(__xludf.DUMMYFUNCTION("IFERROR(
  AVERAGE(
    FILTER(
      $AA$2:$AA86,
      $A$2:$A86 &gt;= A86 - 30,
      $A$2:$A86 &lt;= A86,
      $AA$2:$AA86 &gt; 0
    )
  ),
"""")"),9.3253931492278)</f>
        <v>9.3253931492277999</v>
      </c>
      <c r="AE86" s="14"/>
    </row>
    <row r="87" spans="1:31" x14ac:dyDescent="0.25">
      <c r="A87" s="9">
        <v>45986</v>
      </c>
      <c r="B87" s="10"/>
      <c r="C87" s="10">
        <v>908</v>
      </c>
      <c r="D87" s="10">
        <v>39</v>
      </c>
      <c r="E87" s="11">
        <f t="shared" si="0"/>
        <v>4.2951541850220263</v>
      </c>
      <c r="F87" s="13">
        <v>6</v>
      </c>
      <c r="G87" s="14">
        <f t="shared" si="1"/>
        <v>1.7048458149779737</v>
      </c>
      <c r="H87" s="13">
        <f ca="1">IFERROR(__xludf.DUMMYFUNCTION("IFERROR(
  AVERAGE(
    FILTER(
      $E$2:$E87,
      $A$2:$A87&gt;=A87-30,
      $A$2:$A87&lt;=A87,
      $E$2:$E87&gt;0
    )
  ),
  """"
)"),6.66142692825037)</f>
        <v>6.6614269282503704</v>
      </c>
      <c r="I87" s="14"/>
      <c r="J87" s="10"/>
      <c r="K87" s="10">
        <v>4358</v>
      </c>
      <c r="L87" s="10">
        <v>273</v>
      </c>
      <c r="M87" s="11">
        <f t="shared" si="2"/>
        <v>6.2643414410279945</v>
      </c>
      <c r="N87" s="13">
        <v>8</v>
      </c>
      <c r="O87" s="14">
        <f t="shared" si="3"/>
        <v>1.7356585589720055</v>
      </c>
      <c r="P87" s="13" t="str">
        <f ca="1">IFERROR(__xludf.DUMMYFUNCTION("IFERROR(
  AVERAGE(
    FILTER(
      $AA$2:$AA87,
      $A$2:$A87 &gt;= #REF! - 30,
      $A$2:$A87 &lt;= #REF!,
      $AA$2:$AA87 &gt; 0
    )
  ),
"""")"),"")</f>
        <v/>
      </c>
      <c r="Q87" s="10"/>
      <c r="R87" s="10">
        <v>7036</v>
      </c>
      <c r="S87" s="10">
        <v>497</v>
      </c>
      <c r="T87" s="11">
        <f t="shared" si="4"/>
        <v>7.0636725412166008</v>
      </c>
      <c r="U87" s="13">
        <v>8</v>
      </c>
      <c r="V87" s="14">
        <f t="shared" si="5"/>
        <v>0.93632745878339918</v>
      </c>
      <c r="W87" s="13" t="str">
        <f ca="1">IFERROR(__xludf.DUMMYFUNCTION("IFERROR(
  AVERAGE(
    FILTER(
      $AA$2:$AA87,
      $A$2:$A87 &gt;= #REF! - 30,
      $A$2:$A87 &lt;= #REF!,
      $AA$2:$AA87 &gt; 0
    )
  ),
"""")"),"")</f>
        <v/>
      </c>
      <c r="X87" s="10"/>
      <c r="Y87" s="10">
        <f t="shared" si="6"/>
        <v>11394</v>
      </c>
      <c r="Z87" s="10">
        <f t="shared" si="7"/>
        <v>809</v>
      </c>
      <c r="AA87" s="11">
        <f t="shared" si="8"/>
        <v>7.1002281902755842</v>
      </c>
      <c r="AB87" s="13">
        <v>8</v>
      </c>
      <c r="AC87" s="14">
        <f t="shared" si="9"/>
        <v>0.89977180972441584</v>
      </c>
      <c r="AD87" s="13">
        <f ca="1">IFERROR(__xludf.DUMMYFUNCTION("IFERROR(
  AVERAGE(
    FILTER(
      $AA$2:$AA87,
      $A$2:$A87 &gt;= A87 - 30,
      $A$2:$A87 &lt;= A87,
      $AA$2:$AA87 &gt; 0
    )
  ),
"""")"),9.26044756217815)</f>
        <v>9.2604475621781503</v>
      </c>
      <c r="AE87" s="14"/>
    </row>
    <row r="88" spans="1:31" x14ac:dyDescent="0.25">
      <c r="A88" s="9">
        <v>45987</v>
      </c>
      <c r="B88" s="10"/>
      <c r="C88" s="10">
        <v>1610</v>
      </c>
      <c r="D88" s="10">
        <v>66</v>
      </c>
      <c r="E88" s="11">
        <f t="shared" si="0"/>
        <v>4.0993788819875778</v>
      </c>
      <c r="F88" s="13">
        <v>6</v>
      </c>
      <c r="G88" s="14">
        <f t="shared" si="1"/>
        <v>1.9006211180124222</v>
      </c>
      <c r="H88" s="13">
        <f ca="1">IFERROR(__xludf.DUMMYFUNCTION("IFERROR(
  AVERAGE(
    FILTER(
      $E$2:$E88,
      $A$2:$A88&gt;=A88-30,
      $A$2:$A88&lt;=A88,
      $E$2:$E88&gt;0
    )
  ),
  """"
)"),6.57308044389648)</f>
        <v>6.5730804438964796</v>
      </c>
      <c r="I88" s="14"/>
      <c r="J88" s="10"/>
      <c r="K88" s="10">
        <v>4215</v>
      </c>
      <c r="L88" s="10">
        <v>424</v>
      </c>
      <c r="M88" s="11">
        <f t="shared" si="2"/>
        <v>10.059311981020166</v>
      </c>
      <c r="N88" s="13">
        <v>8</v>
      </c>
      <c r="O88" s="14">
        <f t="shared" si="3"/>
        <v>-2.0593119810201657</v>
      </c>
      <c r="P88" s="13" t="str">
        <f ca="1">IFERROR(__xludf.DUMMYFUNCTION("IFERROR(
  AVERAGE(
    FILTER(
      $AA$2:$AA88,
      $A$2:$A88 &gt;= #REF! - 30,
      $A$2:$A88 &lt;= #REF!,
      $AA$2:$AA88 &gt; 0
    )
  ),
"""")"),"")</f>
        <v/>
      </c>
      <c r="Q88" s="10"/>
      <c r="R88" s="10">
        <v>7587</v>
      </c>
      <c r="S88" s="10">
        <v>464</v>
      </c>
      <c r="T88" s="11">
        <f t="shared" si="4"/>
        <v>6.1157242651904573</v>
      </c>
      <c r="U88" s="13">
        <v>8</v>
      </c>
      <c r="V88" s="14">
        <f t="shared" si="5"/>
        <v>1.8842757348095427</v>
      </c>
      <c r="W88" s="13" t="str">
        <f ca="1">IFERROR(__xludf.DUMMYFUNCTION("IFERROR(
  AVERAGE(
    FILTER(
      $AA$2:$AA88,
      $A$2:$A88 &gt;= #REF! - 30,
      $A$2:$A88 &lt;= #REF!,
      $AA$2:$AA88 &gt; 0
    )
  ),
"""")"),"")</f>
        <v/>
      </c>
      <c r="X88" s="10"/>
      <c r="Y88" s="10">
        <f t="shared" si="6"/>
        <v>11802</v>
      </c>
      <c r="Z88" s="10">
        <f t="shared" si="7"/>
        <v>954</v>
      </c>
      <c r="AA88" s="11">
        <f t="shared" si="8"/>
        <v>8.0833756990340628</v>
      </c>
      <c r="AB88" s="13">
        <v>8</v>
      </c>
      <c r="AC88" s="14">
        <f t="shared" si="9"/>
        <v>-8.3375699034062833E-2</v>
      </c>
      <c r="AD88" s="13">
        <f ca="1">IFERROR(__xludf.DUMMYFUNCTION("IFERROR(
  AVERAGE(
    FILTER(
      $AA$2:$AA88,
      $A$2:$A88 &gt;= A88 - 30,
      $A$2:$A88 &lt;= A88,
      $AA$2:$AA88 &gt; 0
    )
  ),
"""")"),9.21342539756852)</f>
        <v>9.2134253975685194</v>
      </c>
      <c r="AE88" s="14"/>
    </row>
    <row r="89" spans="1:31" x14ac:dyDescent="0.25">
      <c r="A89" s="9">
        <v>45988</v>
      </c>
      <c r="B89" s="10"/>
      <c r="C89" s="10">
        <v>1695</v>
      </c>
      <c r="D89" s="10">
        <v>15</v>
      </c>
      <c r="E89" s="11">
        <f t="shared" si="0"/>
        <v>0.88495575221238942</v>
      </c>
      <c r="F89" s="13">
        <v>6</v>
      </c>
      <c r="G89" s="14">
        <f t="shared" si="1"/>
        <v>5.1150442477876101</v>
      </c>
      <c r="H89" s="13">
        <f ca="1">IFERROR(__xludf.DUMMYFUNCTION("IFERROR(
  AVERAGE(
    FILTER(
      $E$2:$E89,
      $A$2:$A89&gt;=A89-30,
      $A$2:$A89&lt;=A89,
      $E$2:$E89&gt;0
    )
  ),
  """"
)"),6.356570549488)</f>
        <v>6.3565705494879996</v>
      </c>
      <c r="I89" s="14"/>
      <c r="J89" s="10"/>
      <c r="K89" s="10">
        <v>5481</v>
      </c>
      <c r="L89" s="10">
        <v>492</v>
      </c>
      <c r="M89" s="11">
        <f t="shared" si="2"/>
        <v>8.9764641488779429</v>
      </c>
      <c r="N89" s="13">
        <v>8</v>
      </c>
      <c r="O89" s="14">
        <f t="shared" si="3"/>
        <v>-0.97646414887794286</v>
      </c>
      <c r="P89" s="13" t="str">
        <f ca="1">IFERROR(__xludf.DUMMYFUNCTION("IFERROR(
  AVERAGE(
    FILTER(
      $AA$2:$AA89,
      $A$2:$A89 &gt;= #REF! - 30,
      $A$2:$A89 &lt;= #REF!,
      $AA$2:$AA89 &gt; 0
    )
  ),
"""")"),"")</f>
        <v/>
      </c>
      <c r="Q89" s="10"/>
      <c r="R89" s="10">
        <v>8405</v>
      </c>
      <c r="S89" s="10">
        <v>549</v>
      </c>
      <c r="T89" s="11">
        <f t="shared" si="4"/>
        <v>6.5318262938726948</v>
      </c>
      <c r="U89" s="13">
        <v>8</v>
      </c>
      <c r="V89" s="14">
        <f t="shared" si="5"/>
        <v>1.4681737061273052</v>
      </c>
      <c r="W89" s="13" t="str">
        <f ca="1">IFERROR(__xludf.DUMMYFUNCTION("IFERROR(
  AVERAGE(
    FILTER(
      $AA$2:$AA89,
      $A$2:$A89 &gt;= #REF! - 30,
      $A$2:$A89 &lt;= #REF!,
      $AA$2:$AA89 &gt; 0
    )
  ),
"""")"),"")</f>
        <v/>
      </c>
      <c r="X89" s="10"/>
      <c r="Y89" s="10">
        <f t="shared" si="6"/>
        <v>13886</v>
      </c>
      <c r="Z89" s="10">
        <f t="shared" si="7"/>
        <v>1056</v>
      </c>
      <c r="AA89" s="11">
        <f t="shared" si="8"/>
        <v>7.6047817946132801</v>
      </c>
      <c r="AB89" s="13">
        <v>8</v>
      </c>
      <c r="AC89" s="14">
        <f t="shared" si="9"/>
        <v>0.39521820538671992</v>
      </c>
      <c r="AD89" s="13">
        <f ca="1">IFERROR(__xludf.DUMMYFUNCTION("IFERROR(
  AVERAGE(
    FILTER(
      $AA$2:$AA89,
      $A$2:$A89 &gt;= A89 - 30,
      $A$2:$A89 &lt;= A89,
      $AA$2:$AA89 &gt; 0
    )
  ),
"""")"),9.18853857747555)</f>
        <v>9.1885385774755495</v>
      </c>
      <c r="AE89" s="14"/>
    </row>
    <row r="90" spans="1:31" x14ac:dyDescent="0.25">
      <c r="A90" s="9">
        <v>45989</v>
      </c>
      <c r="B90" s="10"/>
      <c r="C90" s="10">
        <v>800</v>
      </c>
      <c r="D90" s="10">
        <v>80</v>
      </c>
      <c r="E90" s="11">
        <f t="shared" si="0"/>
        <v>10</v>
      </c>
      <c r="F90" s="13">
        <v>6</v>
      </c>
      <c r="G90" s="14">
        <f t="shared" si="1"/>
        <v>-4</v>
      </c>
      <c r="H90" s="13">
        <f ca="1">IFERROR(__xludf.DUMMYFUNCTION("IFERROR(
  AVERAGE(
    FILTER(
      $E$2:$E90,
      $A$2:$A90&gt;=A90-30,
      $A$2:$A90&lt;=A90,
      $E$2:$E90&gt;0
    )
  ),
  """"
)"),6.42971579504703)</f>
        <v>6.4297157950470298</v>
      </c>
      <c r="I90" s="14"/>
      <c r="J90" s="10"/>
      <c r="K90" s="10">
        <v>6380</v>
      </c>
      <c r="L90" s="10">
        <v>697</v>
      </c>
      <c r="M90" s="11">
        <f t="shared" si="2"/>
        <v>10.924764890282132</v>
      </c>
      <c r="N90" s="13">
        <v>8</v>
      </c>
      <c r="O90" s="14">
        <f t="shared" si="3"/>
        <v>-2.9247648902821322</v>
      </c>
      <c r="P90" s="13" t="str">
        <f ca="1">IFERROR(__xludf.DUMMYFUNCTION("IFERROR(
  AVERAGE(
    FILTER(
      $AA$2:$AA90,
      $A$2:$A90 &gt;= #REF! - 30,
      $A$2:$A90 &lt;= #REF!,
      $AA$2:$AA90 &gt; 0
    )
  ),
"""")"),"")</f>
        <v/>
      </c>
      <c r="Q90" s="10"/>
      <c r="R90" s="10">
        <v>7617</v>
      </c>
      <c r="S90" s="10">
        <v>521</v>
      </c>
      <c r="T90" s="11">
        <f t="shared" si="4"/>
        <v>6.8399632401207819</v>
      </c>
      <c r="U90" s="13">
        <v>8</v>
      </c>
      <c r="V90" s="14">
        <f t="shared" si="5"/>
        <v>1.1600367598792181</v>
      </c>
      <c r="W90" s="13" t="str">
        <f ca="1">IFERROR(__xludf.DUMMYFUNCTION("IFERROR(
  AVERAGE(
    FILTER(
      $AA$2:$AA90,
      $A$2:$A90 &gt;= #REF! - 30,
      $A$2:$A90 &lt;= #REF!,
      $AA$2:$AA90 &gt; 0
    )
  ),
"""")"),"")</f>
        <v/>
      </c>
      <c r="X90" s="10"/>
      <c r="Y90" s="10">
        <f t="shared" si="6"/>
        <v>13997</v>
      </c>
      <c r="Z90" s="10">
        <f t="shared" si="7"/>
        <v>1298</v>
      </c>
      <c r="AA90" s="11">
        <f t="shared" si="8"/>
        <v>9.2734157319425599</v>
      </c>
      <c r="AB90" s="13">
        <v>8</v>
      </c>
      <c r="AC90" s="14">
        <f t="shared" si="9"/>
        <v>-1.2734157319425599</v>
      </c>
      <c r="AD90" s="13">
        <f ca="1">IFERROR(__xludf.DUMMYFUNCTION("IFERROR(
  AVERAGE(
    FILTER(
      $AA$2:$AA90,
      $A$2:$A90 &gt;= A90 - 30,
      $A$2:$A90 &lt;= A90,
      $AA$2:$AA90 &gt; 0
    )
  ),
"""")"),9.20357700087431)</f>
        <v>9.2035770008743096</v>
      </c>
      <c r="AE90" s="14"/>
    </row>
    <row r="91" spans="1:31" x14ac:dyDescent="0.25">
      <c r="A91" s="9">
        <v>45990</v>
      </c>
      <c r="B91" s="10"/>
      <c r="C91" s="10">
        <v>1012</v>
      </c>
      <c r="D91" s="10">
        <v>35</v>
      </c>
      <c r="E91" s="11">
        <f t="shared" si="0"/>
        <v>3.458498023715415</v>
      </c>
      <c r="F91" s="13">
        <v>6</v>
      </c>
      <c r="G91" s="14">
        <f t="shared" si="1"/>
        <v>2.541501976284585</v>
      </c>
      <c r="H91" s="13">
        <f ca="1">IFERROR(__xludf.DUMMYFUNCTION("IFERROR(
  AVERAGE(
    FILTER(
      $E$2:$E91,
      $A$2:$A91&gt;=A91-30,
      $A$2:$A91&lt;=A91,
      $E$2:$E91&gt;0
    )
  ),
  """"
)"),6.31985302785014)</f>
        <v>6.3198530278501401</v>
      </c>
      <c r="I91" s="14"/>
      <c r="J91" s="10"/>
      <c r="K91" s="10">
        <v>5280</v>
      </c>
      <c r="L91" s="10">
        <v>563</v>
      </c>
      <c r="M91" s="11">
        <f t="shared" si="2"/>
        <v>10.662878787878787</v>
      </c>
      <c r="N91" s="13">
        <v>8</v>
      </c>
      <c r="O91" s="14">
        <f t="shared" si="3"/>
        <v>-2.6628787878787872</v>
      </c>
      <c r="P91" s="13" t="str">
        <f ca="1">IFERROR(__xludf.DUMMYFUNCTION("IFERROR(
  AVERAGE(
    FILTER(
      $AA$2:$AA91,
      $A$2:$A91 &gt;= #REF! - 30,
      $A$2:$A91 &lt;= #REF!,
      $AA$2:$AA91 &gt; 0
    )
  ),
"""")"),"")</f>
        <v/>
      </c>
      <c r="Q91" s="10"/>
      <c r="R91" s="10">
        <v>9068</v>
      </c>
      <c r="S91" s="10">
        <v>768</v>
      </c>
      <c r="T91" s="11">
        <f t="shared" si="4"/>
        <v>8.4693427437141597</v>
      </c>
      <c r="U91" s="13">
        <v>8</v>
      </c>
      <c r="V91" s="14">
        <f t="shared" si="5"/>
        <v>-0.46934274371415974</v>
      </c>
      <c r="W91" s="13" t="str">
        <f ca="1">IFERROR(__xludf.DUMMYFUNCTION("IFERROR(
  AVERAGE(
    FILTER(
      $AA$2:$AA91,
      $A$2:$A91 &gt;= #REF! - 30,
      $A$2:$A91 &lt;= #REF!,
      $AA$2:$AA91 &gt; 0
    )
  ),
"""")"),"")</f>
        <v/>
      </c>
      <c r="X91" s="10"/>
      <c r="Y91" s="10">
        <f t="shared" si="6"/>
        <v>14348</v>
      </c>
      <c r="Z91" s="10">
        <f t="shared" si="7"/>
        <v>1366</v>
      </c>
      <c r="AA91" s="11">
        <f t="shared" si="8"/>
        <v>9.520490660719263</v>
      </c>
      <c r="AB91" s="13">
        <v>8</v>
      </c>
      <c r="AC91" s="14">
        <f t="shared" si="9"/>
        <v>-1.520490660719263</v>
      </c>
      <c r="AD91" s="13">
        <f ca="1">IFERROR(__xludf.DUMMYFUNCTION("IFERROR(
  AVERAGE(
    FILTER(
      $AA$2:$AA91,
      $A$2:$A91 &gt;= A91 - 30,
      $A$2:$A91 &lt;= A91,
      $AA$2:$AA91 &gt; 0
    )
  ),
"""")"),9.15580731589855)</f>
        <v>9.1558073158985493</v>
      </c>
      <c r="AE91" s="14"/>
    </row>
    <row r="92" spans="1:31" x14ac:dyDescent="0.25">
      <c r="A92" s="9">
        <v>45991</v>
      </c>
      <c r="B92" s="10"/>
      <c r="C92" s="10"/>
      <c r="D92" s="10"/>
      <c r="E92" s="11" t="e">
        <f t="shared" si="0"/>
        <v>#DIV/0!</v>
      </c>
      <c r="F92" s="13">
        <v>6</v>
      </c>
      <c r="G92" s="14" t="e">
        <f t="shared" si="1"/>
        <v>#DIV/0!</v>
      </c>
      <c r="H92" s="13">
        <f ca="1">IFERROR(__xludf.DUMMYFUNCTION("IFERROR(
  AVERAGE(
    FILTER(
      $E$2:$E92,
      $A$2:$A92&gt;=A92-30,
      $A$2:$A92&lt;=A92,
      $E$2:$E92&gt;0
    )
  ),
  """"
)"),6.31004706077107)</f>
        <v>6.3100470607710699</v>
      </c>
      <c r="I92" s="14"/>
      <c r="J92" s="10"/>
      <c r="K92" s="10">
        <v>720</v>
      </c>
      <c r="L92" s="10">
        <v>128</v>
      </c>
      <c r="M92" s="11">
        <f t="shared" si="2"/>
        <v>17.777777777777779</v>
      </c>
      <c r="N92" s="13">
        <v>8</v>
      </c>
      <c r="O92" s="14">
        <f t="shared" si="3"/>
        <v>-9.7777777777777786</v>
      </c>
      <c r="P92" s="13" t="str">
        <f ca="1">IFERROR(__xludf.DUMMYFUNCTION("IFERROR(
  AVERAGE(
    FILTER(
      $AA$2:$AA92,
      $A$2:$A92 &gt;= #REF! - 30,
      $A$2:$A92 &lt;= #REF!,
      $AA$2:$AA92 &gt; 0
    )
  ),
"""")"),"")</f>
        <v/>
      </c>
      <c r="Q92" s="10"/>
      <c r="R92" s="10">
        <v>5302</v>
      </c>
      <c r="S92" s="10">
        <v>388</v>
      </c>
      <c r="T92" s="11">
        <f t="shared" si="4"/>
        <v>7.3179932101093925</v>
      </c>
      <c r="U92" s="13">
        <v>8</v>
      </c>
      <c r="V92" s="14">
        <f t="shared" si="5"/>
        <v>0.68200678989060748</v>
      </c>
      <c r="W92" s="13" t="str">
        <f ca="1">IFERROR(__xludf.DUMMYFUNCTION("IFERROR(
  AVERAGE(
    FILTER(
      $AA$2:$AA92,
      $A$2:$A92 &gt;= #REF! - 30,
      $A$2:$A92 &lt;= #REF!,
      $AA$2:$AA92 &gt; 0
    )
  ),
"""")"),"")</f>
        <v/>
      </c>
      <c r="X92" s="10"/>
      <c r="Y92" s="10">
        <f t="shared" si="6"/>
        <v>6022</v>
      </c>
      <c r="Z92" s="10">
        <f t="shared" si="7"/>
        <v>516</v>
      </c>
      <c r="AA92" s="11">
        <f t="shared" si="8"/>
        <v>8.5685818664895379</v>
      </c>
      <c r="AB92" s="13">
        <v>8</v>
      </c>
      <c r="AC92" s="14">
        <f t="shared" si="9"/>
        <v>-0.5685818664895379</v>
      </c>
      <c r="AD92" s="13">
        <f ca="1">IFERROR(__xludf.DUMMYFUNCTION("IFERROR(
  AVERAGE(
    FILTER(
      $AA$2:$AA92,
      $A$2:$A92 &gt;= A92 - 30,
      $A$2:$A92 &lt;= A92,
      $AA$2:$AA92 &gt; 0
    )
  ),
"""")"),9.13763725398206)</f>
        <v>9.1376372539820601</v>
      </c>
      <c r="AE92" s="14"/>
    </row>
    <row r="93" spans="1:31" x14ac:dyDescent="0.25">
      <c r="A93" s="9">
        <v>45992</v>
      </c>
      <c r="B93" s="10"/>
      <c r="C93" s="10"/>
      <c r="D93" s="10"/>
      <c r="E93" s="11" t="e">
        <f t="shared" si="0"/>
        <v>#DIV/0!</v>
      </c>
      <c r="F93" s="13">
        <v>6</v>
      </c>
      <c r="G93" s="14" t="e">
        <f t="shared" si="1"/>
        <v>#DIV/0!</v>
      </c>
      <c r="H93" s="13">
        <f ca="1">IFERROR(__xludf.DUMMYFUNCTION("IFERROR(
  AVERAGE(
    FILTER(
      $E$2:$E93,
      $A$2:$A93&gt;=A93-30,
      $A$2:$A93&lt;=A93,
      $E$2:$E93&gt;0
    )
  ),
  """"
)"),6.25373547894352)</f>
        <v>6.2537354789435202</v>
      </c>
      <c r="I93" s="14"/>
      <c r="J93" s="10"/>
      <c r="K93" s="10">
        <v>2872</v>
      </c>
      <c r="L93" s="10">
        <v>206</v>
      </c>
      <c r="M93" s="11">
        <f t="shared" si="2"/>
        <v>7.1727019498607243</v>
      </c>
      <c r="N93" s="13">
        <v>8</v>
      </c>
      <c r="O93" s="14">
        <f t="shared" si="3"/>
        <v>0.82729805013927571</v>
      </c>
      <c r="P93" s="13" t="str">
        <f ca="1">IFERROR(__xludf.DUMMYFUNCTION("IFERROR(
  AVERAGE(
    FILTER(
      $AA$2:$AA93,
      $A$2:$A93 &gt;= #REF! - 30,
      $A$2:$A93 &lt;= #REF!,
      $AA$2:$AA93 &gt; 0
    )
  ),
"""")"),"")</f>
        <v/>
      </c>
      <c r="Q93" s="10"/>
      <c r="R93" s="10">
        <v>8737</v>
      </c>
      <c r="S93" s="10">
        <v>821</v>
      </c>
      <c r="T93" s="11">
        <f t="shared" si="4"/>
        <v>9.3968181297928339</v>
      </c>
      <c r="U93" s="13">
        <v>8</v>
      </c>
      <c r="V93" s="14">
        <f t="shared" si="5"/>
        <v>-1.3968181297928339</v>
      </c>
      <c r="W93" s="13" t="str">
        <f ca="1">IFERROR(__xludf.DUMMYFUNCTION("IFERROR(
  AVERAGE(
    FILTER(
      $AA$2:$AA93,
      $A$2:$A93 &gt;= #REF! - 30,
      $A$2:$A93 &lt;= #REF!,
      $AA$2:$AA93 &gt; 0
    )
  ),
"""")"),"")</f>
        <v/>
      </c>
      <c r="X93" s="10"/>
      <c r="Y93" s="10">
        <f t="shared" si="6"/>
        <v>11609</v>
      </c>
      <c r="Z93" s="10">
        <f t="shared" si="7"/>
        <v>1027</v>
      </c>
      <c r="AA93" s="11">
        <f t="shared" si="8"/>
        <v>8.846584546472565</v>
      </c>
      <c r="AB93" s="13">
        <v>8</v>
      </c>
      <c r="AC93" s="14">
        <f t="shared" si="9"/>
        <v>-0.84658454647256498</v>
      </c>
      <c r="AD93" s="13">
        <f ca="1">IFERROR(__xludf.DUMMYFUNCTION("IFERROR(
  AVERAGE(
    FILTER(
      $AA$2:$AA93,
      $A$2:$A93 &gt;= A93 - 30,
      $A$2:$A93 &lt;= A93,
      $AA$2:$AA93 &gt; 0
    )
  ),
"""")"),9.13821462127843)</f>
        <v>9.1382146212784292</v>
      </c>
      <c r="AE93" s="14"/>
    </row>
    <row r="94" spans="1:31" x14ac:dyDescent="0.25">
      <c r="A94" s="9">
        <v>45993</v>
      </c>
      <c r="B94" s="10"/>
      <c r="C94" s="10"/>
      <c r="D94" s="10"/>
      <c r="E94" s="11" t="e">
        <f t="shared" si="0"/>
        <v>#DIV/0!</v>
      </c>
      <c r="F94" s="13">
        <v>6</v>
      </c>
      <c r="G94" s="14" t="e">
        <f t="shared" si="1"/>
        <v>#DIV/0!</v>
      </c>
      <c r="H94" s="13">
        <f ca="1">IFERROR(__xludf.DUMMYFUNCTION("IFERROR(
  AVERAGE(
    FILTER(
      $E$2:$E94,
      $A$2:$A94&gt;=A94-30,
      $A$2:$A94&lt;=A94,
      $E$2:$E94&gt;0
    )
  ),
  """"
)"),6.12618847423159)</f>
        <v>6.12618847423159</v>
      </c>
      <c r="I94" s="14"/>
      <c r="J94" s="10"/>
      <c r="K94" s="10">
        <v>4080</v>
      </c>
      <c r="L94" s="10">
        <v>224</v>
      </c>
      <c r="M94" s="11">
        <f t="shared" si="2"/>
        <v>5.4901960784313726</v>
      </c>
      <c r="N94" s="13">
        <v>8</v>
      </c>
      <c r="O94" s="14">
        <f t="shared" si="3"/>
        <v>2.5098039215686274</v>
      </c>
      <c r="P94" s="13" t="str">
        <f ca="1">IFERROR(__xludf.DUMMYFUNCTION("IFERROR(
  AVERAGE(
    FILTER(
      $AA$2:$AA94,
      $A$2:$A94 &gt;= #REF! - 30,
      $A$2:$A94 &lt;= #REF!,
      $AA$2:$AA94 &gt; 0
    )
  ),
"""")"),"")</f>
        <v/>
      </c>
      <c r="Q94" s="10"/>
      <c r="R94" s="10">
        <v>9595</v>
      </c>
      <c r="S94" s="10">
        <v>656</v>
      </c>
      <c r="T94" s="11">
        <f t="shared" si="4"/>
        <v>6.8368942157373631</v>
      </c>
      <c r="U94" s="13">
        <v>8</v>
      </c>
      <c r="V94" s="14">
        <f t="shared" si="5"/>
        <v>1.1631057842626369</v>
      </c>
      <c r="W94" s="13" t="str">
        <f ca="1">IFERROR(__xludf.DUMMYFUNCTION("IFERROR(
  AVERAGE(
    FILTER(
      $AA$2:$AA94,
      $A$2:$A94 &gt;= #REF! - 30,
      $A$2:$A94 &lt;= #REF!,
      $AA$2:$AA94 &gt; 0
    )
  ),
"""")"),"")</f>
        <v/>
      </c>
      <c r="X94" s="10"/>
      <c r="Y94" s="10">
        <f t="shared" si="6"/>
        <v>13675</v>
      </c>
      <c r="Z94" s="10">
        <f t="shared" si="7"/>
        <v>880</v>
      </c>
      <c r="AA94" s="11">
        <f t="shared" si="8"/>
        <v>6.4351005484460693</v>
      </c>
      <c r="AB94" s="13">
        <v>8</v>
      </c>
      <c r="AC94" s="14">
        <f t="shared" si="9"/>
        <v>1.5648994515539307</v>
      </c>
      <c r="AD94" s="13">
        <f ca="1">IFERROR(__xludf.DUMMYFUNCTION("IFERROR(
  AVERAGE(
    FILTER(
      $AA$2:$AA94,
      $A$2:$A94 &gt;= A94 - 30,
      $A$2:$A94 &lt;= A94,
      $AA$2:$AA94 &gt; 0
    )
  ),
"""")"),9.03556781290691)</f>
        <v>9.0355678129069101</v>
      </c>
      <c r="AE94" s="14"/>
    </row>
    <row r="95" spans="1:31" x14ac:dyDescent="0.25">
      <c r="A95" s="9">
        <v>45994</v>
      </c>
      <c r="B95" s="10"/>
      <c r="C95" s="10"/>
      <c r="D95" s="10"/>
      <c r="E95" s="11" t="e">
        <f t="shared" si="0"/>
        <v>#DIV/0!</v>
      </c>
      <c r="F95" s="13">
        <v>6</v>
      </c>
      <c r="G95" s="14" t="e">
        <f t="shared" si="1"/>
        <v>#DIV/0!</v>
      </c>
      <c r="H95" s="13">
        <f ca="1">IFERROR(__xludf.DUMMYFUNCTION("IFERROR(
  AVERAGE(
    FILTER(
      $E$2:$E95,
      $A$2:$A95&gt;=A95-30,
      $A$2:$A95&lt;=A95,
      $E$2:$E95&gt;0
    )
  ),
  """"
)"),5.98272712127199)</f>
        <v>5.9827271212719904</v>
      </c>
      <c r="I95" s="14"/>
      <c r="J95" s="10"/>
      <c r="K95" s="10">
        <v>5718</v>
      </c>
      <c r="L95" s="10">
        <v>449</v>
      </c>
      <c r="M95" s="11">
        <f t="shared" si="2"/>
        <v>7.852395942637286</v>
      </c>
      <c r="N95" s="13">
        <v>8</v>
      </c>
      <c r="O95" s="14">
        <f t="shared" si="3"/>
        <v>0.14760405736271398</v>
      </c>
      <c r="P95" s="13" t="str">
        <f ca="1">IFERROR(__xludf.DUMMYFUNCTION("IFERROR(
  AVERAGE(
    FILTER(
      $AA$2:$AA95,
      $A$2:$A95 &gt;= #REF! - 30,
      $A$2:$A95 &lt;= #REF!,
      $AA$2:$AA95 &gt; 0
    )
  ),
"""")"),"")</f>
        <v/>
      </c>
      <c r="Q95" s="10"/>
      <c r="R95" s="10">
        <v>6583</v>
      </c>
      <c r="S95" s="10">
        <v>741</v>
      </c>
      <c r="T95" s="11">
        <f t="shared" si="4"/>
        <v>11.256266140057726</v>
      </c>
      <c r="U95" s="13">
        <v>8</v>
      </c>
      <c r="V95" s="14">
        <f t="shared" si="5"/>
        <v>-3.2562661400577255</v>
      </c>
      <c r="W95" s="13" t="str">
        <f ca="1">IFERROR(__xludf.DUMMYFUNCTION("IFERROR(
  AVERAGE(
    FILTER(
      $AA$2:$AA95,
      $A$2:$A95 &gt;= #REF! - 30,
      $A$2:$A95 &lt;= #REF!,
      $AA$2:$AA95 &gt; 0
    )
  ),
"""")"),"")</f>
        <v/>
      </c>
      <c r="X95" s="10"/>
      <c r="Y95" s="10">
        <f t="shared" si="6"/>
        <v>12301</v>
      </c>
      <c r="Z95" s="10">
        <f t="shared" si="7"/>
        <v>1190</v>
      </c>
      <c r="AA95" s="11">
        <f t="shared" si="8"/>
        <v>9.6740102430696702</v>
      </c>
      <c r="AB95" s="13">
        <v>8</v>
      </c>
      <c r="AC95" s="14">
        <f t="shared" si="9"/>
        <v>-1.6740102430696702</v>
      </c>
      <c r="AD95" s="13">
        <f ca="1">IFERROR(__xludf.DUMMYFUNCTION("IFERROR(
  AVERAGE(
    FILTER(
      $AA$2:$AA95,
      $A$2:$A95 &gt;= A95 - 30,
      $A$2:$A95 &lt;= A95,
      $AA$2:$AA95 &gt; 0
    )
  ),
"""")"),8.99909105454922)</f>
        <v>8.9990910545492202</v>
      </c>
      <c r="AE95" s="14"/>
    </row>
    <row r="96" spans="1:31" x14ac:dyDescent="0.25">
      <c r="A96" s="9">
        <v>45995</v>
      </c>
      <c r="B96" s="10"/>
      <c r="C96" s="10"/>
      <c r="D96" s="10"/>
      <c r="E96" s="11" t="e">
        <f t="shared" si="0"/>
        <v>#DIV/0!</v>
      </c>
      <c r="F96" s="13">
        <v>6</v>
      </c>
      <c r="G96" s="14" t="e">
        <f t="shared" si="1"/>
        <v>#DIV/0!</v>
      </c>
      <c r="H96" s="13">
        <f ca="1">IFERROR(__xludf.DUMMYFUNCTION("IFERROR(
  AVERAGE(
    FILTER(
      $E$2:$E96,
      $A$2:$A96&gt;=A96-30,
      $A$2:$A96&lt;=A96,
      $E$2:$E96&gt;0
    )
  ),
  """"
)"),6.01040723138098)</f>
        <v>6.01040723138098</v>
      </c>
      <c r="I96" s="14"/>
      <c r="J96" s="10"/>
      <c r="K96" s="10">
        <v>4184</v>
      </c>
      <c r="L96" s="10">
        <v>353</v>
      </c>
      <c r="M96" s="11">
        <f t="shared" si="2"/>
        <v>8.4369024856596564</v>
      </c>
      <c r="N96" s="13">
        <v>8</v>
      </c>
      <c r="O96" s="14">
        <f t="shared" si="3"/>
        <v>-0.43690248565965639</v>
      </c>
      <c r="P96" s="13" t="str">
        <f ca="1">IFERROR(__xludf.DUMMYFUNCTION("IFERROR(
  AVERAGE(
    FILTER(
      $AA$2:$AA96,
      $A$2:$A96 &gt;= #REF! - 30,
      $A$2:$A96 &lt;= #REF!,
      $AA$2:$AA96 &gt; 0
    )
  ),
"""")"),"")</f>
        <v/>
      </c>
      <c r="Q96" s="10"/>
      <c r="R96" s="10">
        <v>7492</v>
      </c>
      <c r="S96" s="10">
        <v>630.5</v>
      </c>
      <c r="T96" s="11">
        <f t="shared" si="4"/>
        <v>8.4156433529097701</v>
      </c>
      <c r="U96" s="13">
        <v>8</v>
      </c>
      <c r="V96" s="14">
        <f t="shared" si="5"/>
        <v>-0.41564335290977006</v>
      </c>
      <c r="W96" s="13" t="str">
        <f ca="1">IFERROR(__xludf.DUMMYFUNCTION("IFERROR(
  AVERAGE(
    FILTER(
      $AA$2:$AA96,
      $A$2:$A96 &gt;= #REF! - 30,
      $A$2:$A96 &lt;= #REF!,
      $AA$2:$AA96 &gt; 0
    )
  ),
"""")"),"")</f>
        <v/>
      </c>
      <c r="X96" s="10"/>
      <c r="Y96" s="10">
        <f t="shared" si="6"/>
        <v>11676</v>
      </c>
      <c r="Z96" s="10">
        <f t="shared" si="7"/>
        <v>983.5</v>
      </c>
      <c r="AA96" s="11">
        <f t="shared" si="8"/>
        <v>8.4232613908872906</v>
      </c>
      <c r="AB96" s="13">
        <v>8</v>
      </c>
      <c r="AC96" s="14">
        <f t="shared" si="9"/>
        <v>-0.42326139088729064</v>
      </c>
      <c r="AD96" s="13">
        <f ca="1">IFERROR(__xludf.DUMMYFUNCTION("IFERROR(
  AVERAGE(
    FILTER(
      $AA$2:$AA96,
      $A$2:$A96 &gt;= A96 - 30,
      $A$2:$A96 &lt;= A96,
      $AA$2:$AA96 &gt; 0
    )
  ),
"""")"),9.0432566319348)</f>
        <v>9.0432566319347991</v>
      </c>
      <c r="AE96" s="14"/>
    </row>
    <row r="97" spans="1:31" x14ac:dyDescent="0.25">
      <c r="A97" s="9">
        <v>45996</v>
      </c>
      <c r="B97" s="10"/>
      <c r="C97" s="10"/>
      <c r="D97" s="10"/>
      <c r="E97" s="11" t="e">
        <f t="shared" si="0"/>
        <v>#DIV/0!</v>
      </c>
      <c r="F97" s="13">
        <v>6</v>
      </c>
      <c r="G97" s="14" t="e">
        <f t="shared" si="1"/>
        <v>#DIV/0!</v>
      </c>
      <c r="H97" s="13">
        <f ca="1">IFERROR(__xludf.DUMMYFUNCTION("IFERROR(
  AVERAGE(
    FILTER(
      $E$2:$E97,
      $A$2:$A97&gt;=A97-30,
      $A$2:$A97&lt;=A97,
      $E$2:$E97&gt;0
    )
  ),
  """"
)"),5.7499901544845)</f>
        <v>5.7499901544845002</v>
      </c>
      <c r="I97" s="14"/>
      <c r="J97" s="10"/>
      <c r="K97" s="10">
        <v>1280</v>
      </c>
      <c r="L97" s="10">
        <v>168</v>
      </c>
      <c r="M97" s="11">
        <f t="shared" si="2"/>
        <v>13.125</v>
      </c>
      <c r="N97" s="13">
        <v>8</v>
      </c>
      <c r="O97" s="14">
        <f t="shared" si="3"/>
        <v>-5.125</v>
      </c>
      <c r="P97" s="13" t="str">
        <f ca="1">IFERROR(__xludf.DUMMYFUNCTION("IFERROR(
  AVERAGE(
    FILTER(
      $AA$2:$AA97,
      $A$2:$A97 &gt;= #REF! - 30,
      $A$2:$A97 &lt;= #REF!,
      $AA$2:$AA97 &gt; 0
    )
  ),
"""")"),"")</f>
        <v/>
      </c>
      <c r="Q97" s="10"/>
      <c r="R97" s="10">
        <v>5447</v>
      </c>
      <c r="S97" s="10">
        <v>605.29999999999995</v>
      </c>
      <c r="T97" s="11">
        <f t="shared" si="4"/>
        <v>11.112539012300347</v>
      </c>
      <c r="U97" s="13">
        <v>8</v>
      </c>
      <c r="V97" s="14">
        <f t="shared" si="5"/>
        <v>-3.1125390123003474</v>
      </c>
      <c r="W97" s="13" t="str">
        <f ca="1">IFERROR(__xludf.DUMMYFUNCTION("IFERROR(
  AVERAGE(
    FILTER(
      $AA$2:$AA97,
      $A$2:$A97 &gt;= #REF! - 30,
      $A$2:$A97 &lt;= #REF!,
      $AA$2:$AA97 &gt; 0
    )
  ),
"""")"),"")</f>
        <v/>
      </c>
      <c r="X97" s="10"/>
      <c r="Y97" s="10">
        <f t="shared" si="6"/>
        <v>6727</v>
      </c>
      <c r="Z97" s="10">
        <f t="shared" si="7"/>
        <v>773.3</v>
      </c>
      <c r="AA97" s="11">
        <f t="shared" si="8"/>
        <v>11.495466032406719</v>
      </c>
      <c r="AB97" s="13">
        <v>8</v>
      </c>
      <c r="AC97" s="14">
        <f t="shared" si="9"/>
        <v>-3.4954660324067195</v>
      </c>
      <c r="AD97" s="13">
        <f ca="1">IFERROR(__xludf.DUMMYFUNCTION("IFERROR(
  AVERAGE(
    FILTER(
      $AA$2:$AA97,
      $A$2:$A97 &gt;= A97 - 30,
      $A$2:$A97 &lt;= A97,
      $AA$2:$AA97 &gt; 0
    )
  ),
"""")"),8.92026320499373)</f>
        <v>8.9202632049937307</v>
      </c>
      <c r="AE97" s="14"/>
    </row>
    <row r="98" spans="1:31" x14ac:dyDescent="0.25">
      <c r="A98" s="9">
        <v>45997</v>
      </c>
      <c r="B98" s="10"/>
      <c r="C98" s="10"/>
      <c r="D98" s="10"/>
      <c r="E98" s="11" t="e">
        <f t="shared" si="0"/>
        <v>#DIV/0!</v>
      </c>
      <c r="F98" s="13">
        <v>6</v>
      </c>
      <c r="G98" s="14" t="e">
        <f t="shared" si="1"/>
        <v>#DIV/0!</v>
      </c>
      <c r="H98" s="13">
        <f ca="1">IFERROR(__xludf.DUMMYFUNCTION("IFERROR(
  AVERAGE(
    FILTER(
      $E$2:$E98,
      $A$2:$A98&gt;=A98-30,
      $A$2:$A98&lt;=A98,
      $E$2:$E98&gt;0
    )
  ),
  """"
)"),5.6852220754894)</f>
        <v>5.6852220754894001</v>
      </c>
      <c r="I98" s="14"/>
      <c r="J98" s="10"/>
      <c r="K98" s="10">
        <v>1760</v>
      </c>
      <c r="L98" s="10">
        <v>198</v>
      </c>
      <c r="M98" s="11">
        <f t="shared" si="2"/>
        <v>11.25</v>
      </c>
      <c r="N98" s="13">
        <v>8</v>
      </c>
      <c r="O98" s="14">
        <f t="shared" si="3"/>
        <v>-3.25</v>
      </c>
      <c r="P98" s="13" t="str">
        <f ca="1">IFERROR(__xludf.DUMMYFUNCTION("IFERROR(
  AVERAGE(
    FILTER(
      $AA$2:$AA98,
      $A$2:$A98 &gt;= #REF! - 30,
      $A$2:$A98 &lt;= #REF!,
      $AA$2:$AA98 &gt; 0
    )
  ),
"""")"),"")</f>
        <v/>
      </c>
      <c r="Q98" s="10"/>
      <c r="R98" s="10">
        <v>8569</v>
      </c>
      <c r="S98" s="10">
        <v>695</v>
      </c>
      <c r="T98" s="11">
        <f t="shared" si="4"/>
        <v>8.1106313455479064</v>
      </c>
      <c r="U98" s="13">
        <v>8</v>
      </c>
      <c r="V98" s="14">
        <f t="shared" si="5"/>
        <v>-0.11063134554790643</v>
      </c>
      <c r="W98" s="13" t="str">
        <f ca="1">IFERROR(__xludf.DUMMYFUNCTION("IFERROR(
  AVERAGE(
    FILTER(
      $AA$2:$AA98,
      $A$2:$A98 &gt;= #REF! - 30,
      $A$2:$A98 &lt;= #REF!,
      $AA$2:$AA98 &gt; 0
    )
  ),
"""")"),"")</f>
        <v/>
      </c>
      <c r="X98" s="10"/>
      <c r="Y98" s="10">
        <f t="shared" si="6"/>
        <v>10329</v>
      </c>
      <c r="Z98" s="10">
        <f t="shared" si="7"/>
        <v>893</v>
      </c>
      <c r="AA98" s="11">
        <f t="shared" si="8"/>
        <v>8.6455610417271753</v>
      </c>
      <c r="AB98" s="13">
        <v>8</v>
      </c>
      <c r="AC98" s="14">
        <f t="shared" si="9"/>
        <v>-0.64556104172717532</v>
      </c>
      <c r="AD98" s="13">
        <f ca="1">IFERROR(__xludf.DUMMYFUNCTION("IFERROR(
  AVERAGE(
    FILTER(
      $AA$2:$AA98,
      $A$2:$A98 &gt;= A98 - 30,
      $A$2:$A98 &lt;= A98,
      $AA$2:$AA98 &gt; 0
    )
  ),
"""")"),8.84996416110149)</f>
        <v>8.8499641611014894</v>
      </c>
      <c r="AE98" s="14"/>
    </row>
    <row r="99" spans="1:31" x14ac:dyDescent="0.25">
      <c r="A99" s="9">
        <v>45998</v>
      </c>
      <c r="B99" s="10"/>
      <c r="C99" s="10"/>
      <c r="D99" s="10"/>
      <c r="E99" s="11" t="e">
        <f t="shared" si="0"/>
        <v>#DIV/0!</v>
      </c>
      <c r="F99" s="13">
        <v>6</v>
      </c>
      <c r="G99" s="14" t="e">
        <f t="shared" si="1"/>
        <v>#DIV/0!</v>
      </c>
      <c r="H99" s="13">
        <f ca="1">IFERROR(__xludf.DUMMYFUNCTION("IFERROR(
  AVERAGE(
    FILTER(
      $E$2:$E99,
      $A$2:$A99&gt;=A99-30,
      $A$2:$A99&lt;=A99,
      $E$2:$E99&gt;0
    )
  ),
  """"
)"),5.72234406111468)</f>
        <v>5.7223440611146801</v>
      </c>
      <c r="I99" s="14"/>
      <c r="J99" s="10"/>
      <c r="K99" s="10">
        <v>0</v>
      </c>
      <c r="L99" s="10">
        <v>0</v>
      </c>
      <c r="M99" s="11" t="e">
        <f t="shared" si="2"/>
        <v>#DIV/0!</v>
      </c>
      <c r="N99" s="13">
        <v>8</v>
      </c>
      <c r="O99" s="14" t="e">
        <f t="shared" si="3"/>
        <v>#DIV/0!</v>
      </c>
      <c r="P99" s="13" t="str">
        <f ca="1">IFERROR(__xludf.DUMMYFUNCTION("IFERROR(
  AVERAGE(
    FILTER(
      $AA$2:$AA99,
      $A$2:$A99 &gt;= #REF! - 30,
      $A$2:$A99 &lt;= #REF!,
      $AA$2:$AA99 &gt; 0
    )
  ),
"""")"),"")</f>
        <v/>
      </c>
      <c r="Q99" s="10"/>
      <c r="R99" s="10">
        <v>0</v>
      </c>
      <c r="S99" s="10">
        <v>0</v>
      </c>
      <c r="T99" s="11" t="e">
        <f t="shared" si="4"/>
        <v>#DIV/0!</v>
      </c>
      <c r="U99" s="13">
        <v>8</v>
      </c>
      <c r="V99" s="14" t="e">
        <f t="shared" si="5"/>
        <v>#DIV/0!</v>
      </c>
      <c r="W99" s="13" t="str">
        <f ca="1">IFERROR(__xludf.DUMMYFUNCTION("IFERROR(
  AVERAGE(
    FILTER(
      $AA$2:$AA99,
      $A$2:$A99 &gt;= #REF! - 30,
      $A$2:$A99 &lt;= #REF!,
      $AA$2:$AA99 &gt; 0
    )
  ),
"""")"),"")</f>
        <v/>
      </c>
      <c r="X99" s="10"/>
      <c r="Y99" s="10">
        <f t="shared" si="6"/>
        <v>0</v>
      </c>
      <c r="Z99" s="10">
        <f t="shared" si="7"/>
        <v>0</v>
      </c>
      <c r="AA99" s="11" t="e">
        <f t="shared" si="8"/>
        <v>#DIV/0!</v>
      </c>
      <c r="AB99" s="13">
        <v>8</v>
      </c>
      <c r="AC99" s="14" t="e">
        <f t="shared" si="9"/>
        <v>#DIV/0!</v>
      </c>
      <c r="AD99" s="13">
        <f ca="1">IFERROR(__xludf.DUMMYFUNCTION("IFERROR(
  AVERAGE(
    FILTER(
      $AA$2:$AA99,
      $A$2:$A99 &gt;= A99 - 30,
      $A$2:$A99 &lt;= A99,
      $AA$2:$AA99 &gt; 0
    )
  ),
"""")"),8.82877622610722)</f>
        <v>8.8287762261072196</v>
      </c>
      <c r="AE99" s="14"/>
    </row>
    <row r="100" spans="1:31" x14ac:dyDescent="0.25">
      <c r="A100" s="9">
        <v>45999</v>
      </c>
      <c r="B100" s="10"/>
      <c r="C100" s="10"/>
      <c r="D100" s="10"/>
      <c r="E100" s="11" t="e">
        <f t="shared" si="0"/>
        <v>#DIV/0!</v>
      </c>
      <c r="F100" s="13">
        <v>6</v>
      </c>
      <c r="G100" s="14" t="e">
        <f t="shared" si="1"/>
        <v>#DIV/0!</v>
      </c>
      <c r="H100" s="13">
        <f ca="1">IFERROR(__xludf.DUMMYFUNCTION("IFERROR(
  AVERAGE(
    FILTER(
      $E$2:$E100,
      $A$2:$A100&gt;=A100-30,
      $A$2:$A100&lt;=A100,
      $E$2:$E100&gt;0
    )
  ),
  """"
)"),5.72490738893412)</f>
        <v>5.7249073889341204</v>
      </c>
      <c r="I100" s="14"/>
      <c r="J100" s="10"/>
      <c r="K100" s="10">
        <v>345</v>
      </c>
      <c r="L100" s="10">
        <v>11</v>
      </c>
      <c r="M100" s="11">
        <f t="shared" si="2"/>
        <v>3.1884057971014492</v>
      </c>
      <c r="N100" s="13">
        <v>8</v>
      </c>
      <c r="O100" s="14">
        <f t="shared" si="3"/>
        <v>4.8115942028985508</v>
      </c>
      <c r="P100" s="13" t="str">
        <f ca="1">IFERROR(__xludf.DUMMYFUNCTION("IFERROR(
  AVERAGE(
    FILTER(
      $AA$2:$AA100,
      $A$2:$A100 &gt;= #REF! - 30,
      $A$2:$A100 &lt;= #REF!,
      $AA$2:$AA100 &gt; 0
    )
  ),
"""")"),"")</f>
        <v/>
      </c>
      <c r="Q100" s="10"/>
      <c r="R100" s="10">
        <v>9095</v>
      </c>
      <c r="S100" s="10">
        <v>867</v>
      </c>
      <c r="T100" s="11">
        <f t="shared" si="4"/>
        <v>9.5327102803738324</v>
      </c>
      <c r="U100" s="13">
        <v>8</v>
      </c>
      <c r="V100" s="14">
        <f t="shared" si="5"/>
        <v>-1.5327102803738324</v>
      </c>
      <c r="W100" s="13" t="str">
        <f ca="1">IFERROR(__xludf.DUMMYFUNCTION("IFERROR(
  AVERAGE(
    FILTER(
      $AA$2:$AA100,
      $A$2:$A100 &gt;= #REF! - 30,
      $A$2:$A100 &lt;= #REF!,
      $AA$2:$AA100 &gt; 0
    )
  ),
"""")"),"")</f>
        <v/>
      </c>
      <c r="X100" s="10"/>
      <c r="Y100" s="10">
        <f t="shared" si="6"/>
        <v>9440</v>
      </c>
      <c r="Z100" s="10">
        <f t="shared" si="7"/>
        <v>878</v>
      </c>
      <c r="AA100" s="11">
        <f t="shared" si="8"/>
        <v>9.3008474576271194</v>
      </c>
      <c r="AB100" s="13">
        <v>8</v>
      </c>
      <c r="AC100" s="14">
        <f t="shared" si="9"/>
        <v>-1.3008474576271194</v>
      </c>
      <c r="AD100" s="13">
        <f ca="1">IFERROR(__xludf.DUMMYFUNCTION("IFERROR(
  AVERAGE(
    FILTER(
      $AA$2:$AA100,
      $A$2:$A100 &gt;= A100 - 30,
      $A$2:$A100 &lt;= A100,
      $AA$2:$AA100 &gt; 0
    )
  ),
"""")"),8.86358854730495)</f>
        <v>8.8635885473049498</v>
      </c>
      <c r="AE100" s="14"/>
    </row>
    <row r="101" spans="1:31" x14ac:dyDescent="0.25">
      <c r="A101" s="9">
        <v>46000</v>
      </c>
      <c r="B101" s="10"/>
      <c r="C101" s="10"/>
      <c r="D101" s="10"/>
      <c r="E101" s="11" t="e">
        <f t="shared" si="0"/>
        <v>#DIV/0!</v>
      </c>
      <c r="F101" s="13">
        <v>6</v>
      </c>
      <c r="G101" s="14" t="e">
        <f t="shared" si="1"/>
        <v>#DIV/0!</v>
      </c>
      <c r="H101" s="13">
        <f ca="1">IFERROR(__xludf.DUMMYFUNCTION("IFERROR(
  AVERAGE(
    FILTER(
      $E$2:$E101,
      $A$2:$A101&gt;=A101-30,
      $A$2:$A101&lt;=A101,
      $E$2:$E101&gt;0
    )
  ),
  """"
)"),5.65270387290179)</f>
        <v>5.6527038729017898</v>
      </c>
      <c r="I101" s="14"/>
      <c r="J101" s="10"/>
      <c r="K101" s="10">
        <v>6328</v>
      </c>
      <c r="L101" s="10">
        <v>502</v>
      </c>
      <c r="M101" s="11">
        <f t="shared" si="2"/>
        <v>7.9329962073324909</v>
      </c>
      <c r="N101" s="13">
        <v>8</v>
      </c>
      <c r="O101" s="14">
        <f t="shared" si="3"/>
        <v>6.700379266750911E-2</v>
      </c>
      <c r="P101" s="13" t="str">
        <f ca="1">IFERROR(__xludf.DUMMYFUNCTION("IFERROR(
  AVERAGE(
    FILTER(
      $AA$2:$AA101,
      $A$2:$A101 &gt;= #REF! - 30,
      $A$2:$A101 &lt;= #REF!,
      $AA$2:$AA101 &gt; 0
    )
  ),
"""")"),"")</f>
        <v/>
      </c>
      <c r="Q101" s="10"/>
      <c r="R101" s="10">
        <v>4486</v>
      </c>
      <c r="S101" s="10">
        <v>410</v>
      </c>
      <c r="T101" s="11">
        <f t="shared" si="4"/>
        <v>9.1395452518947824</v>
      </c>
      <c r="U101" s="13">
        <v>8</v>
      </c>
      <c r="V101" s="14">
        <f t="shared" si="5"/>
        <v>-1.1395452518947824</v>
      </c>
      <c r="W101" s="13" t="str">
        <f ca="1">IFERROR(__xludf.DUMMYFUNCTION("IFERROR(
  AVERAGE(
    FILTER(
      $AA$2:$AA101,
      $A$2:$A101 &gt;= #REF! - 30,
      $A$2:$A101 &lt;= #REF!,
      $AA$2:$AA101 &gt; 0
    )
  ),
"""")"),"")</f>
        <v/>
      </c>
      <c r="X101" s="10"/>
      <c r="Y101" s="10">
        <f t="shared" si="6"/>
        <v>10814</v>
      </c>
      <c r="Z101" s="10">
        <f t="shared" si="7"/>
        <v>912</v>
      </c>
      <c r="AA101" s="11">
        <f t="shared" si="8"/>
        <v>8.4335121139263922</v>
      </c>
      <c r="AB101" s="13">
        <v>8</v>
      </c>
      <c r="AC101" s="14">
        <f t="shared" si="9"/>
        <v>-0.43351211392639222</v>
      </c>
      <c r="AD101" s="13">
        <f ca="1">IFERROR(__xludf.DUMMYFUNCTION("IFERROR(
  AVERAGE(
    FILTER(
      $AA$2:$AA101,
      $A$2:$A101 &gt;= A101 - 30,
      $A$2:$A101 &lt;= A101,
      $AA$2:$AA101 &gt; 0
    )
  ),
"""")"),8.84052971719123)</f>
        <v>8.8405297171912292</v>
      </c>
      <c r="AE101" s="14"/>
    </row>
    <row r="102" spans="1:31" x14ac:dyDescent="0.25">
      <c r="A102" s="9">
        <v>46001</v>
      </c>
      <c r="B102" s="10"/>
      <c r="C102" s="10"/>
      <c r="D102" s="10"/>
      <c r="E102" s="11" t="e">
        <f t="shared" si="0"/>
        <v>#DIV/0!</v>
      </c>
      <c r="F102" s="13">
        <v>6</v>
      </c>
      <c r="G102" s="14" t="e">
        <f t="shared" si="1"/>
        <v>#DIV/0!</v>
      </c>
      <c r="H102" s="13">
        <f ca="1">IFERROR(__xludf.DUMMYFUNCTION("IFERROR(
  AVERAGE(
    FILTER(
      $E$2:$E102,
      $A$2:$A102&gt;=A102-30,
      $A$2:$A102&lt;=A102,
      $E$2:$E102&gt;0
    )
  ),
  """"
)"),5.65270387290179)</f>
        <v>5.6527038729017898</v>
      </c>
      <c r="I102" s="14"/>
      <c r="J102" s="10"/>
      <c r="K102" s="10">
        <v>6455</v>
      </c>
      <c r="L102" s="10">
        <v>610</v>
      </c>
      <c r="M102" s="11">
        <f t="shared" si="2"/>
        <v>9.4500387296669253</v>
      </c>
      <c r="N102" s="13">
        <v>8</v>
      </c>
      <c r="O102" s="14">
        <f t="shared" si="3"/>
        <v>-1.4500387296669253</v>
      </c>
      <c r="P102" s="13" t="str">
        <f ca="1">IFERROR(__xludf.DUMMYFUNCTION("IFERROR(
  AVERAGE(
    FILTER(
      $AA$2:$AA102,
      $A$2:$A102 &gt;= #REF! - 30,
      $A$2:$A102 &lt;= #REF!,
      $AA$2:$AA102 &gt; 0
    )
  ),
"""")"),"")</f>
        <v/>
      </c>
      <c r="Q102" s="10"/>
      <c r="R102" s="10">
        <v>3896</v>
      </c>
      <c r="S102" s="10">
        <v>371</v>
      </c>
      <c r="T102" s="11">
        <f t="shared" si="4"/>
        <v>9.5225872689938402</v>
      </c>
      <c r="U102" s="13">
        <v>8</v>
      </c>
      <c r="V102" s="14">
        <f t="shared" si="5"/>
        <v>-1.5225872689938402</v>
      </c>
      <c r="W102" s="13" t="str">
        <f ca="1">IFERROR(__xludf.DUMMYFUNCTION("IFERROR(
  AVERAGE(
    FILTER(
      $AA$2:$AA102,
      $A$2:$A102 &gt;= #REF! - 30,
      $A$2:$A102 &lt;= #REF!,
      $AA$2:$AA102 &gt; 0
    )
  ),
"""")"),"")</f>
        <v/>
      </c>
      <c r="X102" s="10"/>
      <c r="Y102" s="10">
        <f t="shared" si="6"/>
        <v>10351</v>
      </c>
      <c r="Z102" s="10">
        <f t="shared" si="7"/>
        <v>981</v>
      </c>
      <c r="AA102" s="11">
        <f t="shared" si="8"/>
        <v>9.477345184040189</v>
      </c>
      <c r="AB102" s="13">
        <v>8</v>
      </c>
      <c r="AC102" s="14">
        <f t="shared" si="9"/>
        <v>-1.477345184040189</v>
      </c>
      <c r="AD102" s="13">
        <f ca="1">IFERROR(__xludf.DUMMYFUNCTION("IFERROR(
  AVERAGE(
    FILTER(
      $AA$2:$AA102,
      $A$2:$A102 &gt;= A102 - 30,
      $A$2:$A102 &lt;= A102,
      $AA$2:$AA102 &gt; 0
    )
  ),
"""")"),8.87871116548933)</f>
        <v>8.8787111654893298</v>
      </c>
      <c r="AE102" s="14"/>
    </row>
    <row r="103" spans="1:31" x14ac:dyDescent="0.25">
      <c r="A103" s="9">
        <v>46002</v>
      </c>
      <c r="B103" s="10"/>
      <c r="C103" s="10"/>
      <c r="D103" s="10"/>
      <c r="E103" s="11" t="e">
        <f t="shared" si="0"/>
        <v>#DIV/0!</v>
      </c>
      <c r="F103" s="13">
        <v>6</v>
      </c>
      <c r="G103" s="14" t="e">
        <f t="shared" si="1"/>
        <v>#DIV/0!</v>
      </c>
      <c r="H103" s="13">
        <f ca="1">IFERROR(__xludf.DUMMYFUNCTION("IFERROR(
  AVERAGE(
    FILTER(
      $E$2:$E103,
      $A$2:$A103&gt;=A103-30,
      $A$2:$A103&lt;=A103,
      $E$2:$E103&gt;0
    )
  ),
  """"
)"),5.43764244785136)</f>
        <v>5.4376424478513599</v>
      </c>
      <c r="I103" s="14"/>
      <c r="J103" s="10"/>
      <c r="K103" s="10">
        <v>7495</v>
      </c>
      <c r="L103" s="10">
        <v>415</v>
      </c>
      <c r="M103" s="11">
        <f t="shared" si="2"/>
        <v>5.5370246831220813</v>
      </c>
      <c r="N103" s="13">
        <v>8</v>
      </c>
      <c r="O103" s="14">
        <f t="shared" si="3"/>
        <v>2.4629753168779187</v>
      </c>
      <c r="P103" s="13" t="str">
        <f ca="1">IFERROR(__xludf.DUMMYFUNCTION("IFERROR(
  AVERAGE(
    FILTER(
      $AA$2:$AA103,
      $A$2:$A103 &gt;= #REF! - 30,
      $A$2:$A103 &lt;= #REF!,
      $AA$2:$AA103 &gt; 0
    )
  ),
"""")"),"")</f>
        <v/>
      </c>
      <c r="Q103" s="10"/>
      <c r="R103" s="10">
        <v>2517</v>
      </c>
      <c r="S103" s="10">
        <v>315</v>
      </c>
      <c r="T103" s="11">
        <f t="shared" si="4"/>
        <v>12.514898688915377</v>
      </c>
      <c r="U103" s="13">
        <v>8</v>
      </c>
      <c r="V103" s="14">
        <f t="shared" si="5"/>
        <v>-4.5148986889153768</v>
      </c>
      <c r="W103" s="13" t="str">
        <f ca="1">IFERROR(__xludf.DUMMYFUNCTION("IFERROR(
  AVERAGE(
    FILTER(
      $AA$2:$AA103,
      $A$2:$A103 &gt;= #REF! - 30,
      $A$2:$A103 &lt;= #REF!,
      $AA$2:$AA103 &gt; 0
    )
  ),
"""")"),"")</f>
        <v/>
      </c>
      <c r="X103" s="10"/>
      <c r="Y103" s="10">
        <f t="shared" si="6"/>
        <v>10012</v>
      </c>
      <c r="Z103" s="10">
        <f t="shared" si="7"/>
        <v>730</v>
      </c>
      <c r="AA103" s="11">
        <f t="shared" si="8"/>
        <v>7.2912504994007188</v>
      </c>
      <c r="AB103" s="13">
        <v>8</v>
      </c>
      <c r="AC103" s="14">
        <f t="shared" si="9"/>
        <v>0.70874950059928121</v>
      </c>
      <c r="AD103" s="13">
        <f ca="1">IFERROR(__xludf.DUMMYFUNCTION("IFERROR(
  AVERAGE(
    FILTER(
      $AA$2:$AA103,
      $A$2:$A103 &gt;= A103 - 30,
      $A$2:$A103 &lt;= A103,
      $AA$2:$AA103 &gt; 0
    )
  ),
"""")"),8.82155137130101)</f>
        <v>8.8215513713010107</v>
      </c>
      <c r="AE103" s="14"/>
    </row>
    <row r="104" spans="1:31" x14ac:dyDescent="0.25">
      <c r="A104" s="9">
        <v>46003</v>
      </c>
      <c r="B104" s="10"/>
      <c r="C104" s="10"/>
      <c r="D104" s="10"/>
      <c r="E104" s="11" t="e">
        <f t="shared" si="0"/>
        <v>#DIV/0!</v>
      </c>
      <c r="F104" s="13">
        <v>6</v>
      </c>
      <c r="G104" s="14" t="e">
        <f t="shared" si="1"/>
        <v>#DIV/0!</v>
      </c>
      <c r="H104" s="13">
        <f ca="1">IFERROR(__xludf.DUMMYFUNCTION("IFERROR(
  AVERAGE(
    FILTER(
      $E$2:$E104,
      $A$2:$A104&gt;=A104-30,
      $A$2:$A104&lt;=A104,
      $E$2:$E104&gt;0
    )
  ),
  """"
)"),5.37836040707592)</f>
        <v>5.3783604070759203</v>
      </c>
      <c r="I104" s="14"/>
      <c r="J104" s="10"/>
      <c r="K104" s="10">
        <v>4470</v>
      </c>
      <c r="L104" s="10">
        <v>341</v>
      </c>
      <c r="M104" s="11">
        <f t="shared" si="2"/>
        <v>7.6286353467561518</v>
      </c>
      <c r="N104" s="13">
        <v>8</v>
      </c>
      <c r="O104" s="14">
        <f t="shared" si="3"/>
        <v>0.37136465324384815</v>
      </c>
      <c r="P104" s="13" t="str">
        <f ca="1">IFERROR(__xludf.DUMMYFUNCTION("IFERROR(
  AVERAGE(
    FILTER(
      $AA$2:$AA104,
      $A$2:$A104 &gt;= #REF! - 30,
      $A$2:$A104 &lt;= #REF!,
      $AA$2:$AA104 &gt; 0
    )
  ),
"""")"),"")</f>
        <v/>
      </c>
      <c r="Q104" s="10"/>
      <c r="R104" s="10">
        <v>5516</v>
      </c>
      <c r="S104" s="10">
        <v>557</v>
      </c>
      <c r="T104" s="11">
        <f t="shared" si="4"/>
        <v>10.097897026831038</v>
      </c>
      <c r="U104" s="13">
        <v>8</v>
      </c>
      <c r="V104" s="14">
        <f t="shared" si="5"/>
        <v>-2.0978970268310384</v>
      </c>
      <c r="W104" s="13" t="str">
        <f ca="1">IFERROR(__xludf.DUMMYFUNCTION("IFERROR(
  AVERAGE(
    FILTER(
      $AA$2:$AA104,
      $A$2:$A104 &gt;= #REF! - 30,
      $A$2:$A104 &lt;= #REF!,
      $AA$2:$AA104 &gt; 0
    )
  ),
"""")"),"")</f>
        <v/>
      </c>
      <c r="X104" s="10"/>
      <c r="Y104" s="10">
        <f t="shared" si="6"/>
        <v>9986</v>
      </c>
      <c r="Z104" s="10">
        <f t="shared" si="7"/>
        <v>898</v>
      </c>
      <c r="AA104" s="11">
        <f t="shared" si="8"/>
        <v>8.9925896254756665</v>
      </c>
      <c r="AB104" s="13">
        <v>8</v>
      </c>
      <c r="AC104" s="14">
        <f t="shared" si="9"/>
        <v>-0.99258962547566654</v>
      </c>
      <c r="AD104" s="13">
        <f ca="1">IFERROR(__xludf.DUMMYFUNCTION("IFERROR(
  AVERAGE(
    FILTER(
      $AA$2:$AA104,
      $A$2:$A104 &gt;= A104 - 30,
      $A$2:$A104 &lt;= A104,
      $AA$2:$AA104 &gt; 0
    )
  ),
"""")"),8.77962813922701)</f>
        <v>8.7796281392270092</v>
      </c>
      <c r="AE104" s="14"/>
    </row>
    <row r="105" spans="1:31" x14ac:dyDescent="0.25">
      <c r="A105" s="9">
        <v>46004</v>
      </c>
      <c r="B105" s="10"/>
      <c r="C105" s="10"/>
      <c r="D105" s="10"/>
      <c r="E105" s="11" t="e">
        <f t="shared" si="0"/>
        <v>#DIV/0!</v>
      </c>
      <c r="F105" s="13">
        <v>6</v>
      </c>
      <c r="G105" s="14" t="e">
        <f t="shared" si="1"/>
        <v>#DIV/0!</v>
      </c>
      <c r="H105" s="13">
        <f ca="1">IFERROR(__xludf.DUMMYFUNCTION("IFERROR(
  AVERAGE(
    FILTER(
      $E$2:$E105,
      $A$2:$A105&gt;=A105-30,
      $A$2:$A105&lt;=A105,
      $E$2:$E105&gt;0
    )
  ),
  """"
)"),5.36949731680691)</f>
        <v>5.3694973168069096</v>
      </c>
      <c r="I105" s="14"/>
      <c r="J105" s="10"/>
      <c r="K105" s="10">
        <v>4240</v>
      </c>
      <c r="L105" s="10">
        <v>356</v>
      </c>
      <c r="M105" s="11">
        <f t="shared" si="2"/>
        <v>8.3962264150943398</v>
      </c>
      <c r="N105" s="13">
        <v>8</v>
      </c>
      <c r="O105" s="14">
        <f t="shared" si="3"/>
        <v>-0.39622641509433976</v>
      </c>
      <c r="P105" s="13" t="str">
        <f ca="1">IFERROR(__xludf.DUMMYFUNCTION("IFERROR(
  AVERAGE(
    FILTER(
      $AA$2:$AA105,
      $A$2:$A105 &gt;= #REF! - 30,
      $A$2:$A105 &lt;= #REF!,
      $AA$2:$AA105 &gt; 0
    )
  ),
"""")"),"")</f>
        <v/>
      </c>
      <c r="Q105" s="10"/>
      <c r="R105" s="10">
        <v>6098</v>
      </c>
      <c r="S105" s="10">
        <v>410</v>
      </c>
      <c r="T105" s="11">
        <f t="shared" si="4"/>
        <v>6.7235159068547059</v>
      </c>
      <c r="U105" s="13">
        <v>8</v>
      </c>
      <c r="V105" s="14">
        <f t="shared" si="5"/>
        <v>1.2764840931452941</v>
      </c>
      <c r="W105" s="13" t="str">
        <f ca="1">IFERROR(__xludf.DUMMYFUNCTION("IFERROR(
  AVERAGE(
    FILTER(
      $AA$2:$AA105,
      $A$2:$A105 &gt;= #REF! - 30,
      $A$2:$A105 &lt;= #REF!,
      $AA$2:$AA105 &gt; 0
    )
  ),
"""")"),"")</f>
        <v/>
      </c>
      <c r="X105" s="10"/>
      <c r="Y105" s="10">
        <f t="shared" si="6"/>
        <v>10338</v>
      </c>
      <c r="Z105" s="10">
        <f t="shared" si="7"/>
        <v>766</v>
      </c>
      <c r="AA105" s="11">
        <f t="shared" si="8"/>
        <v>7.4095569742696847</v>
      </c>
      <c r="AB105" s="13">
        <v>8</v>
      </c>
      <c r="AC105" s="14">
        <f t="shared" si="9"/>
        <v>0.59044302573031526</v>
      </c>
      <c r="AD105" s="13">
        <f ca="1">IFERROR(__xludf.DUMMYFUNCTION("IFERROR(
  AVERAGE(
    FILTER(
      $AA$2:$AA105,
      $A$2:$A105 &gt;= A105 - 30,
      $A$2:$A105 &lt;= A105,
      $AA$2:$AA105 &gt; 0
    )
  ),
"""")"),8.79587422426426)</f>
        <v>8.79587422426426</v>
      </c>
      <c r="AE105" s="14"/>
    </row>
    <row r="106" spans="1:31" x14ac:dyDescent="0.25">
      <c r="A106" s="9">
        <v>46005</v>
      </c>
      <c r="B106" s="10"/>
      <c r="C106" s="10"/>
      <c r="D106" s="10"/>
      <c r="E106" s="11" t="e">
        <f t="shared" si="0"/>
        <v>#DIV/0!</v>
      </c>
      <c r="F106" s="13">
        <v>6</v>
      </c>
      <c r="G106" s="14" t="e">
        <f t="shared" si="1"/>
        <v>#DIV/0!</v>
      </c>
      <c r="H106" s="13">
        <f ca="1">IFERROR(__xludf.DUMMYFUNCTION("IFERROR(
  AVERAGE(
    FILTER(
      $E$2:$E106,
      $A$2:$A106&gt;=A106-30,
      $A$2:$A106&lt;=A106,
      $E$2:$E106&gt;0
    )
  ),
  """"
)"),5.45198171093013)</f>
        <v>5.4519817109301298</v>
      </c>
      <c r="I106" s="14"/>
      <c r="J106" s="10"/>
      <c r="K106" s="10">
        <v>0</v>
      </c>
      <c r="L106" s="10"/>
      <c r="M106" s="11" t="e">
        <f t="shared" si="2"/>
        <v>#DIV/0!</v>
      </c>
      <c r="N106" s="13">
        <v>8</v>
      </c>
      <c r="O106" s="14" t="e">
        <f t="shared" si="3"/>
        <v>#DIV/0!</v>
      </c>
      <c r="P106" s="13" t="str">
        <f ca="1">IFERROR(__xludf.DUMMYFUNCTION("IFERROR(
  AVERAGE(
    FILTER(
      $AA$2:$AA106,
      $A$2:$A106 &gt;= #REF! - 30,
      $A$2:$A106 &lt;= #REF!,
      $AA$2:$AA106 &gt; 0
    )
  ),
"""")"),"")</f>
        <v/>
      </c>
      <c r="Q106" s="10"/>
      <c r="R106" s="10">
        <v>3457</v>
      </c>
      <c r="S106" s="10">
        <v>255</v>
      </c>
      <c r="T106" s="11">
        <f t="shared" si="4"/>
        <v>7.376337865201041</v>
      </c>
      <c r="U106" s="13">
        <v>8</v>
      </c>
      <c r="V106" s="14">
        <f t="shared" si="5"/>
        <v>0.62366213479895904</v>
      </c>
      <c r="W106" s="13" t="str">
        <f ca="1">IFERROR(__xludf.DUMMYFUNCTION("IFERROR(
  AVERAGE(
    FILTER(
      $AA$2:$AA106,
      $A$2:$A106 &gt;= #REF! - 30,
      $A$2:$A106 &lt;= #REF!,
      $AA$2:$AA106 &gt; 0
    )
  ),
"""")"),"")</f>
        <v/>
      </c>
      <c r="X106" s="10"/>
      <c r="Y106" s="10">
        <f t="shared" si="6"/>
        <v>3457</v>
      </c>
      <c r="Z106" s="10">
        <f t="shared" si="7"/>
        <v>255</v>
      </c>
      <c r="AA106" s="11">
        <f t="shared" si="8"/>
        <v>7.376337865201041</v>
      </c>
      <c r="AB106" s="13">
        <v>8</v>
      </c>
      <c r="AC106" s="14">
        <f t="shared" si="9"/>
        <v>0.62366213479895904</v>
      </c>
      <c r="AD106" s="13">
        <f ca="1">IFERROR(__xludf.DUMMYFUNCTION("IFERROR(
  AVERAGE(
    FILTER(
      $AA$2:$AA106,
      $A$2:$A106 &gt;= A106 - 30,
      $A$2:$A106 &lt;= A106,
      $AA$2:$AA106 &gt; 0
    )
  ),
"""")"),8.74332508997135)</f>
        <v>8.7433250899713499</v>
      </c>
      <c r="AE106" s="14"/>
    </row>
    <row r="107" spans="1:31" x14ac:dyDescent="0.25">
      <c r="A107" s="9">
        <v>46006</v>
      </c>
      <c r="B107" s="10"/>
      <c r="C107" s="10"/>
      <c r="D107" s="10"/>
      <c r="E107" s="11" t="e">
        <f t="shared" si="0"/>
        <v>#DIV/0!</v>
      </c>
      <c r="F107" s="13">
        <v>6</v>
      </c>
      <c r="G107" s="14" t="e">
        <f t="shared" si="1"/>
        <v>#DIV/0!</v>
      </c>
      <c r="H107" s="13">
        <f ca="1">IFERROR(__xludf.DUMMYFUNCTION("IFERROR(
  AVERAGE(
    FILTER(
      $E$2:$E107,
      $A$2:$A107&gt;=A107-30,
      $A$2:$A107&lt;=A107,
      $E$2:$E107&gt;0
    )
  ),
  """"
)"),5.60380113859344)</f>
        <v>5.6038011385934396</v>
      </c>
      <c r="I107" s="14"/>
      <c r="J107" s="10"/>
      <c r="K107" s="10">
        <v>3520</v>
      </c>
      <c r="L107" s="10">
        <v>307</v>
      </c>
      <c r="M107" s="11">
        <f t="shared" si="2"/>
        <v>8.7215909090909101</v>
      </c>
      <c r="N107" s="13">
        <v>8</v>
      </c>
      <c r="O107" s="14">
        <f t="shared" si="3"/>
        <v>-0.72159090909091006</v>
      </c>
      <c r="P107" s="13" t="str">
        <f ca="1">IFERROR(__xludf.DUMMYFUNCTION("IFERROR(
  AVERAGE(
    FILTER(
      $AA$2:$AA107,
      $A$2:$A107 &gt;= #REF! - 30,
      $A$2:$A107 &lt;= #REF!,
      $AA$2:$AA107 &gt; 0
    )
  ),
"""")"),"")</f>
        <v/>
      </c>
      <c r="Q107" s="10"/>
      <c r="R107" s="10">
        <v>9320</v>
      </c>
      <c r="S107" s="10">
        <v>731</v>
      </c>
      <c r="T107" s="11">
        <f t="shared" si="4"/>
        <v>7.8433476394849784</v>
      </c>
      <c r="U107" s="13">
        <v>8</v>
      </c>
      <c r="V107" s="14">
        <f t="shared" si="5"/>
        <v>0.15665236051502163</v>
      </c>
      <c r="W107" s="13" t="str">
        <f ca="1">IFERROR(__xludf.DUMMYFUNCTION("IFERROR(
  AVERAGE(
    FILTER(
      $AA$2:$AA107,
      $A$2:$A107 &gt;= #REF! - 30,
      $A$2:$A107 &lt;= #REF!,
      $AA$2:$AA107 &gt; 0
    )
  ),
"""")"),"")</f>
        <v/>
      </c>
      <c r="X107" s="10"/>
      <c r="Y107" s="10">
        <f t="shared" si="6"/>
        <v>12840</v>
      </c>
      <c r="Z107" s="10">
        <f t="shared" si="7"/>
        <v>1038</v>
      </c>
      <c r="AA107" s="11">
        <f t="shared" si="8"/>
        <v>8.0841121495327108</v>
      </c>
      <c r="AB107" s="13">
        <v>8</v>
      </c>
      <c r="AC107" s="14">
        <f t="shared" si="9"/>
        <v>-8.4112149532710845E-2</v>
      </c>
      <c r="AD107" s="13">
        <f ca="1">IFERROR(__xludf.DUMMYFUNCTION("IFERROR(
  AVERAGE(
    FILTER(
      $AA$2:$AA107,
      $A$2:$A107 &gt;= A107 - 30,
      $A$2:$A107 &lt;= A107,
      $AA$2:$AA107 &gt; 0
    )
  ),
"""")"),8.68134930512508)</f>
        <v>8.6813493051250799</v>
      </c>
      <c r="AE107" s="14"/>
    </row>
    <row r="108" spans="1:31" x14ac:dyDescent="0.25">
      <c r="A108" s="9">
        <v>46007</v>
      </c>
      <c r="B108" s="10"/>
      <c r="C108" s="10"/>
      <c r="D108" s="10"/>
      <c r="E108" s="11" t="e">
        <f t="shared" si="0"/>
        <v>#DIV/0!</v>
      </c>
      <c r="F108" s="13">
        <v>6</v>
      </c>
      <c r="G108" s="14" t="e">
        <f t="shared" si="1"/>
        <v>#DIV/0!</v>
      </c>
      <c r="H108" s="13">
        <f ca="1">IFERROR(__xludf.DUMMYFUNCTION("IFERROR(
  AVERAGE(
    FILTER(
      $E$2:$E108,
      $A$2:$A108&gt;=A108-30,
      $A$2:$A108&lt;=A108,
      $E$2:$E108&gt;0
    )
  ),
  """"
)"),4.93596166573799)</f>
        <v>4.9359616657379899</v>
      </c>
      <c r="I108" s="14"/>
      <c r="J108" s="10"/>
      <c r="K108" s="10">
        <v>3740</v>
      </c>
      <c r="L108" s="10">
        <v>319</v>
      </c>
      <c r="M108" s="11">
        <f t="shared" si="2"/>
        <v>8.5294117647058822</v>
      </c>
      <c r="N108" s="13">
        <v>8</v>
      </c>
      <c r="O108" s="14">
        <f t="shared" si="3"/>
        <v>-0.52941176470588225</v>
      </c>
      <c r="P108" s="13" t="str">
        <f ca="1">IFERROR(__xludf.DUMMYFUNCTION("IFERROR(
  AVERAGE(
    FILTER(
      $AA$2:$AA108,
      $A$2:$A108 &gt;= #REF! - 30,
      $A$2:$A108 &lt;= #REF!,
      $AA$2:$AA108 &gt; 0
    )
  ),
"""")"),"")</f>
        <v/>
      </c>
      <c r="Q108" s="10"/>
      <c r="R108" s="10">
        <v>8051</v>
      </c>
      <c r="S108" s="10">
        <v>436.8</v>
      </c>
      <c r="T108" s="11">
        <f t="shared" si="4"/>
        <v>5.425412992174885</v>
      </c>
      <c r="U108" s="13">
        <v>8</v>
      </c>
      <c r="V108" s="14">
        <f t="shared" si="5"/>
        <v>2.574587007825115</v>
      </c>
      <c r="W108" s="13" t="str">
        <f ca="1">IFERROR(__xludf.DUMMYFUNCTION("IFERROR(
  AVERAGE(
    FILTER(
      $AA$2:$AA108,
      $A$2:$A108 &gt;= #REF! - 30,
      $A$2:$A108 &lt;= #REF!,
      $AA$2:$AA108 &gt; 0
    )
  ),
"""")"),"")</f>
        <v/>
      </c>
      <c r="X108" s="10"/>
      <c r="Y108" s="10">
        <f t="shared" si="6"/>
        <v>11791</v>
      </c>
      <c r="Z108" s="10">
        <f t="shared" si="7"/>
        <v>755.8</v>
      </c>
      <c r="AA108" s="11">
        <f t="shared" si="8"/>
        <v>6.4099737087609192</v>
      </c>
      <c r="AB108" s="13">
        <v>8</v>
      </c>
      <c r="AC108" s="14">
        <f t="shared" si="9"/>
        <v>1.5900262912390808</v>
      </c>
      <c r="AD108" s="13">
        <f ca="1">IFERROR(__xludf.DUMMYFUNCTION("IFERROR(
  AVERAGE(
    FILTER(
      $AA$2:$AA108,
      $A$2:$A108 &gt;= A108 - 30,
      $A$2:$A108 &lt;= A108,
      $AA$2:$AA108 &gt; 0
    )
  ),
"""")"),8.52108347148549)</f>
        <v>8.5210834714854897</v>
      </c>
      <c r="AE108" s="14"/>
    </row>
    <row r="109" spans="1:31" x14ac:dyDescent="0.25">
      <c r="A109" s="9">
        <v>46008</v>
      </c>
      <c r="B109" s="10"/>
      <c r="C109" s="10"/>
      <c r="D109" s="10"/>
      <c r="E109" s="11" t="e">
        <f t="shared" si="0"/>
        <v>#DIV/0!</v>
      </c>
      <c r="F109" s="13">
        <v>6</v>
      </c>
      <c r="G109" s="14" t="e">
        <f t="shared" si="1"/>
        <v>#DIV/0!</v>
      </c>
      <c r="H109" s="13">
        <f ca="1">IFERROR(__xludf.DUMMYFUNCTION("IFERROR(
  AVERAGE(
    FILTER(
      $E$2:$E109,
      $A$2:$A109&gt;=A109-30,
      $A$2:$A109&lt;=A109,
      $E$2:$E109&gt;0
    )
  ),
  """"
)"),4.65284736010504)</f>
        <v>4.6528473601050404</v>
      </c>
      <c r="I109" s="14"/>
      <c r="J109" s="10"/>
      <c r="K109" s="10">
        <v>7904</v>
      </c>
      <c r="L109" s="10">
        <v>782</v>
      </c>
      <c r="M109" s="11">
        <f t="shared" si="2"/>
        <v>9.8937246963562746</v>
      </c>
      <c r="N109" s="13">
        <v>8</v>
      </c>
      <c r="O109" s="14">
        <f t="shared" si="3"/>
        <v>-1.8937246963562746</v>
      </c>
      <c r="P109" s="13" t="str">
        <f ca="1">IFERROR(__xludf.DUMMYFUNCTION("IFERROR(
  AVERAGE(
    FILTER(
      $AA$2:$AA109,
      $A$2:$A109 &gt;= #REF! - 30,
      $A$2:$A109 &lt;= #REF!,
      $AA$2:$AA109 &gt; 0
    )
  ),
"""")"),"")</f>
        <v/>
      </c>
      <c r="Q109" s="10"/>
      <c r="R109" s="10">
        <v>5243</v>
      </c>
      <c r="S109" s="10">
        <v>458</v>
      </c>
      <c r="T109" s="11">
        <f t="shared" si="4"/>
        <v>8.7354567995422467</v>
      </c>
      <c r="U109" s="13">
        <v>8</v>
      </c>
      <c r="V109" s="14">
        <f t="shared" si="5"/>
        <v>-0.73545679954224674</v>
      </c>
      <c r="W109" s="13" t="str">
        <f ca="1">IFERROR(__xludf.DUMMYFUNCTION("IFERROR(
  AVERAGE(
    FILTER(
      $AA$2:$AA109,
      $A$2:$A109 &gt;= #REF! - 30,
      $A$2:$A109 &lt;= #REF!,
      $AA$2:$AA109 &gt; 0
    )
  ),
"""")"),"")</f>
        <v/>
      </c>
      <c r="X109" s="10"/>
      <c r="Y109" s="10">
        <f t="shared" si="6"/>
        <v>13147</v>
      </c>
      <c r="Z109" s="10">
        <f t="shared" si="7"/>
        <v>1240</v>
      </c>
      <c r="AA109" s="11">
        <f t="shared" si="8"/>
        <v>9.4318095382977098</v>
      </c>
      <c r="AB109" s="13">
        <v>8</v>
      </c>
      <c r="AC109" s="14">
        <f t="shared" si="9"/>
        <v>-1.4318095382977098</v>
      </c>
      <c r="AD109" s="13">
        <f ca="1">IFERROR(__xludf.DUMMYFUNCTION("IFERROR(
  AVERAGE(
    FILTER(
      $AA$2:$AA109,
      $A$2:$A109 &gt;= A109 - 30,
      $A$2:$A109 &lt;= A109,
      $AA$2:$AA109 &gt; 0
    )
  ),
"""")"),8.46640858146155)</f>
        <v>8.4664085814615504</v>
      </c>
      <c r="AE109" s="14"/>
    </row>
    <row r="110" spans="1:31" x14ac:dyDescent="0.25">
      <c r="A110" s="9">
        <v>46009</v>
      </c>
      <c r="B110" s="10"/>
      <c r="C110" s="10"/>
      <c r="D110" s="10"/>
      <c r="E110" s="11" t="e">
        <f t="shared" si="0"/>
        <v>#DIV/0!</v>
      </c>
      <c r="F110" s="13">
        <v>6</v>
      </c>
      <c r="G110" s="14" t="e">
        <f t="shared" si="1"/>
        <v>#DIV/0!</v>
      </c>
      <c r="H110" s="13">
        <f ca="1">IFERROR(__xludf.DUMMYFUNCTION("IFERROR(
  AVERAGE(
    FILTER(
      $E$2:$E110,
      $A$2:$A110&gt;=A110-30,
      $A$2:$A110&lt;=A110,
      $E$2:$E110&gt;0
    )
  ),
  """"
)"),4.63958242830485)</f>
        <v>4.6395824283048501</v>
      </c>
      <c r="I110" s="14"/>
      <c r="J110" s="10"/>
      <c r="K110" s="10">
        <v>10742</v>
      </c>
      <c r="L110" s="10">
        <v>741</v>
      </c>
      <c r="M110" s="11">
        <f t="shared" si="2"/>
        <v>6.8981567678272198</v>
      </c>
      <c r="N110" s="13">
        <v>8</v>
      </c>
      <c r="O110" s="14">
        <f t="shared" si="3"/>
        <v>1.1018432321727802</v>
      </c>
      <c r="P110" s="13" t="str">
        <f ca="1">IFERROR(__xludf.DUMMYFUNCTION("IFERROR(
  AVERAGE(
    FILTER(
      $AA$2:$AA110,
      $A$2:$A110 &gt;= #REF! - 30,
      $A$2:$A110 &lt;= #REF!,
      $AA$2:$AA110 &gt; 0
    )
  ),
"""")"),"")</f>
        <v/>
      </c>
      <c r="Q110" s="10"/>
      <c r="R110" s="10">
        <v>4313</v>
      </c>
      <c r="S110" s="10">
        <v>290</v>
      </c>
      <c r="T110" s="11">
        <f t="shared" si="4"/>
        <v>6.7238581034083005</v>
      </c>
      <c r="U110" s="13">
        <v>8</v>
      </c>
      <c r="V110" s="14">
        <f t="shared" si="5"/>
        <v>1.2761418965916995</v>
      </c>
      <c r="W110" s="13" t="str">
        <f ca="1">IFERROR(__xludf.DUMMYFUNCTION("IFERROR(
  AVERAGE(
    FILTER(
      $AA$2:$AA110,
      $A$2:$A110 &gt;= #REF! - 30,
      $A$2:$A110 &lt;= #REF!,
      $AA$2:$AA110 &gt; 0
    )
  ),
"""")"),"")</f>
        <v/>
      </c>
      <c r="X110" s="10"/>
      <c r="Y110" s="10">
        <f t="shared" si="6"/>
        <v>15055</v>
      </c>
      <c r="Z110" s="10">
        <f t="shared" si="7"/>
        <v>1031</v>
      </c>
      <c r="AA110" s="11">
        <f t="shared" si="8"/>
        <v>6.8482231816672208</v>
      </c>
      <c r="AB110" s="13">
        <v>8</v>
      </c>
      <c r="AC110" s="14">
        <f t="shared" si="9"/>
        <v>1.1517768183327792</v>
      </c>
      <c r="AD110" s="13">
        <f ca="1">IFERROR(__xludf.DUMMYFUNCTION("IFERROR(
  AVERAGE(
    FILTER(
      $AA$2:$AA110,
      $A$2:$A110 &gt;= A110 - 30,
      $A$2:$A110 &lt;= A110,
      $AA$2:$AA110 &gt; 0
    )
  ),
"""")"),8.38596193394678)</f>
        <v>8.3859619339467795</v>
      </c>
      <c r="AE110" s="14"/>
    </row>
    <row r="111" spans="1:31" x14ac:dyDescent="0.25">
      <c r="A111" s="9">
        <v>46010</v>
      </c>
      <c r="B111" s="10"/>
      <c r="C111" s="10"/>
      <c r="D111" s="10"/>
      <c r="E111" s="11" t="e">
        <f t="shared" si="0"/>
        <v>#DIV/0!</v>
      </c>
      <c r="F111" s="13">
        <v>6</v>
      </c>
      <c r="G111" s="14" t="e">
        <f t="shared" si="1"/>
        <v>#DIV/0!</v>
      </c>
      <c r="H111" s="13">
        <f ca="1">IFERROR(__xludf.DUMMYFUNCTION("IFERROR(
  AVERAGE(
    FILTER(
      $E$2:$E111,
      $A$2:$A111&gt;=A111-30,
      $A$2:$A111&lt;=A111,
      $E$2:$E111&gt;0
    )
  ),
  """"
)"),4.52007227567343)</f>
        <v>4.5200722756734297</v>
      </c>
      <c r="I111" s="14"/>
      <c r="J111" s="10"/>
      <c r="K111" s="10">
        <v>2511</v>
      </c>
      <c r="L111" s="10">
        <v>323</v>
      </c>
      <c r="M111" s="11">
        <f t="shared" si="2"/>
        <v>12.863401035444047</v>
      </c>
      <c r="N111" s="13">
        <v>8</v>
      </c>
      <c r="O111" s="14">
        <f t="shared" si="3"/>
        <v>-4.8634010354440473</v>
      </c>
      <c r="P111" s="13" t="str">
        <f ca="1">IFERROR(__xludf.DUMMYFUNCTION("IFERROR(
  AVERAGE(
    FILTER(
      $AA$2:$AA111,
      $A$2:$A111 &gt;= #REF! - 30,
      $A$2:$A111 &lt;= #REF!,
      $AA$2:$AA111 &gt; 0
    )
  ),
"""")"),"")</f>
        <v/>
      </c>
      <c r="Q111" s="10"/>
      <c r="R111" s="10">
        <v>8375</v>
      </c>
      <c r="S111" s="10">
        <v>967</v>
      </c>
      <c r="T111" s="11">
        <f t="shared" si="4"/>
        <v>11.546268656716418</v>
      </c>
      <c r="U111" s="13">
        <v>8</v>
      </c>
      <c r="V111" s="14">
        <f t="shared" si="5"/>
        <v>-3.5462686567164177</v>
      </c>
      <c r="W111" s="13" t="str">
        <f ca="1">IFERROR(__xludf.DUMMYFUNCTION("IFERROR(
  AVERAGE(
    FILTER(
      $AA$2:$AA111,
      $A$2:$A111 &gt;= #REF! - 30,
      $A$2:$A111 &lt;= #REF!,
      $AA$2:$AA111 &gt; 0
    )
  ),
"""")"),"")</f>
        <v/>
      </c>
      <c r="X111" s="10"/>
      <c r="Y111" s="10">
        <f t="shared" si="6"/>
        <v>10886</v>
      </c>
      <c r="Z111" s="10">
        <f t="shared" si="7"/>
        <v>1290</v>
      </c>
      <c r="AA111" s="11">
        <f t="shared" si="8"/>
        <v>11.850082674995408</v>
      </c>
      <c r="AB111" s="13">
        <v>8</v>
      </c>
      <c r="AC111" s="14">
        <f t="shared" si="9"/>
        <v>-3.8500826749954076</v>
      </c>
      <c r="AD111" s="13">
        <f ca="1">IFERROR(__xludf.DUMMYFUNCTION("IFERROR(
  AVERAGE(
    FILTER(
      $AA$2:$AA111,
      $A$2:$A111 &gt;= A111 - 30,
      $A$2:$A111 &lt;= A111,
      $AA$2:$AA111 &gt; 0
    )
  ),
"""")"),8.45277442467042)</f>
        <v>8.4527744246704195</v>
      </c>
      <c r="AE111" s="14"/>
    </row>
    <row r="112" spans="1:31" x14ac:dyDescent="0.25">
      <c r="A112" s="9">
        <v>46011</v>
      </c>
      <c r="B112" s="10"/>
      <c r="C112" s="10"/>
      <c r="D112" s="10"/>
      <c r="E112" s="11" t="e">
        <f t="shared" si="0"/>
        <v>#DIV/0!</v>
      </c>
      <c r="F112" s="13">
        <v>6</v>
      </c>
      <c r="G112" s="14" t="e">
        <f t="shared" si="1"/>
        <v>#DIV/0!</v>
      </c>
      <c r="H112" s="13">
        <f ca="1">IFERROR(__xludf.DUMMYFUNCTION("IFERROR(
  AVERAGE(
    FILTER(
      $E$2:$E112,
      $A$2:$A112&gt;=A112-30,
      $A$2:$A112&lt;=A112,
      $E$2:$E112&gt;0
    )
  ),
  """"
)"),4.60243158359542)</f>
        <v>4.6024315835954202</v>
      </c>
      <c r="I112" s="14"/>
      <c r="J112" s="10"/>
      <c r="K112" s="10">
        <v>6668</v>
      </c>
      <c r="L112" s="10">
        <v>486</v>
      </c>
      <c r="M112" s="11">
        <f t="shared" si="2"/>
        <v>7.2885422915416918</v>
      </c>
      <c r="N112" s="13">
        <v>8</v>
      </c>
      <c r="O112" s="14">
        <f t="shared" si="3"/>
        <v>0.71145770845830825</v>
      </c>
      <c r="P112" s="13"/>
      <c r="Q112" s="10"/>
      <c r="R112" s="10">
        <v>9982</v>
      </c>
      <c r="S112" s="10">
        <v>961</v>
      </c>
      <c r="T112" s="11">
        <f t="shared" si="4"/>
        <v>9.6273291925465845</v>
      </c>
      <c r="U112" s="13">
        <v>8</v>
      </c>
      <c r="V112" s="14">
        <f t="shared" si="5"/>
        <v>-1.6273291925465845</v>
      </c>
      <c r="W112" s="13"/>
      <c r="X112" s="10"/>
      <c r="Y112" s="10">
        <f t="shared" si="6"/>
        <v>16650</v>
      </c>
      <c r="Z112" s="10">
        <f t="shared" si="7"/>
        <v>1447</v>
      </c>
      <c r="AA112" s="11">
        <f t="shared" si="8"/>
        <v>8.6906906906906904</v>
      </c>
      <c r="AB112" s="13">
        <v>8</v>
      </c>
      <c r="AC112" s="14">
        <f t="shared" si="9"/>
        <v>-0.69069069069069045</v>
      </c>
      <c r="AD112" s="13">
        <f ca="1">IFERROR(__xludf.DUMMYFUNCTION("IFERROR(
  AVERAGE(
    FILTER(
      $AA$2:$AA112,
      $A$2:$A112 &gt;= A112 - 30,
      $A$2:$A112 &lt;= A112,
      $AA$2:$AA112 &gt; 0
    )
  ),
"""")"),8.43118763762073)</f>
        <v>8.4311876376207309</v>
      </c>
      <c r="AE112" s="14"/>
    </row>
    <row r="113" spans="1:31" x14ac:dyDescent="0.25">
      <c r="A113" s="9">
        <v>46012</v>
      </c>
      <c r="B113" s="10"/>
      <c r="C113" s="10"/>
      <c r="D113" s="10"/>
      <c r="E113" s="11" t="e">
        <f t="shared" si="0"/>
        <v>#DIV/0!</v>
      </c>
      <c r="F113" s="13">
        <v>6</v>
      </c>
      <c r="G113" s="14" t="e">
        <f t="shared" si="1"/>
        <v>#DIV/0!</v>
      </c>
      <c r="H113" s="13">
        <f ca="1">IFERROR(__xludf.DUMMYFUNCTION("IFERROR(
  AVERAGE(
    FILTER(
      $E$2:$E113,
      $A$2:$A113&gt;=A113-30,
      $A$2:$A113&lt;=A113,
      $E$2:$E113&gt;0
    )
  ),
  """"
)"),4.29121070884981)</f>
        <v>4.2912107088498104</v>
      </c>
      <c r="I113" s="14"/>
      <c r="J113" s="10"/>
      <c r="K113" s="10">
        <v>261</v>
      </c>
      <c r="L113" s="10">
        <v>15</v>
      </c>
      <c r="M113" s="11">
        <f t="shared" si="2"/>
        <v>5.7471264367816088</v>
      </c>
      <c r="N113" s="13">
        <v>8</v>
      </c>
      <c r="O113" s="14">
        <f t="shared" si="3"/>
        <v>2.2528735632183912</v>
      </c>
      <c r="P113" s="13"/>
      <c r="Q113" s="10"/>
      <c r="R113" s="10">
        <v>5697</v>
      </c>
      <c r="S113" s="10">
        <v>351</v>
      </c>
      <c r="T113" s="11">
        <f t="shared" si="4"/>
        <v>6.1611374407582939</v>
      </c>
      <c r="U113" s="13">
        <v>8</v>
      </c>
      <c r="V113" s="14">
        <f t="shared" si="5"/>
        <v>1.8388625592417061</v>
      </c>
      <c r="W113" s="13"/>
      <c r="X113" s="10"/>
      <c r="Y113" s="10">
        <f t="shared" si="6"/>
        <v>5958</v>
      </c>
      <c r="Z113" s="10">
        <f t="shared" si="7"/>
        <v>366</v>
      </c>
      <c r="AA113" s="11">
        <f t="shared" si="8"/>
        <v>6.143001007049345</v>
      </c>
      <c r="AB113" s="13">
        <v>8</v>
      </c>
      <c r="AC113" s="14">
        <f t="shared" si="9"/>
        <v>1.856998992950655</v>
      </c>
      <c r="AD113" s="13">
        <f ca="1">IFERROR(__xludf.DUMMYFUNCTION("IFERROR(
  AVERAGE(
    FILTER(
      $AA$2:$AA113,
      $A$2:$A113 &gt;= A113 - 30,
      $A$2:$A113 &lt;= A113,
      $AA$2:$AA113 &gt; 0
    )
  ),
"""")"),8.30586191197647)</f>
        <v>8.3058619119764696</v>
      </c>
      <c r="AE113" s="14"/>
    </row>
    <row r="114" spans="1:31" x14ac:dyDescent="0.25">
      <c r="A114" s="9">
        <v>46013</v>
      </c>
      <c r="B114" s="10"/>
      <c r="C114" s="10"/>
      <c r="D114" s="10"/>
      <c r="E114" s="11" t="e">
        <f t="shared" si="0"/>
        <v>#DIV/0!</v>
      </c>
      <c r="F114" s="13">
        <v>6</v>
      </c>
      <c r="G114" s="14" t="e">
        <f t="shared" si="1"/>
        <v>#DIV/0!</v>
      </c>
      <c r="H114" s="13">
        <f ca="1">IFERROR(__xludf.DUMMYFUNCTION("IFERROR(
  AVERAGE(
    FILTER(
      $E$2:$E114,
      $A$2:$A114&gt;=A114-30,
      $A$2:$A114&lt;=A114,
      $E$2:$E114&gt;0
    )
  ),
  """"
)"),4.37448626305421)</f>
        <v>4.3744862630542096</v>
      </c>
      <c r="I114" s="14"/>
      <c r="J114" s="10"/>
      <c r="K114" s="10">
        <v>3062</v>
      </c>
      <c r="L114" s="10">
        <v>255</v>
      </c>
      <c r="M114" s="11">
        <f t="shared" si="2"/>
        <v>8.3278902677988231</v>
      </c>
      <c r="N114" s="13">
        <v>8</v>
      </c>
      <c r="O114" s="14">
        <f t="shared" si="3"/>
        <v>-0.32789026779882313</v>
      </c>
      <c r="P114" s="13"/>
      <c r="Q114" s="10"/>
      <c r="R114" s="10">
        <v>16321</v>
      </c>
      <c r="S114" s="10">
        <v>1334</v>
      </c>
      <c r="T114" s="11">
        <f t="shared" si="4"/>
        <v>8.1735187794865514</v>
      </c>
      <c r="U114" s="13">
        <v>8</v>
      </c>
      <c r="V114" s="14">
        <f t="shared" si="5"/>
        <v>-0.17351877948655137</v>
      </c>
      <c r="W114" s="13"/>
      <c r="X114" s="10"/>
      <c r="Y114" s="10">
        <f t="shared" si="6"/>
        <v>19383</v>
      </c>
      <c r="Z114" s="10">
        <f t="shared" si="7"/>
        <v>1589</v>
      </c>
      <c r="AA114" s="11">
        <f t="shared" si="8"/>
        <v>8.1979053810039719</v>
      </c>
      <c r="AB114" s="13">
        <v>8</v>
      </c>
      <c r="AC114" s="14">
        <f t="shared" si="9"/>
        <v>-0.19790538100397193</v>
      </c>
      <c r="AD114" s="13">
        <f ca="1">IFERROR(__xludf.DUMMYFUNCTION("IFERROR(
  AVERAGE(
    FILTER(
      $AA$2:$AA114,
      $A$2:$A114 &gt;= A114 - 30,
      $A$2:$A114 &lt;= A114,
      $AA$2:$AA114 &gt; 0
    )
  ),
"""")"),8.30201328949995)</f>
        <v>8.3020132894999499</v>
      </c>
      <c r="AE114" s="14"/>
    </row>
    <row r="115" spans="1:31" x14ac:dyDescent="0.25">
      <c r="A115" s="9">
        <v>46014</v>
      </c>
      <c r="B115" s="10"/>
      <c r="C115" s="10"/>
      <c r="D115" s="10"/>
      <c r="E115" s="11" t="e">
        <f t="shared" si="0"/>
        <v>#DIV/0!</v>
      </c>
      <c r="F115" s="13">
        <v>6</v>
      </c>
      <c r="G115" s="14" t="e">
        <f t="shared" si="1"/>
        <v>#DIV/0!</v>
      </c>
      <c r="H115" s="13">
        <f ca="1">IFERROR(__xludf.DUMMYFUNCTION("IFERROR(
  AVERAGE(
    FILTER(
      $E$2:$E115,
      $A$2:$A115&gt;=A115-30,
      $A$2:$A115&lt;=A115,
      $E$2:$E115&gt;0
    )
  ),
  """"
)"),4.16702296438893)</f>
        <v>4.1670229643889298</v>
      </c>
      <c r="I115" s="14"/>
      <c r="J115" s="10"/>
      <c r="K115" s="10">
        <v>3170</v>
      </c>
      <c r="L115" s="10">
        <v>174</v>
      </c>
      <c r="M115" s="11">
        <f t="shared" si="2"/>
        <v>5.4889589905362772</v>
      </c>
      <c r="N115" s="13">
        <v>8</v>
      </c>
      <c r="O115" s="14">
        <f t="shared" si="3"/>
        <v>2.5110410094637228</v>
      </c>
      <c r="P115" s="13"/>
      <c r="Q115" s="10"/>
      <c r="R115" s="10">
        <v>11441</v>
      </c>
      <c r="S115" s="10">
        <v>740</v>
      </c>
      <c r="T115" s="11">
        <f t="shared" si="4"/>
        <v>6.4679660868805184</v>
      </c>
      <c r="U115" s="13">
        <v>8</v>
      </c>
      <c r="V115" s="14">
        <f t="shared" si="5"/>
        <v>1.5320339131194816</v>
      </c>
      <c r="W115" s="13"/>
      <c r="X115" s="10"/>
      <c r="Y115" s="10">
        <f t="shared" si="6"/>
        <v>14611</v>
      </c>
      <c r="Z115" s="10">
        <f t="shared" si="7"/>
        <v>914</v>
      </c>
      <c r="AA115" s="11">
        <f t="shared" si="8"/>
        <v>6.2555608787899519</v>
      </c>
      <c r="AB115" s="13">
        <v>8</v>
      </c>
      <c r="AC115" s="14">
        <f t="shared" si="9"/>
        <v>1.7444391212100481</v>
      </c>
      <c r="AD115" s="13">
        <f ca="1">IFERROR(__xludf.DUMMYFUNCTION("IFERROR(
  AVERAGE(
    FILTER(
      $AA$2:$AA115,
      $A$2:$A115 &gt;= A115 - 30,
      $A$2:$A115 &lt;= A115,
      $AA$2:$AA115 &gt; 0
    )
  ),
"""")"),8.23136088549508)</f>
        <v>8.2313608854950804</v>
      </c>
      <c r="AE115" s="14"/>
    </row>
    <row r="116" spans="1:31" x14ac:dyDescent="0.25">
      <c r="A116" s="9">
        <v>46015</v>
      </c>
      <c r="B116" s="10"/>
      <c r="C116" s="10"/>
      <c r="D116" s="10"/>
      <c r="E116" s="11" t="e">
        <f t="shared" si="0"/>
        <v>#DIV/0!</v>
      </c>
      <c r="F116" s="13">
        <v>6</v>
      </c>
      <c r="G116" s="14" t="e">
        <f t="shared" si="1"/>
        <v>#DIV/0!</v>
      </c>
      <c r="H116" s="13">
        <f ca="1">IFERROR(__xludf.DUMMYFUNCTION("IFERROR(
  AVERAGE(
    FILTER(
      $E$2:$E116,
      $A$2:$A116&gt;=A116-30,
      $A$2:$A116&lt;=A116,
      $E$2:$E116&gt;0
    )
  ),
  """"
)"),4.16702296438893)</f>
        <v>4.1670229643889298</v>
      </c>
      <c r="I116" s="14"/>
      <c r="J116" s="10"/>
      <c r="K116" s="10">
        <v>3025</v>
      </c>
      <c r="L116" s="10">
        <v>237</v>
      </c>
      <c r="M116" s="11">
        <f t="shared" si="2"/>
        <v>7.8347107438016526</v>
      </c>
      <c r="N116" s="13">
        <v>8</v>
      </c>
      <c r="O116" s="14">
        <f t="shared" si="3"/>
        <v>0.16528925619834745</v>
      </c>
      <c r="P116" s="13"/>
      <c r="Q116" s="10"/>
      <c r="R116" s="10">
        <v>6844</v>
      </c>
      <c r="S116" s="10">
        <v>655</v>
      </c>
      <c r="T116" s="11">
        <f t="shared" si="4"/>
        <v>9.5704266510812381</v>
      </c>
      <c r="U116" s="13">
        <v>8</v>
      </c>
      <c r="V116" s="14">
        <f t="shared" si="5"/>
        <v>-1.5704266510812381</v>
      </c>
      <c r="W116" s="13"/>
      <c r="X116" s="10"/>
      <c r="Y116" s="10">
        <f t="shared" si="6"/>
        <v>9869</v>
      </c>
      <c r="Z116" s="10">
        <f t="shared" si="7"/>
        <v>892</v>
      </c>
      <c r="AA116" s="11">
        <f t="shared" si="8"/>
        <v>9.0384030803526194</v>
      </c>
      <c r="AB116" s="13">
        <v>8</v>
      </c>
      <c r="AC116" s="14">
        <f t="shared" si="9"/>
        <v>-1.0384030803526194</v>
      </c>
      <c r="AD116" s="13">
        <f ca="1">IFERROR(__xludf.DUMMYFUNCTION("IFERROR(
  AVERAGE(
    FILTER(
      $AA$2:$AA116,
      $A$2:$A116 &gt;= A116 - 30,
      $A$2:$A116 &lt;= A116,
      $AA$2:$AA116 &gt; 0
    )
  ),
"""")"),8.33854474878814)</f>
        <v>8.3385447487881397</v>
      </c>
      <c r="AE116" s="14"/>
    </row>
    <row r="117" spans="1:31" x14ac:dyDescent="0.25">
      <c r="A117" s="9">
        <v>46016</v>
      </c>
      <c r="B117" s="10"/>
      <c r="C117" s="10"/>
      <c r="D117" s="10"/>
      <c r="E117" s="11" t="e">
        <f t="shared" si="0"/>
        <v>#DIV/0!</v>
      </c>
      <c r="F117" s="13">
        <v>6</v>
      </c>
      <c r="G117" s="14" t="e">
        <f t="shared" si="1"/>
        <v>#DIV/0!</v>
      </c>
      <c r="H117" s="13">
        <f ca="1">IFERROR(__xludf.DUMMYFUNCTION("IFERROR(
  AVERAGE(
    FILTER(
      $E$2:$E117,
      $A$2:$A117&gt;=A117-30,
      $A$2:$A117&lt;=A117,
      $E$2:$E117&gt;0
    )
  ),
  """"
)"),4.54759736858748)</f>
        <v>4.5475973685874802</v>
      </c>
      <c r="I117" s="14"/>
      <c r="J117" s="10"/>
      <c r="K117" s="10">
        <v>4714</v>
      </c>
      <c r="L117" s="10">
        <v>389</v>
      </c>
      <c r="M117" s="11">
        <f t="shared" si="2"/>
        <v>8.2520152736529493</v>
      </c>
      <c r="N117" s="13">
        <v>8</v>
      </c>
      <c r="O117" s="14">
        <f t="shared" si="3"/>
        <v>-0.25201527365294929</v>
      </c>
      <c r="P117" s="13"/>
      <c r="Q117" s="10"/>
      <c r="R117" s="10">
        <v>9678</v>
      </c>
      <c r="S117" s="10">
        <v>800</v>
      </c>
      <c r="T117" s="11">
        <f t="shared" si="4"/>
        <v>8.2661706964248811</v>
      </c>
      <c r="U117" s="13">
        <v>8</v>
      </c>
      <c r="V117" s="14">
        <f t="shared" si="5"/>
        <v>-0.26617069642488111</v>
      </c>
      <c r="W117" s="13"/>
      <c r="X117" s="10"/>
      <c r="Y117" s="10">
        <f t="shared" si="6"/>
        <v>14392</v>
      </c>
      <c r="Z117" s="10">
        <f t="shared" si="7"/>
        <v>1189</v>
      </c>
      <c r="AA117" s="11">
        <f t="shared" si="8"/>
        <v>8.2615341856586983</v>
      </c>
      <c r="AB117" s="13">
        <v>8</v>
      </c>
      <c r="AC117" s="14">
        <f t="shared" si="9"/>
        <v>-0.26153418565869835</v>
      </c>
      <c r="AD117" s="13">
        <f ca="1">IFERROR(__xludf.DUMMYFUNCTION("IFERROR(
  AVERAGE(
    FILTER(
      $AA$2:$AA117,
      $A$2:$A117 &gt;= A117 - 30,
      $A$2:$A117 &lt;= A117,
      $AA$2:$AA117 &gt; 0
    )
  ),
"""")"),8.37211979809412)</f>
        <v>8.3721197980941202</v>
      </c>
      <c r="AE117" s="14"/>
    </row>
    <row r="118" spans="1:31" x14ac:dyDescent="0.25">
      <c r="A118" s="9">
        <v>46017</v>
      </c>
      <c r="B118" s="10"/>
      <c r="C118" s="10"/>
      <c r="D118" s="10"/>
      <c r="E118" s="11" t="e">
        <f t="shared" si="0"/>
        <v>#DIV/0!</v>
      </c>
      <c r="F118" s="13">
        <v>6</v>
      </c>
      <c r="G118" s="14" t="e">
        <f t="shared" si="1"/>
        <v>#DIV/0!</v>
      </c>
      <c r="H118" s="13">
        <f ca="1">IFERROR(__xludf.DUMMYFUNCTION("IFERROR(
  AVERAGE(
    FILTER(
      $E$2:$E118,
      $A$2:$A118&gt;=A118-30,
      $A$2:$A118&lt;=A118,
      $E$2:$E118&gt;0
    )
  ),
  """"
)"),4.61070816447884)</f>
        <v>4.6107081644788401</v>
      </c>
      <c r="I118" s="14"/>
      <c r="J118" s="10"/>
      <c r="K118" s="10">
        <v>1006</v>
      </c>
      <c r="L118" s="10">
        <v>95</v>
      </c>
      <c r="M118" s="11">
        <f t="shared" si="2"/>
        <v>9.4433399602385677</v>
      </c>
      <c r="N118" s="13">
        <v>8</v>
      </c>
      <c r="O118" s="14">
        <f t="shared" si="3"/>
        <v>-1.4433399602385677</v>
      </c>
      <c r="P118" s="13"/>
      <c r="Q118" s="10"/>
      <c r="R118" s="10">
        <v>8910</v>
      </c>
      <c r="S118" s="10">
        <v>711</v>
      </c>
      <c r="T118" s="11">
        <f t="shared" si="4"/>
        <v>7.9797979797979801</v>
      </c>
      <c r="U118" s="13">
        <v>8</v>
      </c>
      <c r="V118" s="14">
        <f t="shared" si="5"/>
        <v>2.0202020202019888E-2</v>
      </c>
      <c r="W118" s="13"/>
      <c r="X118" s="10"/>
      <c r="Y118" s="10">
        <f t="shared" si="6"/>
        <v>9916</v>
      </c>
      <c r="Z118" s="10">
        <f t="shared" si="7"/>
        <v>806</v>
      </c>
      <c r="AA118" s="11">
        <f t="shared" si="8"/>
        <v>8.1282775312626061</v>
      </c>
      <c r="AB118" s="13">
        <v>8</v>
      </c>
      <c r="AC118" s="14">
        <f t="shared" si="9"/>
        <v>-0.1282775312626061</v>
      </c>
      <c r="AD118" s="13">
        <f ca="1">IFERROR(__xludf.DUMMYFUNCTION("IFERROR(
  AVERAGE(
    FILTER(
      $AA$2:$AA118,
      $A$2:$A118 &gt;= A118 - 30,
      $A$2:$A118 &lt;= A118,
      $AA$2:$AA118 &gt; 0
    )
  ),
"""")"),8.40638810946036)</f>
        <v>8.4063881094603605</v>
      </c>
      <c r="AE118" s="14"/>
    </row>
    <row r="119" spans="1:31" x14ac:dyDescent="0.25">
      <c r="A119" s="9">
        <v>46018</v>
      </c>
      <c r="B119" s="10"/>
      <c r="C119" s="10"/>
      <c r="D119" s="10"/>
      <c r="E119" s="11" t="e">
        <f t="shared" si="0"/>
        <v>#DIV/0!</v>
      </c>
      <c r="F119" s="13">
        <v>6</v>
      </c>
      <c r="G119" s="14" t="e">
        <f t="shared" si="1"/>
        <v>#DIV/0!</v>
      </c>
      <c r="H119" s="13">
        <f ca="1">IFERROR(__xludf.DUMMYFUNCTION("IFERROR(
  AVERAGE(
    FILTER(
      $E$2:$E119,
      $A$2:$A119&gt;=A119-30,
      $A$2:$A119&lt;=A119,
      $E$2:$E119&gt;0
    )
  ),
  """"
)"),4.7811512586426)</f>
        <v>4.7811512586426002</v>
      </c>
      <c r="I119" s="14"/>
      <c r="J119" s="10"/>
      <c r="K119" s="10">
        <v>1760</v>
      </c>
      <c r="L119" s="10">
        <v>197</v>
      </c>
      <c r="M119" s="11">
        <f t="shared" si="2"/>
        <v>11.193181818181818</v>
      </c>
      <c r="N119" s="13">
        <v>8</v>
      </c>
      <c r="O119" s="14">
        <f t="shared" si="3"/>
        <v>-3.1931818181818183</v>
      </c>
      <c r="P119" s="13"/>
      <c r="Q119" s="10"/>
      <c r="R119" s="10">
        <v>11716</v>
      </c>
      <c r="S119" s="10">
        <v>908</v>
      </c>
      <c r="T119" s="11">
        <f t="shared" si="4"/>
        <v>7.7500853533629215</v>
      </c>
      <c r="U119" s="13">
        <v>8</v>
      </c>
      <c r="V119" s="14">
        <f t="shared" si="5"/>
        <v>0.24991464663707852</v>
      </c>
      <c r="W119" s="13"/>
      <c r="X119" s="10"/>
      <c r="Y119" s="10">
        <f t="shared" si="6"/>
        <v>13476</v>
      </c>
      <c r="Z119" s="10">
        <f t="shared" si="7"/>
        <v>1105</v>
      </c>
      <c r="AA119" s="11">
        <f t="shared" si="8"/>
        <v>8.1997625408132979</v>
      </c>
      <c r="AB119" s="13">
        <v>8</v>
      </c>
      <c r="AC119" s="14">
        <f t="shared" si="9"/>
        <v>-0.19976254081329792</v>
      </c>
      <c r="AD119" s="13">
        <f ca="1">IFERROR(__xludf.DUMMYFUNCTION("IFERROR(
  AVERAGE(
    FILTER(
      $AA$2:$AA119,
      $A$2:$A119 &gt;= A119 - 30,
      $A$2:$A119 &lt;= A119,
      $AA$2:$AA119 &gt; 0
    )
  ),
"""")"),8.410267670853)</f>
        <v>8.4102676708530009</v>
      </c>
      <c r="AE119" s="14"/>
    </row>
    <row r="120" spans="1:31" x14ac:dyDescent="0.25">
      <c r="A120" s="9">
        <v>46019</v>
      </c>
      <c r="B120" s="10"/>
      <c r="C120" s="10"/>
      <c r="D120" s="10"/>
      <c r="E120" s="11" t="e">
        <f t="shared" si="0"/>
        <v>#DIV/0!</v>
      </c>
      <c r="F120" s="13">
        <v>6</v>
      </c>
      <c r="G120" s="14" t="e">
        <f t="shared" si="1"/>
        <v>#DIV/0!</v>
      </c>
      <c r="H120" s="13">
        <f ca="1">IFERROR(__xludf.DUMMYFUNCTION("IFERROR(
  AVERAGE(
    FILTER(
      $E$2:$E120,
      $A$2:$A120&gt;=A120-30,
      $A$2:$A120&lt;=A120,
      $E$2:$E120&gt;0
    )
  ),
  """"
)"),6.7292490118577)</f>
        <v>6.7292490118577</v>
      </c>
      <c r="I120" s="14"/>
      <c r="J120" s="10"/>
      <c r="K120" s="10">
        <v>0</v>
      </c>
      <c r="L120" s="10">
        <v>0</v>
      </c>
      <c r="M120" s="11" t="e">
        <f t="shared" si="2"/>
        <v>#DIV/0!</v>
      </c>
      <c r="N120" s="13">
        <v>8</v>
      </c>
      <c r="O120" s="14" t="e">
        <f t="shared" si="3"/>
        <v>#DIV/0!</v>
      </c>
      <c r="P120" s="13"/>
      <c r="Q120" s="10"/>
      <c r="R120" s="10">
        <v>1514</v>
      </c>
      <c r="S120" s="10">
        <v>132</v>
      </c>
      <c r="T120" s="11">
        <f t="shared" si="4"/>
        <v>8.7186261558784679</v>
      </c>
      <c r="U120" s="13">
        <v>8</v>
      </c>
      <c r="V120" s="14">
        <f t="shared" si="5"/>
        <v>-0.7186261558784679</v>
      </c>
      <c r="W120" s="13"/>
      <c r="X120" s="10"/>
      <c r="Y120" s="10">
        <f t="shared" si="6"/>
        <v>1514</v>
      </c>
      <c r="Z120" s="10">
        <f t="shared" si="7"/>
        <v>132</v>
      </c>
      <c r="AA120" s="11">
        <f t="shared" si="8"/>
        <v>8.7186261558784679</v>
      </c>
      <c r="AB120" s="13">
        <v>8</v>
      </c>
      <c r="AC120" s="14">
        <f t="shared" si="9"/>
        <v>-0.7186261558784679</v>
      </c>
      <c r="AD120" s="13">
        <f ca="1">IFERROR(__xludf.DUMMYFUNCTION("IFERROR(
  AVERAGE(
    FILTER(
      $AA$2:$AA120,
      $A$2:$A120 &gt;= A120 - 30,
      $A$2:$A120 &lt;= A120,
      $AA$2:$AA120 &gt; 0
    )
  ),
"""")"),8.44739581622851)</f>
        <v>8.4473958162285108</v>
      </c>
      <c r="AE120" s="14"/>
    </row>
    <row r="121" spans="1:31" x14ac:dyDescent="0.25">
      <c r="A121" s="9">
        <v>46020</v>
      </c>
      <c r="B121" s="10"/>
      <c r="C121" s="10"/>
      <c r="D121" s="10"/>
      <c r="E121" s="11" t="e">
        <f t="shared" si="0"/>
        <v>#DIV/0!</v>
      </c>
      <c r="F121" s="13">
        <v>6</v>
      </c>
      <c r="G121" s="14" t="e">
        <f t="shared" si="1"/>
        <v>#DIV/0!</v>
      </c>
      <c r="H121" s="13">
        <f ca="1">IFERROR(__xludf.DUMMYFUNCTION("IFERROR(
  AVERAGE(
    FILTER(
      $E$2:$E121,
      $A$2:$A121&gt;=A121-30,
      $A$2:$A121&lt;=A121,
      $E$2:$E121&gt;0
    )
  ),
  """"
)"),3.45849802371541)</f>
        <v>3.4584980237154102</v>
      </c>
      <c r="I121" s="14"/>
      <c r="J121" s="10"/>
      <c r="K121" s="10">
        <v>3442</v>
      </c>
      <c r="L121" s="10">
        <v>324</v>
      </c>
      <c r="M121" s="11">
        <f t="shared" si="2"/>
        <v>9.4131319000581062</v>
      </c>
      <c r="N121" s="13">
        <v>8</v>
      </c>
      <c r="O121" s="14">
        <f t="shared" si="3"/>
        <v>-1.4131319000581062</v>
      </c>
      <c r="P121" s="13"/>
      <c r="Q121" s="10"/>
      <c r="R121" s="10">
        <v>13102</v>
      </c>
      <c r="S121" s="10">
        <v>784</v>
      </c>
      <c r="T121" s="11">
        <f t="shared" si="4"/>
        <v>5.9838192642344685</v>
      </c>
      <c r="U121" s="13">
        <v>8</v>
      </c>
      <c r="V121" s="14">
        <f t="shared" si="5"/>
        <v>2.0161807357655315</v>
      </c>
      <c r="W121" s="13"/>
      <c r="X121" s="10"/>
      <c r="Y121" s="10">
        <f t="shared" si="6"/>
        <v>16544</v>
      </c>
      <c r="Z121" s="10">
        <f t="shared" si="7"/>
        <v>1108</v>
      </c>
      <c r="AA121" s="11">
        <f t="shared" si="8"/>
        <v>6.6972920696324945</v>
      </c>
      <c r="AB121" s="13">
        <v>8</v>
      </c>
      <c r="AC121" s="14">
        <f t="shared" si="9"/>
        <v>1.3027079303675055</v>
      </c>
      <c r="AD121" s="13">
        <f ca="1">IFERROR(__xludf.DUMMYFUNCTION("IFERROR(
  AVERAGE(
    FILTER(
      $AA$2:$AA121,
      $A$2:$A121 &gt;= A121 - 30,
      $A$2:$A121 &lt;= A121,
      $AA$2:$AA121 &gt; 0
    )
  ),
"""")"),8.36152502748484)</f>
        <v>8.3615250274848396</v>
      </c>
      <c r="AE121" s="14"/>
    </row>
    <row r="122" spans="1:31" x14ac:dyDescent="0.25">
      <c r="A122" s="9">
        <v>46021</v>
      </c>
      <c r="B122" s="10"/>
      <c r="C122" s="10"/>
      <c r="D122" s="10"/>
      <c r="E122" s="11" t="e">
        <f t="shared" si="0"/>
        <v>#DIV/0!</v>
      </c>
      <c r="F122" s="13">
        <v>6</v>
      </c>
      <c r="G122" s="14" t="e">
        <f t="shared" si="1"/>
        <v>#DIV/0!</v>
      </c>
      <c r="H122" s="13" t="str">
        <f ca="1">IFERROR(__xludf.DUMMYFUNCTION("IFERROR(
  AVERAGE(
    FILTER(
      $E$2:$E122,
      $A$2:$A122&gt;=A122-30,
      $A$2:$A122&lt;=A122,
      $E$2:$E122&gt;0
    )
  ),
  """"
)"),"")</f>
        <v/>
      </c>
      <c r="I122" s="14"/>
      <c r="J122" s="10"/>
      <c r="K122" s="10">
        <v>700</v>
      </c>
      <c r="L122" s="10">
        <v>54</v>
      </c>
      <c r="M122" s="11">
        <f t="shared" si="2"/>
        <v>7.7142857142857135</v>
      </c>
      <c r="N122" s="13">
        <v>8</v>
      </c>
      <c r="O122" s="14">
        <f t="shared" si="3"/>
        <v>0.28571428571428648</v>
      </c>
      <c r="P122" s="13"/>
      <c r="Q122" s="10"/>
      <c r="R122" s="10">
        <v>5755</v>
      </c>
      <c r="S122" s="10">
        <v>341</v>
      </c>
      <c r="T122" s="11">
        <f t="shared" si="4"/>
        <v>5.9252823631624674</v>
      </c>
      <c r="U122" s="13">
        <v>8</v>
      </c>
      <c r="V122" s="14">
        <f t="shared" si="5"/>
        <v>2.0747176368375326</v>
      </c>
      <c r="W122" s="10"/>
      <c r="X122" s="10"/>
      <c r="Y122" s="10">
        <f t="shared" si="6"/>
        <v>6455</v>
      </c>
      <c r="Z122" s="10">
        <f t="shared" si="7"/>
        <v>395</v>
      </c>
      <c r="AA122" s="11">
        <f t="shared" si="8"/>
        <v>6.1192873741285823</v>
      </c>
      <c r="AB122" s="13">
        <v>8</v>
      </c>
      <c r="AC122" s="14">
        <f t="shared" si="9"/>
        <v>1.8807126258714177</v>
      </c>
      <c r="AD122" s="13">
        <f ca="1">IFERROR(__xludf.DUMMYFUNCTION("IFERROR(
  AVERAGE(
    FILTER(
      $AA$2:$AA122,
      $A$2:$A122 &gt;= A122 - 30,
      $A$2:$A122 &lt;= A122,
      $AA$2:$AA122 &gt; 0
    )
  ),
"""")"),8.24815158459848)</f>
        <v>8.2481515845984799</v>
      </c>
      <c r="AE122" s="14"/>
    </row>
    <row r="123" spans="1:31" x14ac:dyDescent="0.25">
      <c r="A123" s="9">
        <v>46022</v>
      </c>
      <c r="B123" s="10"/>
      <c r="C123" s="10"/>
      <c r="D123" s="10"/>
      <c r="E123" s="11" t="e">
        <f t="shared" si="0"/>
        <v>#DIV/0!</v>
      </c>
      <c r="F123" s="13">
        <v>6</v>
      </c>
      <c r="G123" s="14" t="e">
        <f t="shared" si="1"/>
        <v>#DIV/0!</v>
      </c>
      <c r="H123" s="13" t="str">
        <f ca="1">IFERROR(__xludf.DUMMYFUNCTION("IFERROR(
  AVERAGE(
    FILTER(
      $E$2:$E123,
      $A$2:$A123&gt;=A123-30,
      $A$2:$A123&lt;=A123,
      $E$2:$E123&gt;0
    )
  ),
  """"
)"),"")</f>
        <v/>
      </c>
      <c r="I123" s="14"/>
      <c r="J123" s="10"/>
      <c r="K123" s="10">
        <v>2000</v>
      </c>
      <c r="L123" s="10">
        <v>150</v>
      </c>
      <c r="M123" s="11">
        <f t="shared" si="2"/>
        <v>7.5</v>
      </c>
      <c r="N123" s="13">
        <v>8</v>
      </c>
      <c r="O123" s="14">
        <f t="shared" si="3"/>
        <v>0.5</v>
      </c>
      <c r="P123" s="13"/>
      <c r="Q123" s="10"/>
      <c r="R123" s="10">
        <v>6645</v>
      </c>
      <c r="S123" s="10">
        <v>420</v>
      </c>
      <c r="T123" s="11">
        <f t="shared" si="4"/>
        <v>6.3205417607223477</v>
      </c>
      <c r="U123" s="13">
        <v>8</v>
      </c>
      <c r="V123" s="14">
        <f t="shared" si="5"/>
        <v>1.6794582392776523</v>
      </c>
      <c r="W123" s="10"/>
      <c r="X123" s="10"/>
      <c r="Y123" s="10">
        <f t="shared" si="6"/>
        <v>8645</v>
      </c>
      <c r="Z123" s="10">
        <f t="shared" si="7"/>
        <v>570</v>
      </c>
      <c r="AA123" s="11">
        <f t="shared" si="8"/>
        <v>6.593406593406594</v>
      </c>
      <c r="AB123" s="13">
        <v>8</v>
      </c>
      <c r="AC123" s="14">
        <f t="shared" si="9"/>
        <v>1.406593406593406</v>
      </c>
      <c r="AD123" s="13">
        <f ca="1">IFERROR(__xludf.DUMMYFUNCTION("IFERROR(
  AVERAGE(
    FILTER(
      $AA$2:$AA123,
      $A$2:$A123 &gt;= A123 - 30,
      $A$2:$A123 &lt;= A123,
      $AA$2:$AA123 &gt; 0
    )
  ),
"""")"),8.18231240882905)</f>
        <v>8.1823124088290502</v>
      </c>
      <c r="AE123" s="14"/>
    </row>
    <row r="124" spans="1:31" x14ac:dyDescent="0.25">
      <c r="A124" s="9">
        <v>46023</v>
      </c>
      <c r="B124" s="10"/>
      <c r="C124" s="10"/>
      <c r="D124" s="10"/>
      <c r="E124" s="11" t="e">
        <f t="shared" si="0"/>
        <v>#DIV/0!</v>
      </c>
      <c r="F124" s="13">
        <v>6</v>
      </c>
      <c r="G124" s="14" t="e">
        <f t="shared" si="1"/>
        <v>#DIV/0!</v>
      </c>
      <c r="H124" s="13" t="str">
        <f ca="1">IFERROR(__xludf.DUMMYFUNCTION("IFERROR(
  AVERAGE(
    FILTER(
      $E$2:$E124,
      $A$2:$A124&gt;=A124-30,
      $A$2:$A124&lt;=A124,
      $E$2:$E124&gt;0
    )
  ),
  """"
)"),"")</f>
        <v/>
      </c>
      <c r="I124" s="14"/>
      <c r="J124" s="10"/>
      <c r="K124" s="10">
        <v>0</v>
      </c>
      <c r="L124" s="10">
        <v>0</v>
      </c>
      <c r="M124" s="11" t="e">
        <f t="shared" si="2"/>
        <v>#DIV/0!</v>
      </c>
      <c r="N124" s="13">
        <v>8</v>
      </c>
      <c r="O124" s="14" t="e">
        <f t="shared" si="3"/>
        <v>#DIV/0!</v>
      </c>
      <c r="P124" s="13"/>
      <c r="Q124" s="10"/>
      <c r="R124" s="10">
        <v>11145</v>
      </c>
      <c r="S124" s="10">
        <v>810</v>
      </c>
      <c r="T124" s="11">
        <f t="shared" si="4"/>
        <v>7.2678331090174968</v>
      </c>
      <c r="U124" s="13">
        <v>8</v>
      </c>
      <c r="V124" s="14">
        <f t="shared" si="5"/>
        <v>0.7321668909825032</v>
      </c>
      <c r="W124" s="10"/>
      <c r="X124" s="10"/>
      <c r="Y124" s="10">
        <f t="shared" si="6"/>
        <v>11145</v>
      </c>
      <c r="Z124" s="10">
        <f t="shared" si="7"/>
        <v>810</v>
      </c>
      <c r="AA124" s="11">
        <f t="shared" si="8"/>
        <v>7.2678331090174968</v>
      </c>
      <c r="AB124" s="13">
        <v>8</v>
      </c>
      <c r="AC124" s="14">
        <f t="shared" si="9"/>
        <v>0.7321668909825032</v>
      </c>
      <c r="AD124" s="13">
        <f ca="1">IFERROR(__xludf.DUMMYFUNCTION("IFERROR(
  AVERAGE(
    FILTER(
      $AA$2:$AA124,
      $A$2:$A124 &gt;= A124 - 30,
      $A$2:$A124 &lt;= A124,
      $AA$2:$AA124 &gt; 0
    )
  ),
"""")"),8.12968736091388)</f>
        <v>8.1296873609138807</v>
      </c>
      <c r="AE124" s="14"/>
    </row>
    <row r="125" spans="1:31" x14ac:dyDescent="0.25">
      <c r="A125" s="9">
        <v>46024</v>
      </c>
      <c r="B125" s="10"/>
      <c r="C125" s="10"/>
      <c r="D125" s="10"/>
      <c r="E125" s="11" t="e">
        <f t="shared" si="0"/>
        <v>#DIV/0!</v>
      </c>
      <c r="F125" s="13">
        <v>6</v>
      </c>
      <c r="G125" s="14" t="e">
        <f t="shared" si="1"/>
        <v>#DIV/0!</v>
      </c>
      <c r="H125" s="13" t="str">
        <f ca="1">IFERROR(__xludf.DUMMYFUNCTION("IFERROR(
  AVERAGE(
    FILTER(
      $E$2:$E125,
      $A$2:$A125&gt;=A125-30,
      $A$2:$A125&lt;=A125,
      $E$2:$E125&gt;0
    )
  ),
  """"
)"),"")</f>
        <v/>
      </c>
      <c r="I125" s="14"/>
      <c r="J125" s="10"/>
      <c r="K125" s="10">
        <v>0</v>
      </c>
      <c r="L125" s="10">
        <v>0</v>
      </c>
      <c r="M125" s="11" t="e">
        <f t="shared" si="2"/>
        <v>#DIV/0!</v>
      </c>
      <c r="N125" s="13">
        <v>8</v>
      </c>
      <c r="O125" s="14" t="e">
        <f t="shared" si="3"/>
        <v>#DIV/0!</v>
      </c>
      <c r="P125" s="13"/>
      <c r="Q125" s="10"/>
      <c r="R125" s="10">
        <v>6330</v>
      </c>
      <c r="S125" s="10">
        <v>612</v>
      </c>
      <c r="T125" s="11">
        <f t="shared" si="4"/>
        <v>9.6682464454976298</v>
      </c>
      <c r="U125" s="13">
        <v>8</v>
      </c>
      <c r="V125" s="14">
        <f t="shared" si="5"/>
        <v>-1.6682464454976298</v>
      </c>
      <c r="W125" s="10"/>
      <c r="X125" s="10"/>
      <c r="Y125" s="10">
        <f t="shared" si="6"/>
        <v>6330</v>
      </c>
      <c r="Z125" s="10">
        <f t="shared" si="7"/>
        <v>612</v>
      </c>
      <c r="AA125" s="11">
        <f t="shared" si="8"/>
        <v>9.6682464454976298</v>
      </c>
      <c r="AB125" s="13">
        <v>8</v>
      </c>
      <c r="AC125" s="14">
        <f t="shared" si="9"/>
        <v>-1.6682464454976298</v>
      </c>
      <c r="AD125" s="13">
        <f ca="1">IFERROR(__xludf.DUMMYFUNCTION("IFERROR(
  AVERAGE(
    FILTER(
      $AA$2:$AA125,
      $A$2:$A125 &gt;= A125 - 30,
      $A$2:$A125 &lt;= A125,
      $AA$2:$AA125 &gt; 0
    )
  ),
"""")"),8.2374588908156)</f>
        <v>8.2374588908155992</v>
      </c>
      <c r="AE125" s="14"/>
    </row>
    <row r="126" spans="1:31" x14ac:dyDescent="0.25">
      <c r="A126" s="9">
        <v>46025</v>
      </c>
      <c r="B126" s="10"/>
      <c r="C126" s="10"/>
      <c r="D126" s="10"/>
      <c r="E126" s="11" t="e">
        <f t="shared" si="0"/>
        <v>#DIV/0!</v>
      </c>
      <c r="F126" s="13">
        <v>6</v>
      </c>
      <c r="G126" s="14" t="e">
        <f t="shared" si="1"/>
        <v>#DIV/0!</v>
      </c>
      <c r="H126" s="13" t="str">
        <f ca="1">IFERROR(__xludf.DUMMYFUNCTION("IFERROR(
  AVERAGE(
    FILTER(
      $E$2:$E126,
      $A$2:$A126&gt;=A126-30,
      $A$2:$A126&lt;=A126,
      $E$2:$E126&gt;0
    )
  ),
  """"
)"),"")</f>
        <v/>
      </c>
      <c r="I126" s="14"/>
      <c r="J126" s="10"/>
      <c r="K126" s="10">
        <v>0</v>
      </c>
      <c r="L126" s="10">
        <v>0</v>
      </c>
      <c r="M126" s="11" t="e">
        <f t="shared" si="2"/>
        <v>#DIV/0!</v>
      </c>
      <c r="N126" s="13">
        <v>8</v>
      </c>
      <c r="O126" s="14" t="e">
        <f t="shared" si="3"/>
        <v>#DIV/0!</v>
      </c>
      <c r="P126" s="13"/>
      <c r="Q126" s="10"/>
      <c r="R126" s="10">
        <v>10226</v>
      </c>
      <c r="S126" s="10">
        <v>793</v>
      </c>
      <c r="T126" s="11">
        <f t="shared" si="4"/>
        <v>7.7547428124388809</v>
      </c>
      <c r="U126" s="13">
        <v>8</v>
      </c>
      <c r="V126" s="14">
        <f t="shared" si="5"/>
        <v>0.24525718756111914</v>
      </c>
      <c r="W126" s="10"/>
      <c r="X126" s="10"/>
      <c r="Y126" s="10">
        <f t="shared" si="6"/>
        <v>10226</v>
      </c>
      <c r="Z126" s="10">
        <f t="shared" si="7"/>
        <v>793</v>
      </c>
      <c r="AA126" s="11">
        <f t="shared" si="8"/>
        <v>7.7547428124388809</v>
      </c>
      <c r="AB126" s="13">
        <v>8</v>
      </c>
      <c r="AC126" s="14">
        <f t="shared" si="9"/>
        <v>0.24525718756111914</v>
      </c>
      <c r="AD126" s="13">
        <f ca="1">IFERROR(__xludf.DUMMYFUNCTION("IFERROR(
  AVERAGE(
    FILTER(
      $AA$2:$AA126,
      $A$2:$A126 &gt;= A126 - 30,
      $A$2:$A126 &lt;= A126,
      $AA$2:$AA126 &gt; 0
    )
  ),
"""")"),8.17348330979457)</f>
        <v>8.1734833097945696</v>
      </c>
      <c r="AE126" s="14"/>
    </row>
    <row r="127" spans="1:31" x14ac:dyDescent="0.25">
      <c r="A127" s="9">
        <v>46026</v>
      </c>
      <c r="B127" s="10"/>
      <c r="C127" s="10"/>
      <c r="D127" s="10"/>
      <c r="E127" s="11" t="e">
        <f t="shared" si="0"/>
        <v>#DIV/0!</v>
      </c>
      <c r="F127" s="13">
        <v>6</v>
      </c>
      <c r="G127" s="14" t="e">
        <f t="shared" si="1"/>
        <v>#DIV/0!</v>
      </c>
      <c r="H127" s="13" t="str">
        <f ca="1">IFERROR(__xludf.DUMMYFUNCTION("IFERROR(
  AVERAGE(
    FILTER(
      $E$2:$E127,
      $A$2:$A127&gt;=A127-30,
      $A$2:$A127&lt;=A127,
      $E$2:$E127&gt;0
    )
  ),
  """"
)"),"")</f>
        <v/>
      </c>
      <c r="I127" s="14"/>
      <c r="J127" s="10"/>
      <c r="K127" s="10">
        <v>0</v>
      </c>
      <c r="L127" s="10">
        <v>0</v>
      </c>
      <c r="M127" s="11" t="e">
        <f t="shared" si="2"/>
        <v>#DIV/0!</v>
      </c>
      <c r="N127" s="13">
        <v>8</v>
      </c>
      <c r="O127" s="14" t="e">
        <f t="shared" si="3"/>
        <v>#DIV/0!</v>
      </c>
      <c r="P127" s="13"/>
      <c r="Q127" s="10"/>
      <c r="R127" s="10">
        <v>3940</v>
      </c>
      <c r="S127" s="10">
        <v>317</v>
      </c>
      <c r="T127" s="11">
        <f t="shared" si="4"/>
        <v>8.0456852791878166</v>
      </c>
      <c r="U127" s="13">
        <v>8</v>
      </c>
      <c r="V127" s="14">
        <f t="shared" si="5"/>
        <v>-4.5685279187816619E-2</v>
      </c>
      <c r="W127" s="10"/>
      <c r="X127" s="10"/>
      <c r="Y127" s="10">
        <f t="shared" si="6"/>
        <v>3940</v>
      </c>
      <c r="Z127" s="10">
        <f t="shared" si="7"/>
        <v>317</v>
      </c>
      <c r="AA127" s="11">
        <f t="shared" si="8"/>
        <v>8.0456852791878166</v>
      </c>
      <c r="AB127" s="13">
        <v>8</v>
      </c>
      <c r="AC127" s="14">
        <f t="shared" si="9"/>
        <v>-4.5685279187816619E-2</v>
      </c>
      <c r="AD127" s="13">
        <f ca="1">IFERROR(__xludf.DUMMYFUNCTION("IFERROR(
  AVERAGE(
    FILTER(
      $AA$2:$AA127,
      $A$2:$A127 &gt;= A127 - 30,
      $A$2:$A127 &lt;= A127,
      $AA$2:$AA127 &gt; 0
    )
  ),
"""")"),8.16089743940459)</f>
        <v>8.1608974394045894</v>
      </c>
      <c r="AE127" s="14"/>
    </row>
    <row r="128" spans="1:31" x14ac:dyDescent="0.25">
      <c r="A128" s="9">
        <v>46027</v>
      </c>
      <c r="B128" s="10"/>
      <c r="C128" s="10"/>
      <c r="D128" s="10"/>
      <c r="E128" s="11" t="e">
        <f t="shared" si="0"/>
        <v>#DIV/0!</v>
      </c>
      <c r="F128" s="13">
        <v>6</v>
      </c>
      <c r="G128" s="14" t="e">
        <f t="shared" si="1"/>
        <v>#DIV/0!</v>
      </c>
      <c r="H128" s="13" t="str">
        <f ca="1">IFERROR(__xludf.DUMMYFUNCTION("IFERROR(
  AVERAGE(
    FILTER(
      $E$2:$E128,
      $A$2:$A128&gt;=A128-30,
      $A$2:$A128&lt;=A128,
      $E$2:$E128&gt;0
    )
  ),
  """"
)"),"")</f>
        <v/>
      </c>
      <c r="I128" s="14"/>
      <c r="J128" s="10"/>
      <c r="K128" s="10">
        <v>2316</v>
      </c>
      <c r="L128" s="10">
        <v>161</v>
      </c>
      <c r="M128" s="11">
        <f t="shared" si="2"/>
        <v>6.9516407599309158</v>
      </c>
      <c r="N128" s="13">
        <v>8</v>
      </c>
      <c r="O128" s="14">
        <f t="shared" si="3"/>
        <v>1.0483592400690842</v>
      </c>
      <c r="P128" s="13"/>
      <c r="Q128" s="10"/>
      <c r="R128" s="10">
        <v>12646</v>
      </c>
      <c r="S128" s="10">
        <v>1344</v>
      </c>
      <c r="T128" s="11">
        <f t="shared" si="4"/>
        <v>10.62786651905741</v>
      </c>
      <c r="U128" s="13">
        <v>8</v>
      </c>
      <c r="V128" s="14">
        <f t="shared" si="5"/>
        <v>-2.6278665190574095</v>
      </c>
      <c r="W128" s="10"/>
      <c r="X128" s="10"/>
      <c r="Y128" s="10">
        <f t="shared" si="6"/>
        <v>14962</v>
      </c>
      <c r="Z128" s="10">
        <f t="shared" si="7"/>
        <v>1505</v>
      </c>
      <c r="AA128" s="11">
        <f t="shared" si="8"/>
        <v>10.058815666354766</v>
      </c>
      <c r="AB128" s="13">
        <v>8</v>
      </c>
      <c r="AC128" s="14">
        <f t="shared" si="9"/>
        <v>-2.0588156663547661</v>
      </c>
      <c r="AD128" s="13">
        <f ca="1">IFERROR(__xludf.DUMMYFUNCTION("IFERROR(
  AVERAGE(
    FILTER(
      $AA$2:$AA128,
      $A$2:$A128 &gt;= A128 - 30,
      $A$2:$A128 &lt;= A128,
      $AA$2:$AA128 &gt; 0
    )
  ),
"""")"),8.11300909386952)</f>
        <v>8.1130090938695201</v>
      </c>
      <c r="AE128" s="14"/>
    </row>
    <row r="129" spans="1:31" x14ac:dyDescent="0.25">
      <c r="A129" s="9">
        <v>46028</v>
      </c>
      <c r="B129" s="10"/>
      <c r="C129" s="10"/>
      <c r="D129" s="10"/>
      <c r="E129" s="11" t="e">
        <f t="shared" si="0"/>
        <v>#DIV/0!</v>
      </c>
      <c r="F129" s="13">
        <v>6</v>
      </c>
      <c r="G129" s="14" t="e">
        <f t="shared" si="1"/>
        <v>#DIV/0!</v>
      </c>
      <c r="H129" s="13" t="str">
        <f ca="1">IFERROR(__xludf.DUMMYFUNCTION("IFERROR(
  AVERAGE(
    FILTER(
      $E$2:$E129,
      $A$2:$A129&gt;=A129-30,
      $A$2:$A129&lt;=A129,
      $E$2:$E129&gt;0
    )
  ),
  """"
)"),"")</f>
        <v/>
      </c>
      <c r="I129" s="14"/>
      <c r="J129" s="10"/>
      <c r="K129" s="10">
        <v>4805</v>
      </c>
      <c r="L129" s="10">
        <v>338</v>
      </c>
      <c r="M129" s="11">
        <f t="shared" si="2"/>
        <v>7.0343392299687819</v>
      </c>
      <c r="N129" s="13">
        <v>8</v>
      </c>
      <c r="O129" s="14">
        <f t="shared" si="3"/>
        <v>0.96566077003121809</v>
      </c>
      <c r="P129" s="13"/>
      <c r="Q129" s="10"/>
      <c r="R129" s="10">
        <v>9624</v>
      </c>
      <c r="S129" s="10">
        <v>1186</v>
      </c>
      <c r="T129" s="11">
        <f t="shared" si="4"/>
        <v>12.323358270989193</v>
      </c>
      <c r="U129" s="13">
        <v>8</v>
      </c>
      <c r="V129" s="14">
        <f t="shared" si="5"/>
        <v>-4.3233582709891927</v>
      </c>
      <c r="W129" s="10"/>
      <c r="X129" s="10"/>
      <c r="Y129" s="10">
        <f t="shared" si="6"/>
        <v>14429</v>
      </c>
      <c r="Z129" s="10">
        <f t="shared" si="7"/>
        <v>1524</v>
      </c>
      <c r="AA129" s="11">
        <f t="shared" si="8"/>
        <v>10.562062512994663</v>
      </c>
      <c r="AB129" s="13">
        <v>8</v>
      </c>
      <c r="AC129" s="14">
        <f t="shared" si="9"/>
        <v>-2.5620625129946628</v>
      </c>
      <c r="AD129" s="13">
        <f ca="1">IFERROR(__xludf.DUMMYFUNCTION("IFERROR(
  AVERAGE(
    FILTER(
      $AA$2:$AA129,
      $A$2:$A129 &gt;= A129 - 30,
      $A$2:$A129 &lt;= A129,
      $AA$2:$AA129 &gt; 0
    )
  ),
"""")"),8.17689247624511)</f>
        <v>8.1768924762451096</v>
      </c>
      <c r="AE129" s="14"/>
    </row>
    <row r="130" spans="1:31" x14ac:dyDescent="0.25">
      <c r="A130" s="9">
        <v>46029</v>
      </c>
      <c r="B130" s="10"/>
      <c r="C130" s="10"/>
      <c r="D130" s="10"/>
      <c r="E130" s="11" t="e">
        <f t="shared" si="0"/>
        <v>#DIV/0!</v>
      </c>
      <c r="F130" s="13">
        <v>6</v>
      </c>
      <c r="G130" s="14" t="e">
        <f t="shared" si="1"/>
        <v>#DIV/0!</v>
      </c>
      <c r="H130" s="13" t="str">
        <f ca="1">IFERROR(__xludf.DUMMYFUNCTION("IFERROR(
  AVERAGE(
    FILTER(
      $E$2:$E130,
      $A$2:$A130&gt;=A130-30,
      $A$2:$A130&lt;=A130,
      $E$2:$E130&gt;0
    )
  ),
  """"
)"),"")</f>
        <v/>
      </c>
      <c r="I130" s="14"/>
      <c r="J130" s="10"/>
      <c r="K130" s="10">
        <v>3804</v>
      </c>
      <c r="L130" s="10">
        <v>264</v>
      </c>
      <c r="M130" s="11">
        <f t="shared" si="2"/>
        <v>6.9400630914826493</v>
      </c>
      <c r="N130" s="13">
        <v>8</v>
      </c>
      <c r="O130" s="14">
        <f t="shared" si="3"/>
        <v>1.0599369085173507</v>
      </c>
      <c r="P130" s="13"/>
      <c r="Q130" s="10"/>
      <c r="R130" s="10">
        <v>8949</v>
      </c>
      <c r="S130" s="10">
        <v>513</v>
      </c>
      <c r="T130" s="11">
        <f t="shared" si="4"/>
        <v>5.7324840764331215</v>
      </c>
      <c r="U130" s="13">
        <v>8</v>
      </c>
      <c r="V130" s="14">
        <f t="shared" si="5"/>
        <v>2.2675159235668785</v>
      </c>
      <c r="W130" s="10"/>
      <c r="X130" s="10"/>
      <c r="Y130" s="10">
        <f t="shared" si="6"/>
        <v>12753</v>
      </c>
      <c r="Z130" s="10">
        <f t="shared" si="7"/>
        <v>777</v>
      </c>
      <c r="AA130" s="11">
        <f t="shared" si="8"/>
        <v>6.0926840743354509</v>
      </c>
      <c r="AB130" s="13">
        <v>8</v>
      </c>
      <c r="AC130" s="14">
        <f t="shared" si="9"/>
        <v>1.9073159256645491</v>
      </c>
      <c r="AD130" s="13">
        <f ca="1">IFERROR(__xludf.DUMMYFUNCTION("IFERROR(
  AVERAGE(
    FILTER(
      $AA$2:$AA130,
      $A$2:$A130 &gt;= A130 - 30,
      $A$2:$A130 &lt;= A130,
      $AA$2:$AA130 &gt; 0
    )
  ),
"""")"),8.10965994715125)</f>
        <v>8.1096599471512505</v>
      </c>
      <c r="AE130" s="14"/>
    </row>
    <row r="131" spans="1:31" x14ac:dyDescent="0.25">
      <c r="A131" s="9">
        <v>46030</v>
      </c>
      <c r="B131" s="10"/>
      <c r="C131" s="10"/>
      <c r="D131" s="10"/>
      <c r="E131" s="11" t="e">
        <f t="shared" si="0"/>
        <v>#DIV/0!</v>
      </c>
      <c r="F131" s="13">
        <v>6</v>
      </c>
      <c r="G131" s="14" t="e">
        <f t="shared" si="1"/>
        <v>#DIV/0!</v>
      </c>
      <c r="H131" s="13" t="str">
        <f ca="1">IFERROR(__xludf.DUMMYFUNCTION("IFERROR(
  AVERAGE(
    FILTER(
      $E$2:$E131,
      $A$2:$A131&gt;=A131-30,
      $A$2:$A131&lt;=A131,
      $E$2:$E131&gt;0
    )
  ),
  """"
)"),"")</f>
        <v/>
      </c>
      <c r="I131" s="14"/>
      <c r="J131" s="10"/>
      <c r="K131" s="10">
        <v>6557</v>
      </c>
      <c r="L131" s="10">
        <v>263</v>
      </c>
      <c r="M131" s="11">
        <f t="shared" si="2"/>
        <v>4.0109806313863041</v>
      </c>
      <c r="N131" s="13">
        <v>8</v>
      </c>
      <c r="O131" s="14">
        <f t="shared" si="3"/>
        <v>3.9890193686136959</v>
      </c>
      <c r="P131" s="13"/>
      <c r="Q131" s="10"/>
      <c r="R131" s="10">
        <v>11636</v>
      </c>
      <c r="S131" s="10">
        <v>734</v>
      </c>
      <c r="T131" s="11">
        <f t="shared" si="4"/>
        <v>6.3080096253007909</v>
      </c>
      <c r="U131" s="13">
        <v>8</v>
      </c>
      <c r="V131" s="14">
        <f t="shared" si="5"/>
        <v>1.6919903746992091</v>
      </c>
      <c r="W131" s="10"/>
      <c r="X131" s="10"/>
      <c r="Y131" s="10">
        <f t="shared" si="6"/>
        <v>18193</v>
      </c>
      <c r="Z131" s="10">
        <f t="shared" si="7"/>
        <v>997</v>
      </c>
      <c r="AA131" s="11">
        <f t="shared" si="8"/>
        <v>5.4801297202220631</v>
      </c>
      <c r="AB131" s="13">
        <v>8</v>
      </c>
      <c r="AC131" s="14">
        <f t="shared" si="9"/>
        <v>2.5198702797779369</v>
      </c>
      <c r="AD131" s="13">
        <f ca="1">IFERROR(__xludf.DUMMYFUNCTION("IFERROR(
  AVERAGE(
    FILTER(
      $AA$2:$AA131,
      $A$2:$A131 &gt;= A131 - 30,
      $A$2:$A131 &lt;= A131,
      $AA$2:$AA131 &gt; 0
    )
  ),
"""")"),7.98641098788011)</f>
        <v>7.9864109878801104</v>
      </c>
      <c r="AE131" s="14"/>
    </row>
    <row r="132" spans="1:31" x14ac:dyDescent="0.25">
      <c r="A132" s="9">
        <v>46031</v>
      </c>
      <c r="B132" s="10"/>
      <c r="C132" s="10"/>
      <c r="D132" s="10"/>
      <c r="E132" s="11" t="e">
        <f t="shared" si="0"/>
        <v>#DIV/0!</v>
      </c>
      <c r="F132" s="13">
        <v>6</v>
      </c>
      <c r="G132" s="14" t="e">
        <f t="shared" si="1"/>
        <v>#DIV/0!</v>
      </c>
      <c r="H132" s="13" t="str">
        <f ca="1">IFERROR(__xludf.DUMMYFUNCTION("IFERROR(
  AVERAGE(
    FILTER(
      $E$2:$E132,
      $A$2:$A132&gt;=A132-30,
      $A$2:$A132&lt;=A132,
      $E$2:$E132&gt;0
    )
  ),
  """"
)"),"")</f>
        <v/>
      </c>
      <c r="I132" s="14"/>
      <c r="J132" s="10"/>
      <c r="K132" s="10">
        <v>4400</v>
      </c>
      <c r="L132" s="10">
        <v>447</v>
      </c>
      <c r="M132" s="11">
        <f t="shared" si="2"/>
        <v>10.15909090909091</v>
      </c>
      <c r="N132" s="13">
        <v>8</v>
      </c>
      <c r="O132" s="14">
        <f t="shared" si="3"/>
        <v>-2.1590909090909101</v>
      </c>
      <c r="P132" s="13"/>
      <c r="Q132" s="10"/>
      <c r="R132" s="10">
        <v>11279</v>
      </c>
      <c r="S132" s="10">
        <v>760</v>
      </c>
      <c r="T132" s="11">
        <f t="shared" si="4"/>
        <v>6.7381860093979968</v>
      </c>
      <c r="U132" s="13">
        <v>8</v>
      </c>
      <c r="V132" s="14">
        <f t="shared" si="5"/>
        <v>1.2618139906020032</v>
      </c>
      <c r="W132" s="10"/>
      <c r="X132" s="10"/>
      <c r="Y132" s="10">
        <f t="shared" si="6"/>
        <v>15679</v>
      </c>
      <c r="Z132" s="10">
        <f t="shared" si="7"/>
        <v>1207</v>
      </c>
      <c r="AA132" s="11">
        <f t="shared" si="8"/>
        <v>7.6981950379488486</v>
      </c>
      <c r="AB132" s="13">
        <v>8</v>
      </c>
      <c r="AC132" s="14">
        <f t="shared" si="9"/>
        <v>0.30180496205115137</v>
      </c>
      <c r="AD132" s="13">
        <f ca="1">IFERROR(__xludf.DUMMYFUNCTION("IFERROR(
  AVERAGE(
    FILTER(
      $AA$2:$AA132,
      $A$2:$A132 &gt;= A132 - 30,
      $A$2:$A132 &lt;= A132,
      $AA$2:$AA132 &gt; 0
    )
  ),
"""")"),7.96269108220342)</f>
        <v>7.9626910822034196</v>
      </c>
      <c r="AE132" s="14"/>
    </row>
    <row r="133" spans="1:31" x14ac:dyDescent="0.25">
      <c r="A133" s="9">
        <v>46032</v>
      </c>
      <c r="B133" s="10"/>
      <c r="C133" s="10"/>
      <c r="D133" s="10"/>
      <c r="E133" s="11" t="e">
        <f t="shared" si="0"/>
        <v>#DIV/0!</v>
      </c>
      <c r="F133" s="13">
        <v>6</v>
      </c>
      <c r="G133" s="14" t="e">
        <f t="shared" si="1"/>
        <v>#DIV/0!</v>
      </c>
      <c r="H133" s="13" t="str">
        <f ca="1">IFERROR(__xludf.DUMMYFUNCTION("IFERROR(
  AVERAGE(
    FILTER(
      $E$2:$E133,
      $A$2:$A133&gt;=A133-30,
      $A$2:$A133&lt;=A133,
      $E$2:$E133&gt;0
    )
  ),
  """"
)"),"")</f>
        <v/>
      </c>
      <c r="I133" s="14"/>
      <c r="J133" s="10"/>
      <c r="K133" s="10">
        <v>6073</v>
      </c>
      <c r="L133" s="10">
        <v>777</v>
      </c>
      <c r="M133" s="11">
        <f t="shared" si="2"/>
        <v>12.79433558373127</v>
      </c>
      <c r="N133" s="13">
        <v>8</v>
      </c>
      <c r="O133" s="14">
        <f t="shared" si="3"/>
        <v>-4.7943355837312698</v>
      </c>
      <c r="P133" s="13"/>
      <c r="Q133" s="10"/>
      <c r="R133" s="10">
        <v>10798</v>
      </c>
      <c r="S133" s="10">
        <v>881</v>
      </c>
      <c r="T133" s="11">
        <f t="shared" si="4"/>
        <v>8.1589183182070748</v>
      </c>
      <c r="U133" s="13">
        <v>8</v>
      </c>
      <c r="V133" s="14">
        <f t="shared" si="5"/>
        <v>-0.1589183182070748</v>
      </c>
      <c r="W133" s="10"/>
      <c r="X133" s="10"/>
      <c r="Y133" s="10">
        <f t="shared" si="6"/>
        <v>16871</v>
      </c>
      <c r="Z133" s="10">
        <f t="shared" si="7"/>
        <v>1658</v>
      </c>
      <c r="AA133" s="11">
        <f t="shared" si="8"/>
        <v>9.8275146701440352</v>
      </c>
      <c r="AB133" s="13">
        <v>8</v>
      </c>
      <c r="AC133" s="14">
        <f t="shared" si="9"/>
        <v>-1.8275146701440352</v>
      </c>
      <c r="AD133" s="13">
        <f ca="1">IFERROR(__xludf.DUMMYFUNCTION("IFERROR(
  AVERAGE(
    FILTER(
      $AA$2:$AA133,
      $A$2:$A133 &gt;= A133 - 30,
      $A$2:$A133 &lt;= A133,
      $AA$2:$AA133 &gt; 0
    )
  ),
"""")"),7.97398687207774)</f>
        <v>7.9739868720777398</v>
      </c>
      <c r="AE133" s="14"/>
    </row>
    <row r="134" spans="1:31" x14ac:dyDescent="0.25">
      <c r="A134" s="9">
        <v>46033</v>
      </c>
      <c r="B134" s="10"/>
      <c r="C134" s="10"/>
      <c r="D134" s="10"/>
      <c r="E134" s="11" t="e">
        <f t="shared" si="0"/>
        <v>#DIV/0!</v>
      </c>
      <c r="F134" s="13">
        <v>6</v>
      </c>
      <c r="G134" s="14" t="e">
        <f t="shared" si="1"/>
        <v>#DIV/0!</v>
      </c>
      <c r="H134" s="13" t="str">
        <f ca="1">IFERROR(__xludf.DUMMYFUNCTION("IFERROR(
  AVERAGE(
    FILTER(
      $E$2:$E134,
      $A$2:$A134&gt;=A134-30,
      $A$2:$A134&lt;=A134,
      $E$2:$E134&gt;0
    )
  ),
  """"
)"),"")</f>
        <v/>
      </c>
      <c r="I134" s="14"/>
      <c r="J134" s="10"/>
      <c r="K134" s="10">
        <v>0</v>
      </c>
      <c r="L134" s="10">
        <v>0</v>
      </c>
      <c r="M134" s="11" t="e">
        <f t="shared" si="2"/>
        <v>#DIV/0!</v>
      </c>
      <c r="N134" s="13">
        <v>8</v>
      </c>
      <c r="O134" s="14" t="e">
        <f t="shared" si="3"/>
        <v>#DIV/0!</v>
      </c>
      <c r="P134" s="13"/>
      <c r="Q134" s="10"/>
      <c r="R134" s="10">
        <v>2550</v>
      </c>
      <c r="S134" s="10">
        <v>144</v>
      </c>
      <c r="T134" s="11">
        <f t="shared" si="4"/>
        <v>5.6470588235294121</v>
      </c>
      <c r="U134" s="13">
        <v>8</v>
      </c>
      <c r="V134" s="14">
        <f t="shared" si="5"/>
        <v>2.3529411764705879</v>
      </c>
      <c r="W134" s="10"/>
      <c r="X134" s="10"/>
      <c r="Y134" s="10">
        <f t="shared" si="6"/>
        <v>2550</v>
      </c>
      <c r="Z134" s="10">
        <f t="shared" si="7"/>
        <v>144</v>
      </c>
      <c r="AA134" s="11">
        <f t="shared" si="8"/>
        <v>5.6470588235294121</v>
      </c>
      <c r="AB134" s="13">
        <v>8</v>
      </c>
      <c r="AC134" s="14">
        <f t="shared" si="9"/>
        <v>2.3529411764705879</v>
      </c>
      <c r="AD134" s="13">
        <f ca="1">IFERROR(__xludf.DUMMYFUNCTION("IFERROR(
  AVERAGE(
    FILTER(
      $AA$2:$AA134,
      $A$2:$A134 &gt;= A134 - 30,
      $A$2:$A134 &lt;= A134,
      $AA$2:$AA134 &gt; 0
    )
  ),
"""")"),7.9209484309206)</f>
        <v>7.9209484309205997</v>
      </c>
      <c r="AE134" s="14"/>
    </row>
    <row r="135" spans="1:31" x14ac:dyDescent="0.25">
      <c r="A135" s="9">
        <v>46034</v>
      </c>
      <c r="B135" s="10"/>
      <c r="C135" s="10">
        <v>1800</v>
      </c>
      <c r="D135" s="10">
        <v>87</v>
      </c>
      <c r="E135" s="11">
        <f t="shared" si="0"/>
        <v>4.833333333333333</v>
      </c>
      <c r="F135" s="13">
        <v>6</v>
      </c>
      <c r="G135" s="14">
        <f t="shared" si="1"/>
        <v>1.166666666666667</v>
      </c>
      <c r="H135" s="13">
        <f ca="1">IFERROR(__xludf.DUMMYFUNCTION("IFERROR(
  AVERAGE(
    FILTER(
      $E$2:$E135,
      $A$2:$A135&gt;=A135-30,
      $A$2:$A135&lt;=A135,
      $E$2:$E135&gt;0
    )
  ),
  """"
)"),4.83333333333333)</f>
        <v>4.8333333333333304</v>
      </c>
      <c r="I135" s="14"/>
      <c r="J135" s="10"/>
      <c r="K135" s="10">
        <v>6054</v>
      </c>
      <c r="L135" s="10">
        <v>740</v>
      </c>
      <c r="M135" s="11">
        <f t="shared" si="2"/>
        <v>12.223323422530559</v>
      </c>
      <c r="N135" s="13">
        <v>8</v>
      </c>
      <c r="O135" s="14">
        <f t="shared" si="3"/>
        <v>-4.2233234225305587</v>
      </c>
      <c r="P135" s="13"/>
      <c r="Q135" s="10"/>
      <c r="R135" s="10">
        <v>9859</v>
      </c>
      <c r="S135" s="10">
        <v>752</v>
      </c>
      <c r="T135" s="11">
        <f t="shared" si="4"/>
        <v>7.6275484329039456</v>
      </c>
      <c r="U135" s="13">
        <v>8</v>
      </c>
      <c r="V135" s="14">
        <f t="shared" si="5"/>
        <v>0.37245156709605443</v>
      </c>
      <c r="W135" s="10"/>
      <c r="X135" s="10"/>
      <c r="Y135" s="10">
        <f t="shared" si="6"/>
        <v>15913</v>
      </c>
      <c r="Z135" s="10">
        <f t="shared" si="7"/>
        <v>1579</v>
      </c>
      <c r="AA135" s="11">
        <f t="shared" si="8"/>
        <v>9.9227047068434615</v>
      </c>
      <c r="AB135" s="13">
        <v>8</v>
      </c>
      <c r="AC135" s="14">
        <f t="shared" si="9"/>
        <v>-1.9227047068434615</v>
      </c>
      <c r="AD135" s="13">
        <f ca="1">IFERROR(__xludf.DUMMYFUNCTION("IFERROR(
  AVERAGE(
    FILTER(
      $AA$2:$AA135,
      $A$2:$A135 &gt;= A135 - 30,
      $A$2:$A135 &lt;= A135,
      $AA$2:$AA135 &gt; 0
    )
  ),
"""")"),7.95095214322279)</f>
        <v>7.9509521432227901</v>
      </c>
      <c r="AE135" s="14"/>
    </row>
    <row r="136" spans="1:31" x14ac:dyDescent="0.25">
      <c r="A136" s="9">
        <v>46035</v>
      </c>
      <c r="B136" s="10"/>
      <c r="C136" s="10">
        <v>1730</v>
      </c>
      <c r="D136" s="10">
        <v>45</v>
      </c>
      <c r="E136" s="11">
        <f t="shared" si="0"/>
        <v>2.601156069364162</v>
      </c>
      <c r="F136" s="13">
        <v>6</v>
      </c>
      <c r="G136" s="14">
        <f t="shared" si="1"/>
        <v>3.398843930635838</v>
      </c>
      <c r="H136" s="13">
        <f ca="1">IFERROR(__xludf.DUMMYFUNCTION("IFERROR(
  AVERAGE(
    FILTER(
      $E$2:$E136,
      $A$2:$A136&gt;=A136-30,
      $A$2:$A136&lt;=A136,
      $E$2:$E136&gt;0
    )
  ),
  """"
)"),3.71724470134874)</f>
        <v>3.71724470134874</v>
      </c>
      <c r="I136" s="14"/>
      <c r="J136" s="10"/>
      <c r="K136" s="10">
        <v>5240</v>
      </c>
      <c r="L136" s="10">
        <v>373</v>
      </c>
      <c r="M136" s="11">
        <f t="shared" si="2"/>
        <v>7.1183206106870234</v>
      </c>
      <c r="N136" s="13">
        <v>8</v>
      </c>
      <c r="O136" s="14">
        <f t="shared" si="3"/>
        <v>0.88167938931297662</v>
      </c>
      <c r="P136" s="13"/>
      <c r="Q136" s="10"/>
      <c r="R136" s="10">
        <v>8140</v>
      </c>
      <c r="S136" s="10">
        <v>688</v>
      </c>
      <c r="T136" s="11">
        <f t="shared" si="4"/>
        <v>8.4520884520884518</v>
      </c>
      <c r="U136" s="13">
        <v>8</v>
      </c>
      <c r="V136" s="14">
        <f t="shared" si="5"/>
        <v>-0.45208845208845183</v>
      </c>
      <c r="W136" s="10"/>
      <c r="X136" s="10"/>
      <c r="Y136" s="10">
        <f t="shared" si="6"/>
        <v>13380</v>
      </c>
      <c r="Z136" s="10">
        <f t="shared" si="7"/>
        <v>1106</v>
      </c>
      <c r="AA136" s="11">
        <f t="shared" si="8"/>
        <v>8.2660687593423017</v>
      </c>
      <c r="AB136" s="13">
        <v>8</v>
      </c>
      <c r="AC136" s="14">
        <f t="shared" si="9"/>
        <v>-0.26606875934230168</v>
      </c>
      <c r="AD136" s="13">
        <f ca="1">IFERROR(__xludf.DUMMYFUNCTION("IFERROR(
  AVERAGE(
    FILTER(
      $AA$2:$AA136,
      $A$2:$A136 &gt;= A136 - 30,
      $A$2:$A136 &lt;= A136,
      $AA$2:$AA136 &gt; 0
    )
  ),
"""")"),7.97858155564448)</f>
        <v>7.9785815556444799</v>
      </c>
      <c r="AE136" s="14"/>
    </row>
    <row r="137" spans="1:31" x14ac:dyDescent="0.25">
      <c r="A137" s="9">
        <v>46036</v>
      </c>
      <c r="B137" s="10"/>
      <c r="C137" s="10">
        <v>2055</v>
      </c>
      <c r="D137" s="10">
        <v>95</v>
      </c>
      <c r="E137" s="11">
        <f t="shared" si="0"/>
        <v>4.6228710462287106</v>
      </c>
      <c r="F137" s="13">
        <v>6</v>
      </c>
      <c r="G137" s="14">
        <f t="shared" si="1"/>
        <v>1.3771289537712894</v>
      </c>
      <c r="H137" s="13">
        <f ca="1">IFERROR(__xludf.DUMMYFUNCTION("IFERROR(
  AVERAGE(
    FILTER(
      $E$2:$E137,
      $A$2:$A137&gt;=A137-30,
      $A$2:$A137&lt;=A137,
      $E$2:$E137&gt;0
    )
  ),
  """"
)"),4.01912014964206)</f>
        <v>4.0191201496420597</v>
      </c>
      <c r="I137" s="14"/>
      <c r="J137" s="10"/>
      <c r="K137" s="10">
        <v>4480</v>
      </c>
      <c r="L137" s="10">
        <v>397</v>
      </c>
      <c r="M137" s="11">
        <f t="shared" si="2"/>
        <v>8.8616071428571441</v>
      </c>
      <c r="N137" s="13">
        <v>8</v>
      </c>
      <c r="O137" s="14">
        <f t="shared" si="3"/>
        <v>-0.86160714285714413</v>
      </c>
      <c r="P137" s="13"/>
      <c r="Q137" s="10"/>
      <c r="R137" s="10">
        <v>11633</v>
      </c>
      <c r="S137" s="10">
        <v>425</v>
      </c>
      <c r="T137" s="11">
        <f t="shared" si="4"/>
        <v>3.6533998108828332</v>
      </c>
      <c r="U137" s="13">
        <v>8</v>
      </c>
      <c r="V137" s="14">
        <f t="shared" si="5"/>
        <v>4.3466001891171668</v>
      </c>
      <c r="W137" s="10"/>
      <c r="X137" s="10"/>
      <c r="Y137" s="10">
        <f t="shared" si="6"/>
        <v>16113</v>
      </c>
      <c r="Z137" s="10">
        <f t="shared" si="7"/>
        <v>917</v>
      </c>
      <c r="AA137" s="11">
        <f t="shared" si="8"/>
        <v>5.6910569105691051</v>
      </c>
      <c r="AB137" s="13">
        <v>8</v>
      </c>
      <c r="AC137" s="14">
        <f t="shared" si="9"/>
        <v>2.3089430894308949</v>
      </c>
      <c r="AD137" s="13">
        <f ca="1">IFERROR(__xludf.DUMMYFUNCTION("IFERROR(
  AVERAGE(
    FILTER(
      $AA$2:$AA137,
      $A$2:$A137 &gt;= A137 - 30,
      $A$2:$A137 &lt;= A137,
      $AA$2:$AA137 &gt; 0
    )
  ),
"""")"),7.92421765388216)</f>
        <v>7.9242176538821596</v>
      </c>
      <c r="AE137" s="14"/>
    </row>
    <row r="138" spans="1:31" x14ac:dyDescent="0.25">
      <c r="A138" s="9">
        <v>46037</v>
      </c>
      <c r="B138" s="10"/>
      <c r="C138" s="10">
        <v>2289</v>
      </c>
      <c r="D138" s="10">
        <v>99</v>
      </c>
      <c r="E138" s="11">
        <f t="shared" si="0"/>
        <v>4.3250327653997385</v>
      </c>
      <c r="F138" s="13">
        <v>6</v>
      </c>
      <c r="G138" s="14">
        <f t="shared" si="1"/>
        <v>1.6749672346002615</v>
      </c>
      <c r="H138" s="13">
        <f ca="1">IFERROR(__xludf.DUMMYFUNCTION("IFERROR(
  AVERAGE(
    FILTER(
      $E$2:$E138,
      $A$2:$A138&gt;=A138-30,
      $A$2:$A138&lt;=A138,
      $E$2:$E138&gt;0
    )
  ),
  """"
)"),4.09559830358148)</f>
        <v>4.0955983035814798</v>
      </c>
      <c r="I138" s="14"/>
      <c r="J138" s="10"/>
      <c r="K138" s="10">
        <v>10593</v>
      </c>
      <c r="L138" s="10">
        <v>857</v>
      </c>
      <c r="M138" s="11">
        <f t="shared" si="2"/>
        <v>8.0902482771641644</v>
      </c>
      <c r="N138" s="13">
        <v>8</v>
      </c>
      <c r="O138" s="14">
        <f t="shared" si="3"/>
        <v>-9.0248277164164392E-2</v>
      </c>
      <c r="P138" s="13"/>
      <c r="Q138" s="10"/>
      <c r="R138" s="10">
        <v>8871</v>
      </c>
      <c r="S138" s="10">
        <v>619</v>
      </c>
      <c r="T138" s="11">
        <f t="shared" si="4"/>
        <v>6.9777928080261526</v>
      </c>
      <c r="U138" s="13">
        <v>8</v>
      </c>
      <c r="V138" s="14">
        <f t="shared" si="5"/>
        <v>1.0222071919738474</v>
      </c>
      <c r="W138" s="10"/>
      <c r="X138" s="10"/>
      <c r="Y138" s="10">
        <f t="shared" si="6"/>
        <v>19464</v>
      </c>
      <c r="Z138" s="10">
        <f t="shared" si="7"/>
        <v>1575</v>
      </c>
      <c r="AA138" s="11">
        <f t="shared" si="8"/>
        <v>8.091861898890258</v>
      </c>
      <c r="AB138" s="13">
        <v>8</v>
      </c>
      <c r="AC138" s="14">
        <f t="shared" si="9"/>
        <v>-9.1861898890257976E-2</v>
      </c>
      <c r="AD138" s="13">
        <f ca="1">IFERROR(__xludf.DUMMYFUNCTION("IFERROR(
  AVERAGE(
    FILTER(
      $AA$2:$AA138,
      $A$2:$A138 &gt;= A138 - 30,
      $A$2:$A138 &lt;= A138,
      $AA$2:$AA138 &gt; 0
    )
  ),
"""")"),7.92446764579692)</f>
        <v>7.9244676457969199</v>
      </c>
      <c r="AE138" s="14"/>
    </row>
    <row r="139" spans="1:31" x14ac:dyDescent="0.25">
      <c r="A139" s="9">
        <v>46038</v>
      </c>
      <c r="B139" s="10"/>
      <c r="C139" s="10">
        <v>1489</v>
      </c>
      <c r="D139" s="10">
        <v>77</v>
      </c>
      <c r="E139" s="11">
        <f t="shared" si="0"/>
        <v>5.1712558764271321</v>
      </c>
      <c r="F139" s="13">
        <v>6</v>
      </c>
      <c r="G139" s="14">
        <f t="shared" si="1"/>
        <v>0.82874412357286786</v>
      </c>
      <c r="H139" s="13">
        <f ca="1">IFERROR(__xludf.DUMMYFUNCTION("IFERROR(
  AVERAGE(
    FILTER(
      $E$2:$E139,
      $A$2:$A139&gt;=A139-30,
      $A$2:$A139&lt;=A139,
      $E$2:$E139&gt;0
    )
  ),
  """"
)"),4.31072981815061)</f>
        <v>4.3107298181506097</v>
      </c>
      <c r="I139" s="14"/>
      <c r="J139" s="10"/>
      <c r="K139" s="10">
        <v>9240</v>
      </c>
      <c r="L139" s="10">
        <v>710</v>
      </c>
      <c r="M139" s="11">
        <f t="shared" si="2"/>
        <v>7.6839826839826832</v>
      </c>
      <c r="N139" s="13">
        <v>8</v>
      </c>
      <c r="O139" s="14">
        <f t="shared" si="3"/>
        <v>0.31601731601731675</v>
      </c>
      <c r="P139" s="13"/>
      <c r="Q139" s="10"/>
      <c r="R139" s="10">
        <v>12140</v>
      </c>
      <c r="S139" s="10">
        <v>872</v>
      </c>
      <c r="T139" s="11">
        <f t="shared" si="4"/>
        <v>7.1828665568369034</v>
      </c>
      <c r="U139" s="13">
        <v>8</v>
      </c>
      <c r="V139" s="14">
        <f t="shared" si="5"/>
        <v>0.81713344316309655</v>
      </c>
      <c r="W139" s="10"/>
      <c r="X139" s="10"/>
      <c r="Y139" s="10">
        <f t="shared" si="6"/>
        <v>21380</v>
      </c>
      <c r="Z139" s="10">
        <f t="shared" si="7"/>
        <v>1659</v>
      </c>
      <c r="AA139" s="11">
        <f t="shared" si="8"/>
        <v>7.7595884003741817</v>
      </c>
      <c r="AB139" s="13">
        <v>8</v>
      </c>
      <c r="AC139" s="14">
        <f t="shared" si="9"/>
        <v>0.24041159962581826</v>
      </c>
      <c r="AD139" s="13">
        <f ca="1">IFERROR(__xludf.DUMMYFUNCTION("IFERROR(
  AVERAGE(
    FILTER(
      $AA$2:$AA139,
      $A$2:$A139 &gt;= A139 - 30,
      $A$2:$A139 &lt;= A139,
      $AA$2:$AA139 &gt; 0
    )
  ),
"""")"),7.9680036035909)</f>
        <v>7.9680036035909003</v>
      </c>
      <c r="AE139" s="14"/>
    </row>
    <row r="140" spans="1:31" x14ac:dyDescent="0.25">
      <c r="A140" s="9">
        <v>46039</v>
      </c>
      <c r="B140" s="10"/>
      <c r="C140" s="10">
        <v>2685</v>
      </c>
      <c r="D140" s="10">
        <v>133</v>
      </c>
      <c r="E140" s="11">
        <f t="shared" si="0"/>
        <v>4.9534450651769095</v>
      </c>
      <c r="F140" s="13">
        <v>6</v>
      </c>
      <c r="G140" s="14">
        <f t="shared" si="1"/>
        <v>1.0465549348230905</v>
      </c>
      <c r="H140" s="13">
        <f ca="1">IFERROR(__xludf.DUMMYFUNCTION("IFERROR(
  AVERAGE(
    FILTER(
      $E$2:$E140,
      $A$2:$A140&gt;=A140-30,
      $A$2:$A140&lt;=A140,
      $E$2:$E140&gt;0
    )
  ),
  """"
)"),4.41784902598833)</f>
        <v>4.4178490259883301</v>
      </c>
      <c r="I140" s="14"/>
      <c r="J140" s="10"/>
      <c r="K140" s="10">
        <v>5052</v>
      </c>
      <c r="L140" s="10">
        <v>416</v>
      </c>
      <c r="M140" s="11">
        <f t="shared" si="2"/>
        <v>8.2343626286619163</v>
      </c>
      <c r="N140" s="13">
        <v>8</v>
      </c>
      <c r="O140" s="14">
        <f t="shared" si="3"/>
        <v>-0.23436262866191626</v>
      </c>
      <c r="P140" s="13"/>
      <c r="Q140" s="10"/>
      <c r="R140" s="10">
        <v>10150</v>
      </c>
      <c r="S140" s="10">
        <v>710</v>
      </c>
      <c r="T140" s="11">
        <f t="shared" si="4"/>
        <v>6.9950738916256157</v>
      </c>
      <c r="U140" s="13">
        <v>8</v>
      </c>
      <c r="V140" s="14">
        <f t="shared" si="5"/>
        <v>1.0049261083743843</v>
      </c>
      <c r="W140" s="10"/>
      <c r="X140" s="10"/>
      <c r="Y140" s="10">
        <f t="shared" si="6"/>
        <v>15202</v>
      </c>
      <c r="Z140" s="10">
        <f t="shared" si="7"/>
        <v>1259</v>
      </c>
      <c r="AA140" s="11">
        <f t="shared" si="8"/>
        <v>8.2818050256545188</v>
      </c>
      <c r="AB140" s="13">
        <v>8</v>
      </c>
      <c r="AC140" s="14">
        <f t="shared" si="9"/>
        <v>-0.28180502565451881</v>
      </c>
      <c r="AD140" s="13">
        <f ca="1">IFERROR(__xludf.DUMMYFUNCTION("IFERROR(
  AVERAGE(
    FILTER(
      $AA$2:$AA140,
      $A$2:$A140 &gt;= A140 - 30,
      $A$2:$A140 &lt;= A140,
      $AA$2:$AA140 &gt; 0
    )
  ),
"""")"),7.93090668382822)</f>
        <v>7.9309066838282201</v>
      </c>
      <c r="AE140" s="14"/>
    </row>
    <row r="141" spans="1:31" x14ac:dyDescent="0.25">
      <c r="A141" s="9">
        <v>46040</v>
      </c>
      <c r="B141" s="10"/>
      <c r="C141" s="10">
        <v>0</v>
      </c>
      <c r="D141" s="10">
        <v>0</v>
      </c>
      <c r="E141" s="11" t="e">
        <f t="shared" si="0"/>
        <v>#DIV/0!</v>
      </c>
      <c r="F141" s="13">
        <v>6</v>
      </c>
      <c r="G141" s="14" t="e">
        <f t="shared" si="1"/>
        <v>#DIV/0!</v>
      </c>
      <c r="H141" s="13">
        <f ca="1">IFERROR(__xludf.DUMMYFUNCTION("IFERROR(
  AVERAGE(
    FILTER(
      $E$2:$E141,
      $A$2:$A141&gt;=A141-30,
      $A$2:$A141&lt;=A141,
      $E$2:$E141&gt;0
    )
  ),
  """"
)"),4.41784902598833)</f>
        <v>4.4178490259883301</v>
      </c>
      <c r="I141" s="14"/>
      <c r="J141" s="10"/>
      <c r="K141" s="10">
        <v>0</v>
      </c>
      <c r="L141" s="10">
        <v>0</v>
      </c>
      <c r="M141" s="11" t="e">
        <f t="shared" si="2"/>
        <v>#DIV/0!</v>
      </c>
      <c r="N141" s="13">
        <v>8</v>
      </c>
      <c r="O141" s="14" t="e">
        <f t="shared" si="3"/>
        <v>#DIV/0!</v>
      </c>
      <c r="P141" s="13"/>
      <c r="Q141" s="10"/>
      <c r="R141" s="10">
        <v>1320</v>
      </c>
      <c r="S141" s="10">
        <v>80</v>
      </c>
      <c r="T141" s="11">
        <f t="shared" si="4"/>
        <v>6.0606060606060606</v>
      </c>
      <c r="U141" s="13">
        <v>8</v>
      </c>
      <c r="V141" s="14">
        <f t="shared" si="5"/>
        <v>1.9393939393939394</v>
      </c>
      <c r="W141" s="10"/>
      <c r="X141" s="10"/>
      <c r="Y141" s="10">
        <f t="shared" si="6"/>
        <v>1320</v>
      </c>
      <c r="Z141" s="10">
        <f t="shared" si="7"/>
        <v>80</v>
      </c>
      <c r="AA141" s="11">
        <f t="shared" si="8"/>
        <v>6.0606060606060606</v>
      </c>
      <c r="AB141" s="13">
        <v>8</v>
      </c>
      <c r="AC141" s="14">
        <f t="shared" si="9"/>
        <v>1.9393939393939394</v>
      </c>
      <c r="AD141" s="13">
        <f ca="1">IFERROR(__xludf.DUMMYFUNCTION("IFERROR(
  AVERAGE(
    FILTER(
      $AA$2:$AA141,
      $A$2:$A141 &gt;= A141 - 30,
      $A$2:$A141 &lt;= A141,
      $AA$2:$AA141 &gt; 0
    )
  ),
"""")"),7.90549967992302)</f>
        <v>7.9054996799230199</v>
      </c>
      <c r="AE141" s="14"/>
    </row>
    <row r="142" spans="1:31" x14ac:dyDescent="0.25">
      <c r="A142" s="9">
        <v>46041</v>
      </c>
      <c r="B142" s="10"/>
      <c r="C142" s="10">
        <v>2266</v>
      </c>
      <c r="D142" s="10">
        <v>61</v>
      </c>
      <c r="E142" s="11">
        <f t="shared" si="0"/>
        <v>2.6919682259488082</v>
      </c>
      <c r="F142" s="13">
        <v>6</v>
      </c>
      <c r="G142" s="14">
        <f t="shared" si="1"/>
        <v>3.3080317740511918</v>
      </c>
      <c r="H142" s="13">
        <f ca="1">IFERROR(__xludf.DUMMYFUNCTION("IFERROR(
  AVERAGE(
    FILTER(
      $E$2:$E142,
      $A$2:$A142&gt;=A142-30,
      $A$2:$A142&lt;=A142,
      $E$2:$E142&gt;0
    )
  ),
  """"
)"),4.17129462598268)</f>
        <v>4.1712946259826804</v>
      </c>
      <c r="I142" s="14"/>
      <c r="J142" s="10"/>
      <c r="K142" s="10">
        <v>6180</v>
      </c>
      <c r="L142" s="10">
        <v>479</v>
      </c>
      <c r="M142" s="11">
        <f t="shared" si="2"/>
        <v>7.7508090614886722</v>
      </c>
      <c r="N142" s="13">
        <v>8</v>
      </c>
      <c r="O142" s="14">
        <f t="shared" si="3"/>
        <v>0.24919093851132779</v>
      </c>
      <c r="P142" s="13"/>
      <c r="Q142" s="10"/>
      <c r="R142" s="10">
        <v>14622</v>
      </c>
      <c r="S142" s="10">
        <v>1001</v>
      </c>
      <c r="T142" s="11">
        <f t="shared" si="4"/>
        <v>6.8458487211051837</v>
      </c>
      <c r="U142" s="13">
        <v>8</v>
      </c>
      <c r="V142" s="14">
        <f t="shared" si="5"/>
        <v>1.1541512788948163</v>
      </c>
      <c r="W142" s="10"/>
      <c r="X142" s="10"/>
      <c r="Y142" s="10">
        <f t="shared" si="6"/>
        <v>20802</v>
      </c>
      <c r="Z142" s="10">
        <f t="shared" si="7"/>
        <v>1541</v>
      </c>
      <c r="AA142" s="11">
        <f t="shared" si="8"/>
        <v>7.4079415440823002</v>
      </c>
      <c r="AB142" s="13">
        <v>8</v>
      </c>
      <c r="AC142" s="14">
        <f t="shared" si="9"/>
        <v>0.59205845591769979</v>
      </c>
      <c r="AD142" s="13">
        <f ca="1">IFERROR(__xludf.DUMMYFUNCTION("IFERROR(
  AVERAGE(
    FILTER(
      $AA$2:$AA142,
      $A$2:$A142 &gt;= A142 - 30,
      $A$2:$A142 &lt;= A142,
      $AA$2:$AA142 &gt; 0
    )
  ),
"""")"),7.76220480473227)</f>
        <v>7.7622048047322698</v>
      </c>
      <c r="AE142" s="14"/>
    </row>
    <row r="143" spans="1:31" x14ac:dyDescent="0.25">
      <c r="A143" s="9">
        <v>46042</v>
      </c>
      <c r="B143" s="10"/>
      <c r="C143" s="10">
        <v>1876</v>
      </c>
      <c r="D143" s="10">
        <v>82</v>
      </c>
      <c r="E143" s="11">
        <f t="shared" si="0"/>
        <v>4.3710021321961623</v>
      </c>
      <c r="F143" s="13">
        <v>6</v>
      </c>
      <c r="G143" s="14">
        <f t="shared" si="1"/>
        <v>1.6289978678038377</v>
      </c>
      <c r="H143" s="13">
        <f ca="1">IFERROR(__xludf.DUMMYFUNCTION("IFERROR(
  AVERAGE(
    FILTER(
      $E$2:$E143,
      $A$2:$A143&gt;=A143-30,
      $A$2:$A143&lt;=A143,
      $E$2:$E143&gt;0
    )
  ),
  """"
)"),4.19625806425937)</f>
        <v>4.1962580642593696</v>
      </c>
      <c r="I143" s="14"/>
      <c r="J143" s="10"/>
      <c r="K143" s="10">
        <v>11300</v>
      </c>
      <c r="L143" s="10">
        <v>772</v>
      </c>
      <c r="M143" s="11">
        <f t="shared" si="2"/>
        <v>6.8318584070796451</v>
      </c>
      <c r="N143" s="13">
        <v>8</v>
      </c>
      <c r="O143" s="14">
        <f t="shared" si="3"/>
        <v>1.1681415929203549</v>
      </c>
      <c r="P143" s="13"/>
      <c r="Q143" s="10"/>
      <c r="R143" s="10">
        <v>9091</v>
      </c>
      <c r="S143" s="10">
        <v>824</v>
      </c>
      <c r="T143" s="11">
        <f t="shared" si="4"/>
        <v>9.0639093609063917</v>
      </c>
      <c r="U143" s="13">
        <v>8</v>
      </c>
      <c r="V143" s="14">
        <f t="shared" si="5"/>
        <v>-1.0639093609063917</v>
      </c>
      <c r="W143" s="10"/>
      <c r="X143" s="10"/>
      <c r="Y143" s="10">
        <f t="shared" si="6"/>
        <v>20391</v>
      </c>
      <c r="Z143" s="10">
        <f t="shared" si="7"/>
        <v>1678</v>
      </c>
      <c r="AA143" s="11">
        <f t="shared" si="8"/>
        <v>8.2291206905007108</v>
      </c>
      <c r="AB143" s="13">
        <v>8</v>
      </c>
      <c r="AC143" s="14">
        <f t="shared" si="9"/>
        <v>-0.22912069050071082</v>
      </c>
      <c r="AD143" s="13">
        <f ca="1">IFERROR(__xludf.DUMMYFUNCTION("IFERROR(
  AVERAGE(
    FILTER(
      $AA$2:$AA143,
      $A$2:$A143 &gt;= A143 - 30,
      $A$2:$A143 &lt;= A143,
      $AA$2:$AA143 &gt; 0
    )
  ),
"""")"),7.74731544988743)</f>
        <v>7.7473154498874299</v>
      </c>
      <c r="AE143" s="14"/>
    </row>
    <row r="144" spans="1:31" x14ac:dyDescent="0.25">
      <c r="A144" s="9">
        <v>46043</v>
      </c>
      <c r="B144" s="10"/>
      <c r="C144" s="10">
        <v>1600</v>
      </c>
      <c r="D144" s="10">
        <v>60</v>
      </c>
      <c r="E144" s="11">
        <f t="shared" si="0"/>
        <v>3.75</v>
      </c>
      <c r="F144" s="13">
        <v>6</v>
      </c>
      <c r="G144" s="14">
        <f t="shared" si="1"/>
        <v>2.25</v>
      </c>
      <c r="H144" s="13">
        <f ca="1">IFERROR(__xludf.DUMMYFUNCTION("IFERROR(
  AVERAGE(
    FILTER(
      $E$2:$E144,
      $A$2:$A144&gt;=A144-30,
      $A$2:$A144&lt;=A144,
      $E$2:$E144&gt;0
    )
  ),
  """"
)"),4.14667383489721)</f>
        <v>4.1466738348972099</v>
      </c>
      <c r="I144" s="14"/>
      <c r="J144" s="10"/>
      <c r="K144" s="10">
        <v>8456</v>
      </c>
      <c r="L144" s="10">
        <v>727</v>
      </c>
      <c r="M144" s="11">
        <f t="shared" si="2"/>
        <v>8.5974456007568598</v>
      </c>
      <c r="N144" s="13">
        <v>8</v>
      </c>
      <c r="O144" s="14">
        <f t="shared" si="3"/>
        <v>-0.59744560075685982</v>
      </c>
      <c r="P144" s="13"/>
      <c r="Q144" s="10"/>
      <c r="R144" s="10">
        <v>11800</v>
      </c>
      <c r="S144" s="10">
        <v>725</v>
      </c>
      <c r="T144" s="11">
        <f t="shared" si="4"/>
        <v>6.1440677966101696</v>
      </c>
      <c r="U144" s="13">
        <v>8</v>
      </c>
      <c r="V144" s="14">
        <f t="shared" si="5"/>
        <v>1.8559322033898304</v>
      </c>
      <c r="W144" s="10"/>
      <c r="X144" s="10"/>
      <c r="Y144" s="10">
        <f t="shared" si="6"/>
        <v>20256</v>
      </c>
      <c r="Z144" s="10">
        <f t="shared" si="7"/>
        <v>1512</v>
      </c>
      <c r="AA144" s="11">
        <f t="shared" si="8"/>
        <v>7.4644549763033172</v>
      </c>
      <c r="AB144" s="13">
        <v>8</v>
      </c>
      <c r="AC144" s="14">
        <f t="shared" si="9"/>
        <v>0.53554502369668278</v>
      </c>
      <c r="AD144" s="13">
        <f ca="1">IFERROR(__xludf.DUMMYFUNCTION("IFERROR(
  AVERAGE(
    FILTER(
      $AA$2:$AA144,
      $A$2:$A144 &gt;= A144 - 30,
      $A$2:$A144 &lt;= A144,
      $AA$2:$AA144 &gt; 0
    )
  ),
"""")"),7.78994299728272)</f>
        <v>7.7899429972827203</v>
      </c>
      <c r="AE144" s="14"/>
    </row>
    <row r="145" spans="1:31" x14ac:dyDescent="0.25">
      <c r="A145" s="9">
        <v>46044</v>
      </c>
      <c r="B145" s="10"/>
      <c r="C145" s="10">
        <v>1248</v>
      </c>
      <c r="D145" s="10">
        <v>55</v>
      </c>
      <c r="E145" s="11">
        <f t="shared" si="0"/>
        <v>4.4070512820512819</v>
      </c>
      <c r="F145" s="13">
        <v>6</v>
      </c>
      <c r="G145" s="14">
        <f t="shared" si="1"/>
        <v>1.5929487179487181</v>
      </c>
      <c r="H145" s="13">
        <f ca="1">IFERROR(__xludf.DUMMYFUNCTION("IFERROR(
  AVERAGE(
    FILTER(
      $E$2:$E145,
      $A$2:$A145&gt;=A145-30,
      $A$2:$A145&lt;=A145,
      $E$2:$E145&gt;0
    )
  ),
  """"
)"),4.17271157961262)</f>
        <v>4.1727115796126197</v>
      </c>
      <c r="I145" s="14"/>
      <c r="J145" s="10"/>
      <c r="K145" s="10">
        <v>9340</v>
      </c>
      <c r="L145" s="10">
        <v>1201</v>
      </c>
      <c r="M145" s="11">
        <f t="shared" si="2"/>
        <v>12.858672376873661</v>
      </c>
      <c r="N145" s="13">
        <v>8</v>
      </c>
      <c r="O145" s="14">
        <f t="shared" si="3"/>
        <v>-4.8586723768736615</v>
      </c>
      <c r="P145" s="13"/>
      <c r="Q145" s="10"/>
      <c r="R145" s="10">
        <v>3000</v>
      </c>
      <c r="S145" s="10">
        <v>239</v>
      </c>
      <c r="T145" s="11">
        <f t="shared" si="4"/>
        <v>7.9666666666666668</v>
      </c>
      <c r="U145" s="13">
        <v>8</v>
      </c>
      <c r="V145" s="14">
        <f t="shared" si="5"/>
        <v>3.3333333333333215E-2</v>
      </c>
      <c r="W145" s="10"/>
      <c r="X145" s="10"/>
      <c r="Y145" s="10">
        <f t="shared" si="6"/>
        <v>12340</v>
      </c>
      <c r="Z145" s="10">
        <f t="shared" si="7"/>
        <v>1495</v>
      </c>
      <c r="AA145" s="11">
        <f t="shared" si="8"/>
        <v>12.115072933549433</v>
      </c>
      <c r="AB145" s="13">
        <v>8</v>
      </c>
      <c r="AC145" s="14">
        <f t="shared" si="9"/>
        <v>-4.1150729335494329</v>
      </c>
      <c r="AD145" s="13">
        <f ca="1">IFERROR(__xludf.DUMMYFUNCTION("IFERROR(
  AVERAGE(
    FILTER(
      $AA$2:$AA145,
      $A$2:$A145 &gt;= A145 - 30,
      $A$2:$A145 &lt;= A145,
      $AA$2:$AA145 &gt; 0
    )
  ),
"""")"),7.91630324091322)</f>
        <v>7.9163032409132201</v>
      </c>
      <c r="AE145" s="14"/>
    </row>
    <row r="146" spans="1:31" x14ac:dyDescent="0.25">
      <c r="A146" s="9">
        <v>46045</v>
      </c>
      <c r="B146" s="10"/>
      <c r="C146" s="10">
        <v>800</v>
      </c>
      <c r="D146" s="10">
        <v>45</v>
      </c>
      <c r="E146" s="11">
        <f t="shared" si="0"/>
        <v>5.625</v>
      </c>
      <c r="F146" s="13">
        <v>6</v>
      </c>
      <c r="G146" s="14">
        <f t="shared" si="1"/>
        <v>0.375</v>
      </c>
      <c r="H146" s="13">
        <f ca="1">IFERROR(__xludf.DUMMYFUNCTION("IFERROR(
  AVERAGE(
    FILTER(
      $E$2:$E146,
      $A$2:$A146&gt;=A146-30,
      $A$2:$A146&lt;=A146,
      $E$2:$E146&gt;0
    )
  ),
  """"
)"),4.30473779964784)</f>
        <v>4.3047377996478398</v>
      </c>
      <c r="I146" s="14"/>
      <c r="J146" s="10"/>
      <c r="K146" s="10">
        <v>6027</v>
      </c>
      <c r="L146" s="10">
        <v>632</v>
      </c>
      <c r="M146" s="11">
        <f t="shared" si="2"/>
        <v>10.486145677783307</v>
      </c>
      <c r="N146" s="13">
        <v>8</v>
      </c>
      <c r="O146" s="14">
        <f t="shared" si="3"/>
        <v>-2.4861456777833073</v>
      </c>
      <c r="P146" s="13"/>
      <c r="Q146" s="10"/>
      <c r="R146" s="10">
        <v>9171</v>
      </c>
      <c r="S146" s="10">
        <v>667</v>
      </c>
      <c r="T146" s="11">
        <f t="shared" si="4"/>
        <v>7.2729255261149275</v>
      </c>
      <c r="U146" s="13">
        <v>8</v>
      </c>
      <c r="V146" s="14">
        <f t="shared" si="5"/>
        <v>0.72707447388507251</v>
      </c>
      <c r="W146" s="10"/>
      <c r="X146" s="10"/>
      <c r="Y146" s="10">
        <f t="shared" si="6"/>
        <v>15198</v>
      </c>
      <c r="Z146" s="10">
        <f t="shared" si="7"/>
        <v>1344</v>
      </c>
      <c r="AA146" s="11">
        <f t="shared" si="8"/>
        <v>8.8432688511646269</v>
      </c>
      <c r="AB146" s="13">
        <v>8</v>
      </c>
      <c r="AC146" s="14">
        <f t="shared" si="9"/>
        <v>-0.84326885116462691</v>
      </c>
      <c r="AD146" s="13">
        <f ca="1">IFERROR(__xludf.DUMMYFUNCTION("IFERROR(
  AVERAGE(
    FILTER(
      $AA$2:$AA146,
      $A$2:$A146 &gt;= A146 - 30,
      $A$2:$A146 &lt;= A146,
      $AA$2:$AA146 &gt; 0
    )
  ),
"""")"),7.99977769163498)</f>
        <v>7.9997776916349803</v>
      </c>
      <c r="AE146" s="14"/>
    </row>
    <row r="147" spans="1:31" x14ac:dyDescent="0.25">
      <c r="A147" s="9">
        <v>46046</v>
      </c>
      <c r="B147" s="10"/>
      <c r="C147" s="10">
        <v>2697</v>
      </c>
      <c r="D147" s="10">
        <v>110</v>
      </c>
      <c r="E147" s="11">
        <f t="shared" si="0"/>
        <v>4.0786058583611426</v>
      </c>
      <c r="F147" s="13">
        <v>6</v>
      </c>
      <c r="G147" s="14">
        <f t="shared" si="1"/>
        <v>1.9213941416388574</v>
      </c>
      <c r="H147" s="13">
        <f ca="1">IFERROR(__xludf.DUMMYFUNCTION("IFERROR(
  AVERAGE(
    FILTER(
      $E$2:$E147,
      $A$2:$A147&gt;=A147-30,
      $A$2:$A147&lt;=A147,
      $E$2:$E147&gt;0
    )
  ),
  """"
)"),4.28589347120728)</f>
        <v>4.28589347120728</v>
      </c>
      <c r="I147" s="14"/>
      <c r="J147" s="10"/>
      <c r="K147" s="10">
        <v>4165</v>
      </c>
      <c r="L147" s="10">
        <v>314</v>
      </c>
      <c r="M147" s="11">
        <f t="shared" si="2"/>
        <v>7.5390156062424971</v>
      </c>
      <c r="N147" s="13">
        <v>8</v>
      </c>
      <c r="O147" s="14">
        <f t="shared" si="3"/>
        <v>0.46098439375750289</v>
      </c>
      <c r="P147" s="13"/>
      <c r="Q147" s="10"/>
      <c r="R147" s="10">
        <v>12742</v>
      </c>
      <c r="S147" s="10">
        <v>787</v>
      </c>
      <c r="T147" s="11">
        <f t="shared" si="4"/>
        <v>6.1764244231674779</v>
      </c>
      <c r="U147" s="13">
        <v>8</v>
      </c>
      <c r="V147" s="14">
        <f t="shared" si="5"/>
        <v>1.8235755768325221</v>
      </c>
      <c r="W147" s="10"/>
      <c r="X147" s="10"/>
      <c r="Y147" s="10">
        <f t="shared" si="6"/>
        <v>16907</v>
      </c>
      <c r="Z147" s="10">
        <f t="shared" si="7"/>
        <v>1211</v>
      </c>
      <c r="AA147" s="11">
        <f t="shared" si="8"/>
        <v>7.1627136688945408</v>
      </c>
      <c r="AB147" s="13">
        <v>8</v>
      </c>
      <c r="AC147" s="14">
        <f t="shared" si="9"/>
        <v>0.83728633110545925</v>
      </c>
      <c r="AD147" s="13">
        <f ca="1">IFERROR(__xludf.DUMMYFUNCTION("IFERROR(
  AVERAGE(
    FILTER(
      $AA$2:$AA147,
      $A$2:$A147 &gt;= A147 - 30,
      $A$2:$A147 &lt;= A147,
      $AA$2:$AA147 &gt; 0
    )
  ),
"""")"),7.93927158158795)</f>
        <v>7.93927158158795</v>
      </c>
      <c r="AE147" s="14"/>
    </row>
    <row r="148" spans="1:31" x14ac:dyDescent="0.25">
      <c r="A148" s="9">
        <v>46047</v>
      </c>
      <c r="B148" s="10"/>
      <c r="C148" s="10">
        <v>0</v>
      </c>
      <c r="D148" s="10">
        <v>0</v>
      </c>
      <c r="E148" s="11" t="e">
        <f t="shared" si="0"/>
        <v>#DIV/0!</v>
      </c>
      <c r="F148" s="13">
        <v>6</v>
      </c>
      <c r="G148" s="14" t="e">
        <f t="shared" si="1"/>
        <v>#DIV/0!</v>
      </c>
      <c r="H148" s="13">
        <f ca="1">IFERROR(__xludf.DUMMYFUNCTION("IFERROR(
  AVERAGE(
    FILTER(
      $E$2:$E148,
      $A$2:$A148&gt;=A148-30,
      $A$2:$A148&lt;=A148,
      $E$2:$E148&gt;0
    )
  ),
  """"
)"),4.28589347120728)</f>
        <v>4.28589347120728</v>
      </c>
      <c r="I148" s="14"/>
      <c r="J148" s="10"/>
      <c r="K148" s="10">
        <v>0</v>
      </c>
      <c r="L148" s="10">
        <v>0</v>
      </c>
      <c r="M148" s="11" t="e">
        <f t="shared" si="2"/>
        <v>#DIV/0!</v>
      </c>
      <c r="N148" s="13">
        <v>8</v>
      </c>
      <c r="O148" s="14" t="e">
        <f t="shared" si="3"/>
        <v>#DIV/0!</v>
      </c>
      <c r="P148" s="13"/>
      <c r="Q148" s="10"/>
      <c r="R148" s="10">
        <v>3045</v>
      </c>
      <c r="S148" s="10">
        <v>224</v>
      </c>
      <c r="T148" s="11">
        <f t="shared" si="4"/>
        <v>7.3563218390804597</v>
      </c>
      <c r="U148" s="13">
        <v>8</v>
      </c>
      <c r="V148" s="14">
        <f t="shared" si="5"/>
        <v>0.64367816091954033</v>
      </c>
      <c r="W148" s="10"/>
      <c r="X148" s="10"/>
      <c r="Y148" s="10">
        <f t="shared" si="6"/>
        <v>3045</v>
      </c>
      <c r="Z148" s="10">
        <f t="shared" si="7"/>
        <v>224</v>
      </c>
      <c r="AA148" s="11">
        <f t="shared" si="8"/>
        <v>7.3563218390804597</v>
      </c>
      <c r="AB148" s="13">
        <v>8</v>
      </c>
      <c r="AC148" s="14">
        <f t="shared" si="9"/>
        <v>0.64367816091954033</v>
      </c>
      <c r="AD148" s="13">
        <f ca="1">IFERROR(__xludf.DUMMYFUNCTION("IFERROR(
  AVERAGE(
    FILTER(
      $AA$2:$AA148,
      $A$2:$A148 &gt;= A148 - 30,
      $A$2:$A148 &lt;= A148,
      $AA$2:$AA148 &gt; 0
    )
  ),
"""")"),7.91007118331123)</f>
        <v>7.9100711833112296</v>
      </c>
      <c r="AE148" s="14"/>
    </row>
    <row r="149" spans="1:31" x14ac:dyDescent="0.25">
      <c r="A149" s="9">
        <v>46048</v>
      </c>
      <c r="B149" s="10"/>
      <c r="C149" s="10">
        <v>0</v>
      </c>
      <c r="D149" s="10">
        <v>0</v>
      </c>
      <c r="E149" s="11" t="e">
        <f t="shared" si="0"/>
        <v>#DIV/0!</v>
      </c>
      <c r="F149" s="13">
        <v>6</v>
      </c>
      <c r="G149" s="14" t="e">
        <f t="shared" si="1"/>
        <v>#DIV/0!</v>
      </c>
      <c r="H149" s="13">
        <f ca="1">IFERROR(__xludf.DUMMYFUNCTION("IFERROR(
  AVERAGE(
    FILTER(
      $E$2:$E149,
      $A$2:$A149&gt;=A149-30,
      $A$2:$A149&lt;=A149,
      $E$2:$E149&gt;0
    )
  ),
  """"
)"),4.28589347120728)</f>
        <v>4.28589347120728</v>
      </c>
      <c r="I149" s="14"/>
      <c r="J149" s="10"/>
      <c r="K149" s="10">
        <v>0</v>
      </c>
      <c r="L149" s="10">
        <v>0</v>
      </c>
      <c r="M149" s="11" t="e">
        <f t="shared" si="2"/>
        <v>#DIV/0!</v>
      </c>
      <c r="N149" s="13">
        <v>8</v>
      </c>
      <c r="O149" s="14" t="e">
        <f t="shared" si="3"/>
        <v>#DIV/0!</v>
      </c>
      <c r="P149" s="13"/>
      <c r="Q149" s="10"/>
      <c r="R149" s="10">
        <v>0</v>
      </c>
      <c r="S149" s="10">
        <v>0</v>
      </c>
      <c r="T149" s="11" t="e">
        <f t="shared" si="4"/>
        <v>#DIV/0!</v>
      </c>
      <c r="U149" s="13">
        <v>8</v>
      </c>
      <c r="V149" s="14" t="e">
        <f t="shared" si="5"/>
        <v>#DIV/0!</v>
      </c>
      <c r="W149" s="10"/>
      <c r="X149" s="10"/>
      <c r="Y149" s="10">
        <f t="shared" si="6"/>
        <v>0</v>
      </c>
      <c r="Z149" s="10">
        <f t="shared" si="7"/>
        <v>0</v>
      </c>
      <c r="AA149" s="11" t="e">
        <f t="shared" si="8"/>
        <v>#DIV/0!</v>
      </c>
      <c r="AB149" s="13">
        <v>8</v>
      </c>
      <c r="AC149" s="14" t="e">
        <f t="shared" si="9"/>
        <v>#DIV/0!</v>
      </c>
      <c r="AD149" s="13">
        <f ca="1">IFERROR(__xludf.DUMMYFUNCTION("IFERROR(
  AVERAGE(
    FILTER(
      $AA$2:$AA149,
      $A$2:$A149 &gt;= A149 - 30,
      $A$2:$A149 &lt;= A149,
      $AA$2:$AA149 &gt; 0
    )
  ),
"""")"),7.90279763837952)</f>
        <v>7.9027976383795204</v>
      </c>
      <c r="AE149" s="14"/>
    </row>
    <row r="150" spans="1:31" x14ac:dyDescent="0.25">
      <c r="A150" s="9">
        <v>46049</v>
      </c>
      <c r="B150" s="10"/>
      <c r="C150" s="10">
        <v>1167</v>
      </c>
      <c r="D150" s="10">
        <v>52</v>
      </c>
      <c r="E150" s="11">
        <f t="shared" si="0"/>
        <v>4.4558697514995718</v>
      </c>
      <c r="F150" s="13">
        <v>6</v>
      </c>
      <c r="G150" s="14">
        <f t="shared" si="1"/>
        <v>1.5441302485004282</v>
      </c>
      <c r="H150" s="13">
        <f ca="1">IFERROR(__xludf.DUMMYFUNCTION("IFERROR(
  AVERAGE(
    FILTER(
      $E$2:$E150,
      $A$2:$A150&gt;=A150-30,
      $A$2:$A150&lt;=A150,
      $E$2:$E150&gt;0
    )
  ),
  """"
)"),4.2989685696913)</f>
        <v>4.2989685696912998</v>
      </c>
      <c r="I150" s="14"/>
      <c r="J150" s="10"/>
      <c r="K150" s="10">
        <v>2760</v>
      </c>
      <c r="L150" s="10">
        <v>476</v>
      </c>
      <c r="M150" s="11">
        <f t="shared" si="2"/>
        <v>17.246376811594203</v>
      </c>
      <c r="N150" s="13">
        <v>8</v>
      </c>
      <c r="O150" s="14">
        <f t="shared" si="3"/>
        <v>-9.2463768115942031</v>
      </c>
      <c r="P150" s="13"/>
      <c r="Q150" s="10"/>
      <c r="R150" s="10">
        <v>11178</v>
      </c>
      <c r="S150" s="10">
        <v>782</v>
      </c>
      <c r="T150" s="11">
        <f t="shared" si="4"/>
        <v>6.9958847736625511</v>
      </c>
      <c r="U150" s="13">
        <v>8</v>
      </c>
      <c r="V150" s="14">
        <f t="shared" si="5"/>
        <v>1.0041152263374489</v>
      </c>
      <c r="W150" s="10"/>
      <c r="X150" s="10"/>
      <c r="Y150" s="10">
        <f t="shared" si="6"/>
        <v>13938</v>
      </c>
      <c r="Z150" s="10">
        <f t="shared" si="7"/>
        <v>1310</v>
      </c>
      <c r="AA150" s="11">
        <f t="shared" si="8"/>
        <v>9.3987659635528775</v>
      </c>
      <c r="AB150" s="13">
        <v>8</v>
      </c>
      <c r="AC150" s="14">
        <f t="shared" si="9"/>
        <v>-1.3987659635528775</v>
      </c>
      <c r="AD150" s="13">
        <f ca="1">IFERROR(__xludf.DUMMYFUNCTION("IFERROR(
  AVERAGE(
    FILTER(
      $AA$2:$AA150,
      $A$2:$A150 &gt;= A150 - 30,
      $A$2:$A150 &lt;= A150,
      $AA$2:$AA150 &gt; 0
    )
  ),
"""")"),7.94276441913751)</f>
        <v>7.94276441913751</v>
      </c>
      <c r="AE150" s="14"/>
    </row>
    <row r="151" spans="1:31" x14ac:dyDescent="0.25">
      <c r="A151" s="9">
        <v>46050</v>
      </c>
      <c r="B151" s="10"/>
      <c r="C151" s="10">
        <v>2093</v>
      </c>
      <c r="D151" s="10">
        <v>90</v>
      </c>
      <c r="E151" s="11">
        <f t="shared" si="0"/>
        <v>4.3000477783086479</v>
      </c>
      <c r="F151" s="13">
        <v>6</v>
      </c>
      <c r="G151" s="14">
        <f t="shared" si="1"/>
        <v>1.6999522216913521</v>
      </c>
      <c r="H151" s="13">
        <f ca="1">IFERROR(__xludf.DUMMYFUNCTION("IFERROR(
  AVERAGE(
    FILTER(
      $E$2:$E151,
      $A$2:$A151&gt;=A151-30,
      $A$2:$A151&lt;=A151,
      $E$2:$E151&gt;0
    )
  ),
  """"
)"),4.29904565602111)</f>
        <v>4.2990456560211099</v>
      </c>
      <c r="I151" s="14"/>
      <c r="J151" s="10"/>
      <c r="K151" s="10">
        <v>1600</v>
      </c>
      <c r="L151" s="10">
        <v>160</v>
      </c>
      <c r="M151" s="11">
        <f t="shared" si="2"/>
        <v>10</v>
      </c>
      <c r="N151" s="13">
        <v>8</v>
      </c>
      <c r="O151" s="14">
        <f t="shared" si="3"/>
        <v>-2</v>
      </c>
      <c r="P151" s="13"/>
      <c r="Q151" s="10"/>
      <c r="R151" s="10">
        <v>9420</v>
      </c>
      <c r="S151" s="10">
        <v>625</v>
      </c>
      <c r="T151" s="11">
        <f t="shared" si="4"/>
        <v>6.634819532908705</v>
      </c>
      <c r="U151" s="13">
        <v>8</v>
      </c>
      <c r="V151" s="14">
        <f t="shared" si="5"/>
        <v>1.365180467091295</v>
      </c>
      <c r="W151" s="10"/>
      <c r="X151" s="10"/>
      <c r="Y151" s="10">
        <f t="shared" si="6"/>
        <v>11020</v>
      </c>
      <c r="Z151" s="10">
        <f t="shared" si="7"/>
        <v>875</v>
      </c>
      <c r="AA151" s="11">
        <f t="shared" si="8"/>
        <v>7.9401088929219599</v>
      </c>
      <c r="AB151" s="13">
        <v>8</v>
      </c>
      <c r="AC151" s="14">
        <f t="shared" si="9"/>
        <v>5.9891107078040129E-2</v>
      </c>
      <c r="AD151" s="13">
        <f ca="1">IFERROR(__xludf.DUMMYFUNCTION("IFERROR(
  AVERAGE(
    FILTER(
      $AA$2:$AA151,
      $A$2:$A151 &gt;= A151 - 30,
      $A$2:$A151 &lt;= A151,
      $AA$2:$AA151 &gt; 0
    )
  ),
"""")"),7.91681384370562)</f>
        <v>7.9168138437056204</v>
      </c>
      <c r="AE151" s="14"/>
    </row>
    <row r="152" spans="1:31" x14ac:dyDescent="0.25">
      <c r="A152" s="9">
        <v>46051</v>
      </c>
      <c r="B152" s="10"/>
      <c r="C152" s="10">
        <v>2499</v>
      </c>
      <c r="D152" s="10">
        <v>152</v>
      </c>
      <c r="E152" s="11">
        <f t="shared" si="0"/>
        <v>6.0824329731892757</v>
      </c>
      <c r="F152" s="13">
        <v>6</v>
      </c>
      <c r="G152" s="14">
        <f t="shared" si="1"/>
        <v>-8.2432973189275671E-2</v>
      </c>
      <c r="H152" s="13">
        <f ca="1">IFERROR(__xludf.DUMMYFUNCTION("IFERROR(
  AVERAGE(
    FILTER(
      $E$2:$E152,
      $A$2:$A152&gt;=A152-30,
      $A$2:$A152&lt;=A152,
      $E$2:$E152&gt;0
    )
  ),
  """"
)"),4.41793814383232)</f>
        <v>4.4179381438323198</v>
      </c>
      <c r="I152" s="14"/>
      <c r="J152" s="10"/>
      <c r="K152" s="10">
        <v>7217</v>
      </c>
      <c r="L152" s="10">
        <v>619</v>
      </c>
      <c r="M152" s="11">
        <f t="shared" si="2"/>
        <v>8.5769710405985862</v>
      </c>
      <c r="N152" s="13">
        <v>8</v>
      </c>
      <c r="O152" s="14">
        <f t="shared" si="3"/>
        <v>-0.57697104059858617</v>
      </c>
      <c r="P152" s="13"/>
      <c r="Q152" s="10"/>
      <c r="R152" s="10">
        <v>9439</v>
      </c>
      <c r="S152" s="10">
        <v>746</v>
      </c>
      <c r="T152" s="11">
        <f t="shared" si="4"/>
        <v>7.9033795952961121</v>
      </c>
      <c r="U152" s="13">
        <v>8</v>
      </c>
      <c r="V152" s="14">
        <f t="shared" si="5"/>
        <v>9.6620404703887885E-2</v>
      </c>
      <c r="W152" s="10"/>
      <c r="X152" s="10"/>
      <c r="Y152" s="10">
        <f t="shared" si="6"/>
        <v>16656</v>
      </c>
      <c r="Z152" s="10">
        <f t="shared" si="7"/>
        <v>1517</v>
      </c>
      <c r="AA152" s="11">
        <f t="shared" si="8"/>
        <v>9.1078290105667641</v>
      </c>
      <c r="AB152" s="13">
        <v>8</v>
      </c>
      <c r="AC152" s="14">
        <f t="shared" si="9"/>
        <v>-1.1078290105667641</v>
      </c>
      <c r="AD152" s="13">
        <f ca="1">IFERROR(__xludf.DUMMYFUNCTION("IFERROR(
  AVERAGE(
    FILTER(
      $AA$2:$AA152,
      $A$2:$A152 &gt;= A152 - 30,
      $A$2:$A152 &lt;= A152,
      $AA$2:$AA152 &gt; 0
    )
  ),
"""")"),7.9971650750701)</f>
        <v>7.9971650750701002</v>
      </c>
      <c r="AE152" s="14"/>
    </row>
    <row r="153" spans="1:31" x14ac:dyDescent="0.25">
      <c r="A153" s="9">
        <v>46052</v>
      </c>
      <c r="B153" s="10"/>
      <c r="C153" s="10">
        <v>1448</v>
      </c>
      <c r="D153" s="10">
        <v>58</v>
      </c>
      <c r="E153" s="11">
        <f t="shared" si="0"/>
        <v>4.0055248618784534</v>
      </c>
      <c r="F153" s="13">
        <v>6</v>
      </c>
      <c r="G153" s="14">
        <f t="shared" si="1"/>
        <v>1.9944751381215466</v>
      </c>
      <c r="H153" s="13">
        <f ca="1">IFERROR(__xludf.DUMMYFUNCTION("IFERROR(
  AVERAGE(
    FILTER(
      $E$2:$E153,
      $A$2:$A153&gt;=A153-30,
      $A$2:$A153&lt;=A153,
      $E$2:$E153&gt;0
    )
  ),
  """"
)"),4.3921623137102)</f>
        <v>4.3921623137101999</v>
      </c>
      <c r="I153" s="14"/>
      <c r="J153" s="10"/>
      <c r="K153" s="10">
        <v>9968</v>
      </c>
      <c r="L153" s="10">
        <v>1012</v>
      </c>
      <c r="M153" s="11">
        <f t="shared" si="2"/>
        <v>10.152487961476725</v>
      </c>
      <c r="N153" s="13">
        <v>8</v>
      </c>
      <c r="O153" s="14">
        <f t="shared" si="3"/>
        <v>-2.1524879614767247</v>
      </c>
      <c r="P153" s="13"/>
      <c r="Q153" s="10"/>
      <c r="R153" s="10">
        <v>10181</v>
      </c>
      <c r="S153" s="10">
        <v>887</v>
      </c>
      <c r="T153" s="11">
        <f t="shared" si="4"/>
        <v>8.7123072389745602</v>
      </c>
      <c r="U153" s="13">
        <v>8</v>
      </c>
      <c r="V153" s="14">
        <f t="shared" si="5"/>
        <v>-0.71230723897456016</v>
      </c>
      <c r="W153" s="10"/>
      <c r="X153" s="10"/>
      <c r="Y153" s="10">
        <f t="shared" si="6"/>
        <v>20149</v>
      </c>
      <c r="Z153" s="10">
        <f t="shared" si="7"/>
        <v>1957</v>
      </c>
      <c r="AA153" s="11">
        <f t="shared" si="8"/>
        <v>9.712640825847437</v>
      </c>
      <c r="AB153" s="13">
        <v>8</v>
      </c>
      <c r="AC153" s="14">
        <f t="shared" si="9"/>
        <v>-1.712640825847437</v>
      </c>
      <c r="AD153" s="13">
        <f ca="1">IFERROR(__xludf.DUMMYFUNCTION("IFERROR(
  AVERAGE(
    FILTER(
      $AA$2:$AA153,
      $A$2:$A153 &gt;= A153 - 30,
      $A$2:$A153 &lt;= A153,
      $AA$2:$AA153 &gt; 0
    )
  ),
"""")"),8.11694352346073)</f>
        <v>8.1169435234607299</v>
      </c>
      <c r="AE153" s="14"/>
    </row>
    <row r="154" spans="1:31" x14ac:dyDescent="0.25">
      <c r="A154" s="9">
        <v>46053</v>
      </c>
      <c r="B154" s="10"/>
      <c r="C154" s="10">
        <v>952</v>
      </c>
      <c r="D154" s="10">
        <v>130</v>
      </c>
      <c r="E154" s="11">
        <f t="shared" si="0"/>
        <v>13.655462184873949</v>
      </c>
      <c r="F154" s="13">
        <v>6</v>
      </c>
      <c r="G154" s="14">
        <f t="shared" si="1"/>
        <v>-7.655462184873949</v>
      </c>
      <c r="H154" s="13">
        <f ca="1">IFERROR(__xludf.DUMMYFUNCTION("IFERROR(
  AVERAGE(
    FILTER(
      $E$2:$E154,
      $A$2:$A154&gt;=A154-30,
      $A$2:$A154&lt;=A154,
      $E$2:$E154&gt;0
    )
  ),
  """"
)"),4.9370623061316)</f>
        <v>4.9370623061316001</v>
      </c>
      <c r="I154" s="14"/>
      <c r="J154" s="10"/>
      <c r="K154" s="10">
        <v>12293</v>
      </c>
      <c r="L154" s="10">
        <v>1087</v>
      </c>
      <c r="M154" s="11">
        <f t="shared" si="2"/>
        <v>8.8424306515903357</v>
      </c>
      <c r="N154" s="13">
        <v>8</v>
      </c>
      <c r="O154" s="14">
        <f t="shared" si="3"/>
        <v>-0.8424306515903357</v>
      </c>
      <c r="P154" s="13"/>
      <c r="Q154" s="10"/>
      <c r="R154" s="10">
        <v>9157</v>
      </c>
      <c r="S154" s="10">
        <v>816</v>
      </c>
      <c r="T154" s="11">
        <f t="shared" si="4"/>
        <v>8.911215463579774</v>
      </c>
      <c r="U154" s="13">
        <v>8</v>
      </c>
      <c r="V154" s="14">
        <f t="shared" si="5"/>
        <v>-0.91121546357977401</v>
      </c>
      <c r="W154" s="10"/>
      <c r="X154" s="10"/>
      <c r="Y154" s="10">
        <f t="shared" si="6"/>
        <v>21450</v>
      </c>
      <c r="Z154" s="10">
        <f t="shared" si="7"/>
        <v>2033</v>
      </c>
      <c r="AA154" s="11">
        <f t="shared" si="8"/>
        <v>9.4778554778554778</v>
      </c>
      <c r="AB154" s="13">
        <v>8</v>
      </c>
      <c r="AC154" s="14">
        <f t="shared" si="9"/>
        <v>-1.4778554778554778</v>
      </c>
      <c r="AD154" s="13">
        <f ca="1">IFERROR(__xludf.DUMMYFUNCTION("IFERROR(
  AVERAGE(
    FILTER(
      $AA$2:$AA154,
      $A$2:$A154 &gt;= A154 - 30,
      $A$2:$A154 &lt;= A154,
      $AA$2:$AA154 &gt; 0
    )
  ),
"""")"),8.21309181960903)</f>
        <v>8.2130918196090299</v>
      </c>
      <c r="AE154" s="14"/>
    </row>
    <row r="155" spans="1:31" x14ac:dyDescent="0.25">
      <c r="A155" s="9">
        <v>46054</v>
      </c>
      <c r="B155" s="10"/>
      <c r="C155" s="10">
        <v>0</v>
      </c>
      <c r="D155" s="10">
        <v>0</v>
      </c>
      <c r="E155" s="11" t="e">
        <f t="shared" si="0"/>
        <v>#DIV/0!</v>
      </c>
      <c r="F155" s="13">
        <v>6</v>
      </c>
      <c r="G155" s="14" t="e">
        <f t="shared" si="1"/>
        <v>#DIV/0!</v>
      </c>
      <c r="H155" s="13">
        <f ca="1">IFERROR(__xludf.DUMMYFUNCTION("IFERROR(
  AVERAGE(
    FILTER(
      $E$2:$E155,
      $A$2:$A155&gt;=A155-30,
      $A$2:$A155&lt;=A155,
      $E$2:$E155&gt;0
    )
  ),
  """"
)"),4.9370623061316)</f>
        <v>4.9370623061316001</v>
      </c>
      <c r="I155" s="14"/>
      <c r="J155" s="10"/>
      <c r="K155" s="10">
        <v>0</v>
      </c>
      <c r="L155" s="10">
        <v>0</v>
      </c>
      <c r="M155" s="11" t="e">
        <f t="shared" si="2"/>
        <v>#DIV/0!</v>
      </c>
      <c r="N155" s="13">
        <v>8</v>
      </c>
      <c r="O155" s="14" t="e">
        <f t="shared" si="3"/>
        <v>#DIV/0!</v>
      </c>
      <c r="P155" s="13"/>
      <c r="Q155" s="10"/>
      <c r="R155" s="10">
        <v>0</v>
      </c>
      <c r="S155" s="10">
        <v>0</v>
      </c>
      <c r="T155" s="11" t="e">
        <f t="shared" si="4"/>
        <v>#DIV/0!</v>
      </c>
      <c r="U155" s="13">
        <v>8</v>
      </c>
      <c r="V155" s="14" t="e">
        <f t="shared" si="5"/>
        <v>#DIV/0!</v>
      </c>
      <c r="W155" s="10"/>
      <c r="X155" s="10"/>
      <c r="Y155" s="10">
        <f t="shared" si="6"/>
        <v>0</v>
      </c>
      <c r="Z155" s="10">
        <f t="shared" si="7"/>
        <v>0</v>
      </c>
      <c r="AA155" s="11" t="e">
        <f t="shared" si="8"/>
        <v>#DIV/0!</v>
      </c>
      <c r="AB155" s="13">
        <v>8</v>
      </c>
      <c r="AC155" s="14" t="e">
        <f t="shared" si="9"/>
        <v>#DIV/0!</v>
      </c>
      <c r="AD155" s="13">
        <f ca="1">IFERROR(__xludf.DUMMYFUNCTION("IFERROR(
  AVERAGE(
    FILTER(
      $AA$2:$AA155,
      $A$2:$A155 &gt;= A155 - 30,
      $A$2:$A155 &lt;= A155,
      $AA$2:$AA155 &gt; 0
    )
  ),
"""")"),8.24568694756046)</f>
        <v>8.2456869475604595</v>
      </c>
      <c r="AE155" s="14"/>
    </row>
    <row r="156" spans="1:31" x14ac:dyDescent="0.25">
      <c r="A156" s="9">
        <v>46055</v>
      </c>
      <c r="B156" s="10"/>
      <c r="C156" s="10">
        <v>950</v>
      </c>
      <c r="D156" s="10">
        <v>30</v>
      </c>
      <c r="E156" s="11">
        <f t="shared" si="0"/>
        <v>3.1578947368421053</v>
      </c>
      <c r="F156" s="13">
        <v>6</v>
      </c>
      <c r="G156" s="14">
        <f t="shared" si="1"/>
        <v>2.8421052631578947</v>
      </c>
      <c r="H156" s="13">
        <f ca="1">IFERROR(__xludf.DUMMYFUNCTION("IFERROR(
  AVERAGE(
    FILTER(
      $E$2:$E156,
      $A$2:$A156&gt;=A156-30,
      $A$2:$A156&lt;=A156,
      $E$2:$E156&gt;0
    )
  ),
  """"
)"),4.8382196633933)</f>
        <v>4.8382196633932999</v>
      </c>
      <c r="I156" s="14"/>
      <c r="J156" s="10"/>
      <c r="K156" s="10">
        <v>7298</v>
      </c>
      <c r="L156" s="10">
        <v>558</v>
      </c>
      <c r="M156" s="11">
        <f t="shared" si="2"/>
        <v>7.6459303918881876</v>
      </c>
      <c r="N156" s="13">
        <v>8</v>
      </c>
      <c r="O156" s="14">
        <f t="shared" si="3"/>
        <v>0.35406960811181243</v>
      </c>
      <c r="P156" s="13"/>
      <c r="Q156" s="10"/>
      <c r="R156" s="10">
        <v>7619</v>
      </c>
      <c r="S156" s="10">
        <v>548.5</v>
      </c>
      <c r="T156" s="11">
        <f t="shared" si="4"/>
        <v>7.1991074944218401</v>
      </c>
      <c r="U156" s="13">
        <v>8</v>
      </c>
      <c r="V156" s="14">
        <f t="shared" si="5"/>
        <v>0.80089250557815994</v>
      </c>
      <c r="W156" s="10"/>
      <c r="X156" s="10"/>
      <c r="Y156" s="10">
        <f t="shared" si="6"/>
        <v>14917</v>
      </c>
      <c r="Z156" s="10">
        <f t="shared" si="7"/>
        <v>1136.5</v>
      </c>
      <c r="AA156" s="11">
        <f t="shared" si="8"/>
        <v>7.6188241603539586</v>
      </c>
      <c r="AB156" s="13">
        <v>8</v>
      </c>
      <c r="AC156" s="14">
        <f t="shared" si="9"/>
        <v>0.3811758396460414</v>
      </c>
      <c r="AD156" s="13">
        <f ca="1">IFERROR(__xludf.DUMMYFUNCTION("IFERROR(
  AVERAGE(
    FILTER(
      $AA$2:$AA156,
      $A$2:$A156 &gt;= A156 - 30,
      $A$2:$A156 &lt;= A156,
      $AA$2:$AA156 &gt; 0
    )
  ),
"""")"),8.17501721358999)</f>
        <v>8.1750172135899906</v>
      </c>
      <c r="AE156" s="14"/>
    </row>
    <row r="157" spans="1:31" x14ac:dyDescent="0.25">
      <c r="A157" s="9">
        <v>46056</v>
      </c>
      <c r="B157" s="10"/>
      <c r="C157" s="10">
        <v>2295</v>
      </c>
      <c r="D157" s="10">
        <v>77</v>
      </c>
      <c r="E157" s="11">
        <f t="shared" si="0"/>
        <v>3.3551198257080612</v>
      </c>
      <c r="F157" s="13">
        <v>6</v>
      </c>
      <c r="G157" s="14">
        <f t="shared" si="1"/>
        <v>2.6448801742919388</v>
      </c>
      <c r="H157" s="13">
        <f ca="1">IFERROR(__xludf.DUMMYFUNCTION("IFERROR(
  AVERAGE(
    FILTER(
      $E$2:$E157,
      $A$2:$A157&gt;=A157-30,
      $A$2:$A157&lt;=A157,
      $E$2:$E157&gt;0
    )
  ),
  """"
)"),4.76016177719934)</f>
        <v>4.7601617771993396</v>
      </c>
      <c r="I157" s="14"/>
      <c r="J157" s="10"/>
      <c r="K157" s="10">
        <v>3414</v>
      </c>
      <c r="L157" s="10">
        <v>308</v>
      </c>
      <c r="M157" s="11">
        <f t="shared" si="2"/>
        <v>9.0216754540128878</v>
      </c>
      <c r="N157" s="13">
        <v>8</v>
      </c>
      <c r="O157" s="14">
        <f t="shared" si="3"/>
        <v>-1.0216754540128878</v>
      </c>
      <c r="P157" s="13"/>
      <c r="Q157" s="10"/>
      <c r="R157" s="10">
        <v>10588</v>
      </c>
      <c r="S157" s="10">
        <v>1061</v>
      </c>
      <c r="T157" s="11">
        <f t="shared" si="4"/>
        <v>10.020778239516433</v>
      </c>
      <c r="U157" s="13">
        <v>8</v>
      </c>
      <c r="V157" s="14">
        <f t="shared" si="5"/>
        <v>-2.0207782395164333</v>
      </c>
      <c r="W157" s="10"/>
      <c r="X157" s="10"/>
      <c r="Y157" s="10">
        <f t="shared" si="6"/>
        <v>14002</v>
      </c>
      <c r="Z157" s="10">
        <f t="shared" si="7"/>
        <v>1446</v>
      </c>
      <c r="AA157" s="11">
        <f t="shared" si="8"/>
        <v>10.32709612912441</v>
      </c>
      <c r="AB157" s="13">
        <v>8</v>
      </c>
      <c r="AC157" s="14">
        <f t="shared" si="9"/>
        <v>-2.3270961291244099</v>
      </c>
      <c r="AD157" s="13">
        <f ca="1">IFERROR(__xludf.DUMMYFUNCTION("IFERROR(
  AVERAGE(
    FILTER(
      $AA$2:$AA157,
      $A$2:$A157 &gt;= A157 - 30,
      $A$2:$A157 &lt;= A157,
      $AA$2:$AA157 &gt; 0
    )
  ),
"""")"),8.26371905209639)</f>
        <v>8.2637190520963895</v>
      </c>
      <c r="AE157" s="14"/>
    </row>
    <row r="158" spans="1:31" x14ac:dyDescent="0.25">
      <c r="A158" s="9">
        <v>46057</v>
      </c>
      <c r="B158" s="10"/>
      <c r="C158" s="10">
        <v>1024</v>
      </c>
      <c r="D158" s="10">
        <v>52</v>
      </c>
      <c r="E158" s="11">
        <f t="shared" si="0"/>
        <v>5.078125</v>
      </c>
      <c r="F158" s="13">
        <v>6</v>
      </c>
      <c r="G158" s="14">
        <f t="shared" si="1"/>
        <v>0.921875</v>
      </c>
      <c r="H158" s="13">
        <f ca="1">IFERROR(__xludf.DUMMYFUNCTION("IFERROR(
  AVERAGE(
    FILTER(
      $E$2:$E158,
      $A$2:$A158&gt;=A158-30,
      $A$2:$A158&lt;=A158,
      $E$2:$E158&gt;0
    )
  ),
  """"
)"),4.77605993833937)</f>
        <v>4.7760599383393698</v>
      </c>
      <c r="I158" s="14"/>
      <c r="J158" s="10"/>
      <c r="K158" s="10">
        <v>4335</v>
      </c>
      <c r="L158" s="10">
        <v>695</v>
      </c>
      <c r="M158" s="11">
        <f t="shared" si="2"/>
        <v>16.032295271049595</v>
      </c>
      <c r="N158" s="13">
        <v>8</v>
      </c>
      <c r="O158" s="14">
        <f t="shared" si="3"/>
        <v>-8.0322952710495947</v>
      </c>
      <c r="P158" s="13"/>
      <c r="Q158" s="10"/>
      <c r="R158" s="10">
        <v>10719</v>
      </c>
      <c r="S158" s="10">
        <v>965</v>
      </c>
      <c r="T158" s="11">
        <f t="shared" si="4"/>
        <v>9.0027054762571144</v>
      </c>
      <c r="U158" s="13">
        <v>8</v>
      </c>
      <c r="V158" s="14">
        <f t="shared" si="5"/>
        <v>-1.0027054762571144</v>
      </c>
      <c r="W158" s="10"/>
      <c r="X158" s="10"/>
      <c r="Y158" s="10">
        <f t="shared" si="6"/>
        <v>15054</v>
      </c>
      <c r="Z158" s="10">
        <f t="shared" si="7"/>
        <v>1712</v>
      </c>
      <c r="AA158" s="11">
        <f t="shared" si="8"/>
        <v>11.372392719542979</v>
      </c>
      <c r="AB158" s="13">
        <v>8</v>
      </c>
      <c r="AC158" s="14">
        <f t="shared" si="9"/>
        <v>-3.3723927195429795</v>
      </c>
      <c r="AD158" s="13">
        <f ca="1">IFERROR(__xludf.DUMMYFUNCTION("IFERROR(
  AVERAGE(
    FILTER(
      $AA$2:$AA158,
      $A$2:$A158 &gt;= A158 - 30,
      $A$2:$A158 &lt;= A158,
      $AA$2:$AA158 &gt; 0
    )
  ),
"""")"),8.3784331017638)</f>
        <v>8.3784331017638003</v>
      </c>
      <c r="AE158" s="14"/>
    </row>
    <row r="159" spans="1:31" x14ac:dyDescent="0.25">
      <c r="A159" s="9">
        <v>46058</v>
      </c>
      <c r="B159" s="10"/>
      <c r="C159" s="10">
        <v>1096</v>
      </c>
      <c r="D159" s="10">
        <v>72</v>
      </c>
      <c r="E159" s="11">
        <f t="shared" si="0"/>
        <v>6.5693430656934311</v>
      </c>
      <c r="F159" s="13">
        <v>6</v>
      </c>
      <c r="G159" s="14">
        <f t="shared" si="1"/>
        <v>-0.56934306569343107</v>
      </c>
      <c r="H159" s="13">
        <f ca="1">IFERROR(__xludf.DUMMYFUNCTION("IFERROR(
  AVERAGE(
    FILTER(
      $E$2:$E159,
      $A$2:$A159&gt;=A159-30,
      $A$2:$A159&lt;=A159,
      $E$2:$E159&gt;0
    )
  ),
  """"
)"),4.86145437297528)</f>
        <v>4.8614543729752802</v>
      </c>
      <c r="I159" s="14"/>
      <c r="J159" s="10"/>
      <c r="K159" s="10">
        <v>4321</v>
      </c>
      <c r="L159" s="10">
        <v>459</v>
      </c>
      <c r="M159" s="11">
        <f t="shared" si="2"/>
        <v>10.622541078454063</v>
      </c>
      <c r="N159" s="13">
        <v>8</v>
      </c>
      <c r="O159" s="14">
        <f t="shared" si="3"/>
        <v>-2.6225410784540628</v>
      </c>
      <c r="P159" s="13"/>
      <c r="Q159" s="10"/>
      <c r="R159" s="10">
        <v>11885</v>
      </c>
      <c r="S159" s="10">
        <v>816</v>
      </c>
      <c r="T159" s="11">
        <f t="shared" si="4"/>
        <v>6.8657972233908291</v>
      </c>
      <c r="U159" s="13">
        <v>8</v>
      </c>
      <c r="V159" s="14">
        <f t="shared" si="5"/>
        <v>1.1342027766091709</v>
      </c>
      <c r="W159" s="10"/>
      <c r="X159" s="10"/>
      <c r="Y159" s="10">
        <f t="shared" si="6"/>
        <v>16206</v>
      </c>
      <c r="Z159" s="10">
        <f t="shared" si="7"/>
        <v>1347</v>
      </c>
      <c r="AA159" s="11">
        <f t="shared" si="8"/>
        <v>8.3117363939281752</v>
      </c>
      <c r="AB159" s="13">
        <v>8</v>
      </c>
      <c r="AC159" s="14">
        <f t="shared" si="9"/>
        <v>-0.3117363939281752</v>
      </c>
      <c r="AD159" s="13">
        <f ca="1">IFERROR(__xludf.DUMMYFUNCTION("IFERROR(
  AVERAGE(
    FILTER(
      $AA$2:$AA159,
      $A$2:$A159 &gt;= A159 - 30,
      $A$2:$A159 &lt;= A159,
      $AA$2:$AA159 &gt; 0
    )
  ),
"""")"),8.31818898892151)</f>
        <v>8.3181889889215093</v>
      </c>
      <c r="AE159" s="14"/>
    </row>
    <row r="160" spans="1:31" x14ac:dyDescent="0.25">
      <c r="A160" s="9">
        <v>46059</v>
      </c>
      <c r="B160" s="10"/>
      <c r="C160" s="10">
        <v>2418</v>
      </c>
      <c r="D160" s="10">
        <v>75</v>
      </c>
      <c r="E160" s="11">
        <f t="shared" si="0"/>
        <v>3.1017369727047148</v>
      </c>
      <c r="F160" s="13">
        <v>6</v>
      </c>
      <c r="G160" s="14">
        <f t="shared" si="1"/>
        <v>2.8982630272952852</v>
      </c>
      <c r="H160" s="13">
        <f ca="1">IFERROR(__xludf.DUMMYFUNCTION("IFERROR(
  AVERAGE(
    FILTER(
      $E$2:$E160,
      $A$2:$A160&gt;=A160-30,
      $A$2:$A160&lt;=A160,
      $E$2:$E160&gt;0
    )
  ),
  """"
)"),4.78146721841752)</f>
        <v>4.7814672184175198</v>
      </c>
      <c r="I160" s="14"/>
      <c r="J160" s="10"/>
      <c r="K160" s="10">
        <v>3836</v>
      </c>
      <c r="L160" s="10">
        <v>238</v>
      </c>
      <c r="M160" s="11">
        <f t="shared" si="2"/>
        <v>6.2043795620437958</v>
      </c>
      <c r="N160" s="13">
        <v>8</v>
      </c>
      <c r="O160" s="14">
        <f t="shared" si="3"/>
        <v>1.7956204379562042</v>
      </c>
      <c r="P160" s="13"/>
      <c r="Q160" s="10"/>
      <c r="R160" s="10">
        <v>13170</v>
      </c>
      <c r="S160" s="10">
        <v>1020</v>
      </c>
      <c r="T160" s="11">
        <f t="shared" si="4"/>
        <v>7.7448747152619593</v>
      </c>
      <c r="U160" s="13">
        <v>8</v>
      </c>
      <c r="V160" s="14">
        <f t="shared" si="5"/>
        <v>0.25512528473804075</v>
      </c>
      <c r="W160" s="10"/>
      <c r="X160" s="10"/>
      <c r="Y160" s="10">
        <f t="shared" si="6"/>
        <v>17006</v>
      </c>
      <c r="Z160" s="10">
        <f t="shared" si="7"/>
        <v>1333</v>
      </c>
      <c r="AA160" s="11">
        <f t="shared" si="8"/>
        <v>7.8384099729507231</v>
      </c>
      <c r="AB160" s="13">
        <v>8</v>
      </c>
      <c r="AC160" s="14">
        <f t="shared" si="9"/>
        <v>0.16159002704927694</v>
      </c>
      <c r="AD160" s="13">
        <f ca="1">IFERROR(__xludf.DUMMYFUNCTION("IFERROR(
  AVERAGE(
    FILTER(
      $AA$2:$AA160,
      $A$2:$A160 &gt;= A160 - 30,
      $A$2:$A160 &lt;= A160,
      $AA$2:$AA160 &gt; 0
    )
  ),
"""")"),8.22426993581655)</f>
        <v>8.2242699358165492</v>
      </c>
      <c r="AE160" s="14"/>
    </row>
    <row r="161" spans="1:31" x14ac:dyDescent="0.25">
      <c r="A161" s="9">
        <v>46060</v>
      </c>
      <c r="B161" s="10"/>
      <c r="C161" s="10">
        <v>1900</v>
      </c>
      <c r="D161" s="10">
        <v>85</v>
      </c>
      <c r="E161" s="11">
        <f t="shared" si="0"/>
        <v>4.4736842105263159</v>
      </c>
      <c r="F161" s="13">
        <v>6</v>
      </c>
      <c r="G161" s="14">
        <f t="shared" si="1"/>
        <v>1.5263157894736841</v>
      </c>
      <c r="H161" s="13">
        <f ca="1">IFERROR(__xludf.DUMMYFUNCTION("IFERROR(
  AVERAGE(
    FILTER(
      $E$2:$E161,
      $A$2:$A161&gt;=A161-30,
      $A$2:$A161&lt;=A161,
      $E$2:$E161&gt;0
    )
  ),
  """"
)"),4.76808534850921)</f>
        <v>4.7680853485092101</v>
      </c>
      <c r="I161" s="14"/>
      <c r="J161" s="10"/>
      <c r="K161" s="10">
        <v>6528</v>
      </c>
      <c r="L161" s="10">
        <v>514</v>
      </c>
      <c r="M161" s="11">
        <f t="shared" si="2"/>
        <v>7.8737745098039209</v>
      </c>
      <c r="N161" s="13">
        <v>8</v>
      </c>
      <c r="O161" s="14">
        <f t="shared" si="3"/>
        <v>0.12622549019607909</v>
      </c>
      <c r="P161" s="13"/>
      <c r="Q161" s="10"/>
      <c r="R161" s="10">
        <v>5556</v>
      </c>
      <c r="S161" s="10">
        <v>434</v>
      </c>
      <c r="T161" s="11">
        <f t="shared" si="4"/>
        <v>7.8113750899928007</v>
      </c>
      <c r="U161" s="13">
        <v>8</v>
      </c>
      <c r="V161" s="14">
        <f t="shared" si="5"/>
        <v>0.18862491000719928</v>
      </c>
      <c r="W161" s="10"/>
      <c r="X161" s="10"/>
      <c r="Y161" s="10">
        <f t="shared" si="6"/>
        <v>12084</v>
      </c>
      <c r="Z161" s="10">
        <f t="shared" si="7"/>
        <v>1033</v>
      </c>
      <c r="AA161" s="11">
        <f t="shared" si="8"/>
        <v>8.5484938761999327</v>
      </c>
      <c r="AB161" s="13">
        <v>8</v>
      </c>
      <c r="AC161" s="14">
        <f t="shared" si="9"/>
        <v>-0.54849387619993273</v>
      </c>
      <c r="AD161" s="13">
        <f ca="1">IFERROR(__xludf.DUMMYFUNCTION("IFERROR(
  AVERAGE(
    FILTER(
      $AA$2:$AA161,
      $A$2:$A161 &gt;= A161 - 30,
      $A$2:$A161 &lt;= A161,
      $AA$2:$AA161 &gt; 0
    )
  ),
"""")"),8.30895303243256)</f>
        <v>8.3089530324325604</v>
      </c>
      <c r="AE161" s="14"/>
    </row>
    <row r="162" spans="1:31" x14ac:dyDescent="0.25">
      <c r="A162" s="9">
        <v>46061</v>
      </c>
      <c r="B162" s="10"/>
      <c r="C162" s="10">
        <v>0</v>
      </c>
      <c r="D162" s="10">
        <v>0</v>
      </c>
      <c r="E162" s="11" t="e">
        <f t="shared" si="0"/>
        <v>#DIV/0!</v>
      </c>
      <c r="F162" s="13">
        <v>6</v>
      </c>
      <c r="G162" s="14" t="e">
        <f t="shared" si="1"/>
        <v>#DIV/0!</v>
      </c>
      <c r="H162" s="13">
        <f ca="1">IFERROR(__xludf.DUMMYFUNCTION("IFERROR(
  AVERAGE(
    FILTER(
      $E$2:$E162,
      $A$2:$A162&gt;=A162-30,
      $A$2:$A162&lt;=A162,
      $E$2:$E162&gt;0
    )
  ),
  """"
)"),4.76808534850921)</f>
        <v>4.7680853485092101</v>
      </c>
      <c r="I162" s="14"/>
      <c r="J162" s="10"/>
      <c r="K162" s="10">
        <v>0</v>
      </c>
      <c r="L162" s="10">
        <v>0</v>
      </c>
      <c r="M162" s="11" t="e">
        <f t="shared" si="2"/>
        <v>#DIV/0!</v>
      </c>
      <c r="N162" s="13">
        <v>8</v>
      </c>
      <c r="O162" s="14" t="e">
        <f t="shared" si="3"/>
        <v>#DIV/0!</v>
      </c>
      <c r="P162" s="13"/>
      <c r="Q162" s="10"/>
      <c r="R162" s="10">
        <v>3014</v>
      </c>
      <c r="S162" s="10">
        <v>178</v>
      </c>
      <c r="T162" s="11">
        <f t="shared" si="4"/>
        <v>5.9057730590577302</v>
      </c>
      <c r="U162" s="13">
        <v>8</v>
      </c>
      <c r="V162" s="14">
        <f t="shared" si="5"/>
        <v>2.0942269409422698</v>
      </c>
      <c r="W162" s="10"/>
      <c r="X162" s="10"/>
      <c r="Y162" s="10">
        <f t="shared" si="6"/>
        <v>3014</v>
      </c>
      <c r="Z162" s="10">
        <f t="shared" si="7"/>
        <v>178</v>
      </c>
      <c r="AA162" s="11">
        <f t="shared" si="8"/>
        <v>5.9057730590577302</v>
      </c>
      <c r="AB162" s="13">
        <v>8</v>
      </c>
      <c r="AC162" s="14">
        <f t="shared" si="9"/>
        <v>2.0942269409422698</v>
      </c>
      <c r="AD162" s="13">
        <f ca="1">IFERROR(__xludf.DUMMYFUNCTION("IFERROR(
  AVERAGE(
    FILTER(
      $AA$2:$AA162,
      $A$2:$A162 &gt;= A162 - 30,
      $A$2:$A162 &lt;= A162,
      $AA$2:$AA162 &gt; 0
    )
  ),
"""")"),8.32363038894414)</f>
        <v>8.3236303889441405</v>
      </c>
      <c r="AE162" s="14"/>
    </row>
    <row r="163" spans="1:31" x14ac:dyDescent="0.25">
      <c r="A163" s="9">
        <v>46062</v>
      </c>
      <c r="B163" s="10"/>
      <c r="C163" s="10">
        <v>3139</v>
      </c>
      <c r="D163" s="10">
        <v>89</v>
      </c>
      <c r="E163" s="11">
        <f t="shared" si="0"/>
        <v>2.8352978655622811</v>
      </c>
      <c r="F163" s="13">
        <v>6</v>
      </c>
      <c r="G163" s="14">
        <f t="shared" si="1"/>
        <v>3.1647021344377189</v>
      </c>
      <c r="H163" s="13">
        <f ca="1">IFERROR(__xludf.DUMMYFUNCTION("IFERROR(
  AVERAGE(
    FILTER(
      $E$2:$E163,
      $A$2:$A163&gt;=A163-30,
      $A$2:$A163&lt;=A163,
      $E$2:$E163&gt;0
    )
  ),
  """"
)"),4.68755253671975)</f>
        <v>4.6875525367197497</v>
      </c>
      <c r="I163" s="14"/>
      <c r="J163" s="10"/>
      <c r="K163" s="10">
        <v>5038</v>
      </c>
      <c r="L163" s="10">
        <v>339</v>
      </c>
      <c r="M163" s="11">
        <f t="shared" si="2"/>
        <v>6.7288606589916631</v>
      </c>
      <c r="N163" s="13">
        <v>8</v>
      </c>
      <c r="O163" s="14">
        <f t="shared" si="3"/>
        <v>1.2711393410083369</v>
      </c>
      <c r="P163" s="13"/>
      <c r="Q163" s="10"/>
      <c r="R163" s="10">
        <v>8894</v>
      </c>
      <c r="S163" s="10">
        <v>768</v>
      </c>
      <c r="T163" s="11">
        <f t="shared" si="4"/>
        <v>8.6350348549583984</v>
      </c>
      <c r="U163" s="13">
        <v>8</v>
      </c>
      <c r="V163" s="14">
        <f t="shared" si="5"/>
        <v>-0.6350348549583984</v>
      </c>
      <c r="W163" s="10"/>
      <c r="X163" s="10"/>
      <c r="Y163" s="10">
        <f t="shared" si="6"/>
        <v>13932</v>
      </c>
      <c r="Z163" s="10">
        <f t="shared" si="7"/>
        <v>1196</v>
      </c>
      <c r="AA163" s="11">
        <f t="shared" si="8"/>
        <v>8.584553545793856</v>
      </c>
      <c r="AB163" s="13">
        <v>8</v>
      </c>
      <c r="AC163" s="14">
        <f t="shared" si="9"/>
        <v>-0.58455354579385599</v>
      </c>
      <c r="AD163" s="13">
        <f ca="1">IFERROR(__xludf.DUMMYFUNCTION("IFERROR(
  AVERAGE(
    FILTER(
      $AA$2:$AA163,
      $A$2:$A163 &gt;= A163 - 30,
      $A$2:$A163 &lt;= A163,
      $AA$2:$AA163 &gt; 0
    )
  ),
"""")"),8.35419447542155)</f>
        <v>8.3541944754215507</v>
      </c>
      <c r="AE163" s="14"/>
    </row>
    <row r="164" spans="1:31" x14ac:dyDescent="0.25">
      <c r="A164" s="9">
        <v>46063</v>
      </c>
      <c r="B164" s="10"/>
      <c r="C164" s="10">
        <v>3492</v>
      </c>
      <c r="D164" s="10">
        <v>155</v>
      </c>
      <c r="E164" s="11">
        <f t="shared" si="0"/>
        <v>4.4387170675830472</v>
      </c>
      <c r="F164" s="13">
        <v>6</v>
      </c>
      <c r="G164" s="14">
        <f t="shared" si="1"/>
        <v>1.5612829324169528</v>
      </c>
      <c r="H164" s="13">
        <f ca="1">IFERROR(__xludf.DUMMYFUNCTION("IFERROR(
  AVERAGE(
    FILTER(
      $E$2:$E164,
      $A$2:$A164&gt;=A164-30,
      $A$2:$A164&lt;=A164,
      $E$2:$E164&gt;0
    )
  ),
  """"
)"),4.67759911795429)</f>
        <v>4.6775991179542897</v>
      </c>
      <c r="I164" s="14"/>
      <c r="J164" s="10"/>
      <c r="K164" s="10">
        <v>4142</v>
      </c>
      <c r="L164" s="10">
        <v>266</v>
      </c>
      <c r="M164" s="11">
        <f t="shared" si="2"/>
        <v>6.4220183486238538</v>
      </c>
      <c r="N164" s="13">
        <v>8</v>
      </c>
      <c r="O164" s="14">
        <f t="shared" si="3"/>
        <v>1.5779816513761462</v>
      </c>
      <c r="P164" s="13"/>
      <c r="Q164" s="10"/>
      <c r="R164" s="10">
        <v>5775</v>
      </c>
      <c r="S164" s="10">
        <v>470</v>
      </c>
      <c r="T164" s="11">
        <f t="shared" si="4"/>
        <v>8.1385281385281374</v>
      </c>
      <c r="U164" s="13">
        <v>8</v>
      </c>
      <c r="V164" s="14">
        <f t="shared" si="5"/>
        <v>-0.13852813852813739</v>
      </c>
      <c r="W164" s="10"/>
      <c r="X164" s="10"/>
      <c r="Y164" s="10">
        <f t="shared" si="6"/>
        <v>9917</v>
      </c>
      <c r="Z164" s="10">
        <f t="shared" si="7"/>
        <v>891</v>
      </c>
      <c r="AA164" s="11">
        <f t="shared" si="8"/>
        <v>8.9845719471614398</v>
      </c>
      <c r="AB164" s="13">
        <v>8</v>
      </c>
      <c r="AC164" s="14">
        <f t="shared" si="9"/>
        <v>-0.98457194716143981</v>
      </c>
      <c r="AD164" s="13">
        <f ca="1">IFERROR(__xludf.DUMMYFUNCTION("IFERROR(
  AVERAGE(
    FILTER(
      $AA$2:$AA164,
      $A$2:$A164 &gt;= A164 - 30,
      $A$2:$A164 &lt;= A164,
      $AA$2:$AA164 &gt; 0
    )
  ),
"""")"),8.32512748497387)</f>
        <v>8.3251274849738692</v>
      </c>
      <c r="AE164" s="14"/>
    </row>
    <row r="165" spans="1:31" x14ac:dyDescent="0.25">
      <c r="A165" s="9">
        <v>46064</v>
      </c>
      <c r="B165" s="10"/>
      <c r="C165" s="10">
        <v>3053</v>
      </c>
      <c r="D165" s="10">
        <v>119</v>
      </c>
      <c r="E165" s="11">
        <f t="shared" si="0"/>
        <v>3.8978054372748114</v>
      </c>
      <c r="F165" s="13">
        <v>6</v>
      </c>
      <c r="G165" s="14">
        <f t="shared" si="1"/>
        <v>2.1021945627251886</v>
      </c>
      <c r="H165" s="13">
        <f ca="1">IFERROR(__xludf.DUMMYFUNCTION("IFERROR(
  AVERAGE(
    FILTER(
      $E$2:$E165,
      $A$2:$A165&gt;=A165-30,
      $A$2:$A165&lt;=A165,
      $E$2:$E165&gt;0
    )
  ),
  """"
)"),4.64760705331277)</f>
        <v>4.64760705331277</v>
      </c>
      <c r="I165" s="14"/>
      <c r="J165" s="10"/>
      <c r="K165" s="10">
        <v>1760</v>
      </c>
      <c r="L165" s="10">
        <v>164</v>
      </c>
      <c r="M165" s="11">
        <f t="shared" si="2"/>
        <v>9.3181818181818183</v>
      </c>
      <c r="N165" s="13">
        <v>8</v>
      </c>
      <c r="O165" s="14">
        <f t="shared" si="3"/>
        <v>-1.3181818181818183</v>
      </c>
      <c r="P165" s="13"/>
      <c r="Q165" s="10"/>
      <c r="R165" s="10">
        <v>6101</v>
      </c>
      <c r="S165" s="10">
        <v>445</v>
      </c>
      <c r="T165" s="11">
        <f t="shared" si="4"/>
        <v>7.2938862481560394</v>
      </c>
      <c r="U165" s="13">
        <v>8</v>
      </c>
      <c r="V165" s="14">
        <f t="shared" si="5"/>
        <v>0.70611375184396064</v>
      </c>
      <c r="W165" s="10"/>
      <c r="X165" s="10"/>
      <c r="Y165" s="10">
        <f t="shared" si="6"/>
        <v>7861</v>
      </c>
      <c r="Z165" s="10">
        <f t="shared" si="7"/>
        <v>728</v>
      </c>
      <c r="AA165" s="11">
        <f t="shared" si="8"/>
        <v>9.2609082813891366</v>
      </c>
      <c r="AB165" s="13">
        <v>8</v>
      </c>
      <c r="AC165" s="14">
        <f t="shared" si="9"/>
        <v>-1.2609082813891366</v>
      </c>
      <c r="AD165" s="13">
        <f ca="1">IFERROR(__xludf.DUMMYFUNCTION("IFERROR(
  AVERAGE(
    FILTER(
      $AA$2:$AA165,
      $A$2:$A165 &gt;= A165 - 30,
      $A$2:$A165 &lt;= A165,
      $AA$2:$AA165 &gt; 0
    )
  ),
"""")"),8.44974298352076)</f>
        <v>8.4497429835207605</v>
      </c>
      <c r="AE165" s="14"/>
    </row>
    <row r="166" spans="1:31" x14ac:dyDescent="0.25">
      <c r="A166" s="9">
        <v>46065</v>
      </c>
      <c r="B166" s="10"/>
      <c r="C166" s="10">
        <v>2025</v>
      </c>
      <c r="D166" s="10">
        <v>75</v>
      </c>
      <c r="E166" s="11">
        <f t="shared" si="0"/>
        <v>3.7037037037037033</v>
      </c>
      <c r="F166" s="13">
        <v>6</v>
      </c>
      <c r="G166" s="14">
        <f t="shared" si="1"/>
        <v>2.2962962962962967</v>
      </c>
      <c r="H166" s="13">
        <f ca="1">IFERROR(__xludf.DUMMYFUNCTION("IFERROR(
  AVERAGE(
    FILTER(
      $E$2:$E166,
      $A$2:$A166&gt;=A166-30,
      $A$2:$A166&lt;=A166,
      $E$2:$E166&gt;0
    )
  ),
  """"
)"),4.60415975986547)</f>
        <v>4.6041597598654702</v>
      </c>
      <c r="I166" s="14"/>
      <c r="J166" s="10"/>
      <c r="K166" s="10">
        <v>9210</v>
      </c>
      <c r="L166" s="10">
        <v>485</v>
      </c>
      <c r="M166" s="11">
        <f t="shared" si="2"/>
        <v>5.2660152008686216</v>
      </c>
      <c r="N166" s="13">
        <v>8</v>
      </c>
      <c r="O166" s="14">
        <f t="shared" si="3"/>
        <v>2.7339847991313784</v>
      </c>
      <c r="P166" s="13"/>
      <c r="Q166" s="10"/>
      <c r="R166" s="10">
        <v>6834</v>
      </c>
      <c r="S166" s="10">
        <v>459</v>
      </c>
      <c r="T166" s="11">
        <f t="shared" si="4"/>
        <v>6.7164179104477615</v>
      </c>
      <c r="U166" s="13">
        <v>8</v>
      </c>
      <c r="V166" s="14">
        <f t="shared" si="5"/>
        <v>1.2835820895522385</v>
      </c>
      <c r="W166" s="10"/>
      <c r="X166" s="10"/>
      <c r="Y166" s="10">
        <f t="shared" si="6"/>
        <v>16044</v>
      </c>
      <c r="Z166" s="10">
        <f t="shared" si="7"/>
        <v>1019</v>
      </c>
      <c r="AA166" s="11">
        <f t="shared" si="8"/>
        <v>6.3512839690850154</v>
      </c>
      <c r="AB166" s="13">
        <v>8</v>
      </c>
      <c r="AC166" s="14">
        <f t="shared" si="9"/>
        <v>1.6487160309149846</v>
      </c>
      <c r="AD166" s="13">
        <f ca="1">IFERROR(__xludf.DUMMYFUNCTION("IFERROR(
  AVERAGE(
    FILTER(
      $AA$2:$AA166,
      $A$2:$A166 &gt;= A166 - 30,
      $A$2:$A166 &lt;= A166,
      $AA$2:$AA166 &gt; 0
    )
  ),
"""")"),8.32659054428771)</f>
        <v>8.3265905442877095</v>
      </c>
      <c r="AE166" s="14"/>
    </row>
    <row r="167" spans="1:31" x14ac:dyDescent="0.25">
      <c r="A167" s="9">
        <v>46066</v>
      </c>
      <c r="B167" s="10"/>
      <c r="C167" s="10">
        <v>1659</v>
      </c>
      <c r="D167" s="10">
        <v>55</v>
      </c>
      <c r="E167" s="11">
        <f t="shared" si="0"/>
        <v>3.3152501506931884</v>
      </c>
      <c r="F167" s="13">
        <v>6</v>
      </c>
      <c r="G167" s="14">
        <f t="shared" si="1"/>
        <v>2.6847498493068116</v>
      </c>
      <c r="H167" s="13">
        <f ca="1">IFERROR(__xludf.DUMMYFUNCTION("IFERROR(
  AVERAGE(
    FILTER(
      $E$2:$E167,
      $A$2:$A167&gt;=A167-30,
      $A$2:$A167&lt;=A167,
      $E$2:$E167&gt;0
    )
  ),
  """"
)"),4.63162491683967)</f>
        <v>4.6316249168396704</v>
      </c>
      <c r="I167" s="14"/>
      <c r="J167" s="10"/>
      <c r="K167" s="10">
        <v>6711</v>
      </c>
      <c r="L167" s="10">
        <v>519</v>
      </c>
      <c r="M167" s="11">
        <f t="shared" si="2"/>
        <v>7.7335717478766206</v>
      </c>
      <c r="N167" s="13">
        <v>8</v>
      </c>
      <c r="O167" s="14">
        <f t="shared" si="3"/>
        <v>0.26642825212337939</v>
      </c>
      <c r="P167" s="13"/>
      <c r="Q167" s="10"/>
      <c r="R167" s="10">
        <v>4712</v>
      </c>
      <c r="S167" s="10">
        <v>310</v>
      </c>
      <c r="T167" s="11">
        <f t="shared" si="4"/>
        <v>6.5789473684210522</v>
      </c>
      <c r="U167" s="13">
        <v>8</v>
      </c>
      <c r="V167" s="14">
        <f t="shared" si="5"/>
        <v>1.4210526315789478</v>
      </c>
      <c r="W167" s="10"/>
      <c r="X167" s="10"/>
      <c r="Y167" s="10">
        <f t="shared" si="6"/>
        <v>11423</v>
      </c>
      <c r="Z167" s="10">
        <f t="shared" si="7"/>
        <v>884</v>
      </c>
      <c r="AA167" s="11">
        <f t="shared" si="8"/>
        <v>7.7387726516676887</v>
      </c>
      <c r="AB167" s="13">
        <v>8</v>
      </c>
      <c r="AC167" s="14">
        <f t="shared" si="9"/>
        <v>0.26122734833231132</v>
      </c>
      <c r="AD167" s="13">
        <f ca="1">IFERROR(__xludf.DUMMYFUNCTION("IFERROR(
  AVERAGE(
    FILTER(
      $AA$2:$AA167,
      $A$2:$A167 &gt;= A167 - 30,
      $A$2:$A167 &lt;= A167,
      $AA$2:$AA167 &gt; 0
    )
  ),
"""")"),8.30840791988514)</f>
        <v>8.3084079198851395</v>
      </c>
      <c r="AE167" s="14"/>
    </row>
    <row r="168" spans="1:31" x14ac:dyDescent="0.25">
      <c r="A168" s="9">
        <v>46067</v>
      </c>
      <c r="B168" s="10"/>
      <c r="C168" s="10">
        <v>1578</v>
      </c>
      <c r="D168" s="10">
        <v>45</v>
      </c>
      <c r="E168" s="11">
        <f t="shared" si="0"/>
        <v>2.8517110266159698</v>
      </c>
      <c r="F168" s="13">
        <v>6</v>
      </c>
      <c r="G168" s="14">
        <f t="shared" si="1"/>
        <v>3.1482889733840302</v>
      </c>
      <c r="H168" s="13">
        <f ca="1">IFERROR(__xludf.DUMMYFUNCTION("IFERROR(
  AVERAGE(
    FILTER(
      $E$2:$E168,
      $A$2:$A168&gt;=A168-30,
      $A$2:$A168&lt;=A168,
      $E$2:$E168&gt;0
    )
  ),
  """"
)"),4.56350337762379)</f>
        <v>4.5635033776237899</v>
      </c>
      <c r="I168" s="14"/>
      <c r="J168" s="10"/>
      <c r="K168" s="10">
        <v>1540</v>
      </c>
      <c r="L168" s="10">
        <v>210</v>
      </c>
      <c r="M168" s="11">
        <f t="shared" si="2"/>
        <v>13.636363636363635</v>
      </c>
      <c r="N168" s="13">
        <v>8</v>
      </c>
      <c r="O168" s="14">
        <f t="shared" si="3"/>
        <v>-5.6363636363636349</v>
      </c>
      <c r="P168" s="13"/>
      <c r="Q168" s="10"/>
      <c r="R168" s="10">
        <v>10282</v>
      </c>
      <c r="S168" s="10">
        <v>740</v>
      </c>
      <c r="T168" s="11">
        <f t="shared" si="4"/>
        <v>7.1970433767749462</v>
      </c>
      <c r="U168" s="13">
        <v>8</v>
      </c>
      <c r="V168" s="14">
        <f t="shared" si="5"/>
        <v>0.80295662322505379</v>
      </c>
      <c r="W168" s="10"/>
      <c r="X168" s="10"/>
      <c r="Y168" s="10">
        <f t="shared" si="6"/>
        <v>11822</v>
      </c>
      <c r="Z168" s="10">
        <f t="shared" si="7"/>
        <v>995</v>
      </c>
      <c r="AA168" s="11">
        <f t="shared" si="8"/>
        <v>8.4165115885636954</v>
      </c>
      <c r="AB168" s="13">
        <v>8</v>
      </c>
      <c r="AC168" s="14">
        <f t="shared" si="9"/>
        <v>-0.41651158856369541</v>
      </c>
      <c r="AD168" s="13">
        <f ca="1">IFERROR(__xludf.DUMMYFUNCTION("IFERROR(
  AVERAGE(
    FILTER(
      $AA$2:$AA168,
      $A$2:$A168 &gt;= A168 - 30,
      $A$2:$A168 &lt;= A168,
      $AA$2:$AA168 &gt; 0
    )
  ),
"""")"),8.40238911567805)</f>
        <v>8.4023891156780497</v>
      </c>
      <c r="AE168" s="14"/>
    </row>
    <row r="169" spans="1:31" x14ac:dyDescent="0.25">
      <c r="A169" s="9">
        <v>46068</v>
      </c>
      <c r="B169" s="10"/>
      <c r="C169" s="10">
        <v>0</v>
      </c>
      <c r="D169" s="10">
        <v>0</v>
      </c>
      <c r="E169" s="11" t="e">
        <f t="shared" si="0"/>
        <v>#DIV/0!</v>
      </c>
      <c r="F169" s="13">
        <v>6</v>
      </c>
      <c r="G169" s="14" t="e">
        <f t="shared" si="1"/>
        <v>#DIV/0!</v>
      </c>
      <c r="H169" s="13">
        <f ca="1">IFERROR(__xludf.DUMMYFUNCTION("IFERROR(
  AVERAGE(
    FILTER(
      $E$2:$E169,
      $A$2:$A169&gt;=A169-30,
      $A$2:$A169&lt;=A169,
      $E$2:$E169&gt;0
    )
  ),
  """"
)"),4.57304220211275)</f>
        <v>4.5730422021127497</v>
      </c>
      <c r="I169" s="14"/>
      <c r="J169" s="10"/>
      <c r="K169" s="10">
        <v>0</v>
      </c>
      <c r="L169" s="10">
        <v>0</v>
      </c>
      <c r="M169" s="11" t="e">
        <f t="shared" si="2"/>
        <v>#DIV/0!</v>
      </c>
      <c r="N169" s="13">
        <v>8</v>
      </c>
      <c r="O169" s="14" t="e">
        <f t="shared" si="3"/>
        <v>#DIV/0!</v>
      </c>
      <c r="P169" s="13"/>
      <c r="Q169" s="10"/>
      <c r="R169" s="10">
        <v>1560</v>
      </c>
      <c r="S169" s="10">
        <v>102</v>
      </c>
      <c r="T169" s="11">
        <f t="shared" si="4"/>
        <v>6.5384615384615392</v>
      </c>
      <c r="U169" s="13">
        <v>8</v>
      </c>
      <c r="V169" s="14">
        <f t="shared" si="5"/>
        <v>1.4615384615384608</v>
      </c>
      <c r="W169" s="10"/>
      <c r="X169" s="10"/>
      <c r="Y169" s="10">
        <f t="shared" si="6"/>
        <v>1560</v>
      </c>
      <c r="Z169" s="10">
        <f t="shared" si="7"/>
        <v>102</v>
      </c>
      <c r="AA169" s="11">
        <f t="shared" si="8"/>
        <v>6.5384615384615392</v>
      </c>
      <c r="AB169" s="13">
        <v>8</v>
      </c>
      <c r="AC169" s="14">
        <f t="shared" si="9"/>
        <v>1.4615384615384608</v>
      </c>
      <c r="AD169" s="13">
        <f ca="1">IFERROR(__xludf.DUMMYFUNCTION("IFERROR(
  AVERAGE(
    FILTER(
      $AA$2:$AA169,
      $A$2:$A169 &gt;= A169 - 30,
      $A$2:$A169 &lt;= A169,
      $AA$2:$AA169 &gt; 0
    )
  ),
"""")"),8.3488235860081)</f>
        <v>8.3488235860081002</v>
      </c>
      <c r="AE169" s="14"/>
    </row>
    <row r="170" spans="1:31" x14ac:dyDescent="0.25">
      <c r="A170" s="9">
        <v>46069</v>
      </c>
      <c r="B170" s="10"/>
      <c r="C170" s="10">
        <v>2313</v>
      </c>
      <c r="D170" s="10">
        <v>72</v>
      </c>
      <c r="E170" s="11">
        <f t="shared" si="0"/>
        <v>3.1128404669260701</v>
      </c>
      <c r="F170" s="13">
        <v>6</v>
      </c>
      <c r="G170" s="14">
        <f t="shared" si="1"/>
        <v>2.8871595330739299</v>
      </c>
      <c r="H170" s="13">
        <f ca="1">IFERROR(__xludf.DUMMYFUNCTION("IFERROR(
  AVERAGE(
    FILTER(
      $E$2:$E170,
      $A$2:$A170&gt;=A170-30,
      $A$2:$A170&lt;=A170,
      $E$2:$E170&gt;0
    )
  ),
  """"
)"),4.49070558573271)</f>
        <v>4.4907055857327096</v>
      </c>
      <c r="I170" s="14"/>
      <c r="J170" s="10"/>
      <c r="K170" s="10">
        <v>3100</v>
      </c>
      <c r="L170" s="10">
        <v>329</v>
      </c>
      <c r="M170" s="11">
        <f t="shared" si="2"/>
        <v>10.612903225806452</v>
      </c>
      <c r="N170" s="13">
        <v>8</v>
      </c>
      <c r="O170" s="14">
        <f t="shared" si="3"/>
        <v>-2.612903225806452</v>
      </c>
      <c r="P170" s="13"/>
      <c r="Q170" s="10"/>
      <c r="R170" s="10">
        <v>9725</v>
      </c>
      <c r="S170" s="10">
        <v>446</v>
      </c>
      <c r="T170" s="11">
        <f t="shared" si="4"/>
        <v>4.5861182519280206</v>
      </c>
      <c r="U170" s="13">
        <v>8</v>
      </c>
      <c r="V170" s="14">
        <f t="shared" si="5"/>
        <v>3.4138817480719794</v>
      </c>
      <c r="W170" s="10"/>
      <c r="X170" s="10"/>
      <c r="Y170" s="10">
        <f t="shared" si="6"/>
        <v>12825</v>
      </c>
      <c r="Z170" s="10">
        <f t="shared" si="7"/>
        <v>847</v>
      </c>
      <c r="AA170" s="11">
        <f t="shared" si="8"/>
        <v>6.6042884990253414</v>
      </c>
      <c r="AB170" s="13">
        <v>8</v>
      </c>
      <c r="AC170" s="14">
        <f t="shared" si="9"/>
        <v>1.3957115009746586</v>
      </c>
      <c r="AD170" s="13">
        <f ca="1">IFERROR(__xludf.DUMMYFUNCTION("IFERROR(
  AVERAGE(
    FILTER(
      $AA$2:$AA170,
      $A$2:$A170 &gt;= A170 - 30,
      $A$2:$A170 &lt;= A170,
      $AA$2:$AA170 &gt; 0
    )
  ),
"""")"),8.30898565837538)</f>
        <v>8.3089856583753807</v>
      </c>
      <c r="AE170" s="14"/>
    </row>
    <row r="171" spans="1:31" x14ac:dyDescent="0.25">
      <c r="A171" s="9">
        <v>46070</v>
      </c>
      <c r="B171" s="10"/>
      <c r="C171" s="10">
        <v>2708</v>
      </c>
      <c r="D171" s="10">
        <v>67</v>
      </c>
      <c r="E171" s="11">
        <f t="shared" si="0"/>
        <v>2.4741506646971936</v>
      </c>
      <c r="F171" s="13">
        <v>6</v>
      </c>
      <c r="G171" s="14">
        <f t="shared" si="1"/>
        <v>3.5258493353028064</v>
      </c>
      <c r="H171" s="13">
        <f ca="1">IFERROR(__xludf.DUMMYFUNCTION("IFERROR(
  AVERAGE(
    FILTER(
      $E$2:$E171,
      $A$2:$A171&gt;=A171-30,
      $A$2:$A171&lt;=A171,
      $E$2:$E171&gt;0
    )
  ),
  """"
)"),4.39153380971352)</f>
        <v>4.3915338097135201</v>
      </c>
      <c r="I171" s="14"/>
      <c r="J171" s="10"/>
      <c r="K171" s="10">
        <v>2092</v>
      </c>
      <c r="L171" s="10">
        <v>125</v>
      </c>
      <c r="M171" s="11">
        <f t="shared" si="2"/>
        <v>5.9751434034416819</v>
      </c>
      <c r="N171" s="13">
        <v>8</v>
      </c>
      <c r="O171" s="14">
        <f t="shared" si="3"/>
        <v>2.0248565965583181</v>
      </c>
      <c r="P171" s="13"/>
      <c r="Q171" s="10"/>
      <c r="R171" s="10">
        <v>3978</v>
      </c>
      <c r="S171" s="10">
        <v>432</v>
      </c>
      <c r="T171" s="11">
        <f t="shared" si="4"/>
        <v>10.859728506787331</v>
      </c>
      <c r="U171" s="13">
        <v>8</v>
      </c>
      <c r="V171" s="14">
        <f t="shared" si="5"/>
        <v>-2.8597285067873308</v>
      </c>
      <c r="W171" s="10"/>
      <c r="X171" s="10"/>
      <c r="Y171" s="10">
        <f t="shared" si="6"/>
        <v>6070</v>
      </c>
      <c r="Z171" s="10">
        <f t="shared" si="7"/>
        <v>624</v>
      </c>
      <c r="AA171" s="11">
        <f t="shared" si="8"/>
        <v>10.28006589785832</v>
      </c>
      <c r="AB171" s="13">
        <v>8</v>
      </c>
      <c r="AC171" s="14">
        <f t="shared" si="9"/>
        <v>-2.2800658978583197</v>
      </c>
      <c r="AD171" s="13">
        <f ca="1">IFERROR(__xludf.DUMMYFUNCTION("IFERROR(
  AVERAGE(
    FILTER(
      $AA$2:$AA171,
      $A$2:$A171 &gt;= A171 - 30,
      $A$2:$A171 &lt;= A171,
      $AA$2:$AA171 &gt; 0
    )
  ),
"""")"),8.37789120569275)</f>
        <v>8.3778912056927499</v>
      </c>
      <c r="AE171" s="14"/>
    </row>
    <row r="172" spans="1:31" x14ac:dyDescent="0.25">
      <c r="A172" s="9">
        <v>46071</v>
      </c>
      <c r="B172" s="10"/>
      <c r="C172" s="10">
        <v>2892</v>
      </c>
      <c r="D172" s="10">
        <v>163</v>
      </c>
      <c r="E172" s="11">
        <f t="shared" si="0"/>
        <v>5.6362378976486864</v>
      </c>
      <c r="F172" s="13">
        <v>6</v>
      </c>
      <c r="G172" s="14">
        <f t="shared" si="1"/>
        <v>0.36376210235131357</v>
      </c>
      <c r="H172" s="13">
        <f ca="1">IFERROR(__xludf.DUMMYFUNCTION("IFERROR(
  AVERAGE(
    FILTER(
      $E$2:$E172,
      $A$2:$A172&gt;=A172-30,
      $A$2:$A172&lt;=A172,
      $E$2:$E172&gt;0
    )
  ),
  """"
)"),4.43940704386488)</f>
        <v>4.4394070438648798</v>
      </c>
      <c r="I172" s="14"/>
      <c r="J172" s="10"/>
      <c r="K172" s="10">
        <v>2531</v>
      </c>
      <c r="L172" s="10">
        <v>308</v>
      </c>
      <c r="M172" s="11">
        <f t="shared" si="2"/>
        <v>12.169103121295931</v>
      </c>
      <c r="N172" s="13">
        <v>8</v>
      </c>
      <c r="O172" s="14">
        <f t="shared" si="3"/>
        <v>-4.1691031212959313</v>
      </c>
      <c r="P172" s="13"/>
      <c r="Q172" s="10"/>
      <c r="R172" s="10">
        <v>9817</v>
      </c>
      <c r="S172" s="10">
        <v>519</v>
      </c>
      <c r="T172" s="11">
        <f t="shared" si="4"/>
        <v>5.2867474788631963</v>
      </c>
      <c r="U172" s="13">
        <v>8</v>
      </c>
      <c r="V172" s="14">
        <f t="shared" si="5"/>
        <v>2.7132525211368037</v>
      </c>
      <c r="W172" s="10"/>
      <c r="X172" s="10"/>
      <c r="Y172" s="10">
        <f t="shared" si="6"/>
        <v>12348</v>
      </c>
      <c r="Z172" s="10">
        <f t="shared" si="7"/>
        <v>990</v>
      </c>
      <c r="AA172" s="11">
        <f t="shared" si="8"/>
        <v>8.017492711370263</v>
      </c>
      <c r="AB172" s="13">
        <v>8</v>
      </c>
      <c r="AC172" s="14">
        <f t="shared" si="9"/>
        <v>-1.7492711370262981E-2</v>
      </c>
      <c r="AD172" s="13">
        <f ca="1">IFERROR(__xludf.DUMMYFUNCTION("IFERROR(
  AVERAGE(
    FILTER(
      $AA$2:$AA172,
      $A$2:$A172 &gt;= A172 - 30,
      $A$2:$A172 &lt;= A172,
      $AA$2:$AA172 &gt; 0
    )
  ),
"""")"),8.4453700557191)</f>
        <v>8.4453700557190992</v>
      </c>
      <c r="AE172" s="14"/>
    </row>
    <row r="173" spans="1:31" x14ac:dyDescent="0.25">
      <c r="A173" s="9">
        <v>46072</v>
      </c>
      <c r="B173" s="10"/>
      <c r="C173" s="10">
        <v>2403</v>
      </c>
      <c r="D173" s="10">
        <v>115</v>
      </c>
      <c r="E173" s="11">
        <f t="shared" si="0"/>
        <v>4.7856845609654597</v>
      </c>
      <c r="F173" s="13">
        <v>6</v>
      </c>
      <c r="G173" s="14">
        <f t="shared" si="1"/>
        <v>1.2143154390345403</v>
      </c>
      <c r="H173" s="13">
        <f ca="1">IFERROR(__xludf.DUMMYFUNCTION("IFERROR(
  AVERAGE(
    FILTER(
      $E$2:$E173,
      $A$2:$A173&gt;=A173-30,
      $A$2:$A173&lt;=A173,
      $E$2:$E173&gt;0
    )
  ),
  """"
)"),4.51993459521167)</f>
        <v>4.5199345952116703</v>
      </c>
      <c r="I173" s="14"/>
      <c r="J173" s="10"/>
      <c r="K173" s="10">
        <v>7280</v>
      </c>
      <c r="L173" s="10">
        <v>585</v>
      </c>
      <c r="M173" s="11">
        <f t="shared" si="2"/>
        <v>8.0357142857142865</v>
      </c>
      <c r="N173" s="13">
        <v>8</v>
      </c>
      <c r="O173" s="14">
        <f t="shared" si="3"/>
        <v>-3.5714285714286476E-2</v>
      </c>
      <c r="P173" s="13"/>
      <c r="Q173" s="10"/>
      <c r="R173" s="10">
        <v>11519</v>
      </c>
      <c r="S173" s="10">
        <v>644</v>
      </c>
      <c r="T173" s="11">
        <f t="shared" si="4"/>
        <v>5.5907630870735314</v>
      </c>
      <c r="U173" s="13">
        <v>8</v>
      </c>
      <c r="V173" s="14">
        <f t="shared" si="5"/>
        <v>2.4092369129264686</v>
      </c>
      <c r="W173" s="10"/>
      <c r="X173" s="10"/>
      <c r="Y173" s="10">
        <f t="shared" si="6"/>
        <v>18799</v>
      </c>
      <c r="Z173" s="10">
        <f t="shared" si="7"/>
        <v>1344</v>
      </c>
      <c r="AA173" s="11">
        <f t="shared" si="8"/>
        <v>7.1493164530028199</v>
      </c>
      <c r="AB173" s="13">
        <v>8</v>
      </c>
      <c r="AC173" s="14">
        <f t="shared" si="9"/>
        <v>0.85068354699718007</v>
      </c>
      <c r="AD173" s="13">
        <f ca="1">IFERROR(__xludf.DUMMYFUNCTION("IFERROR(
  AVERAGE(
    FILTER(
      $AA$2:$AA173,
      $A$2:$A173 &gt;= A173 - 30,
      $A$2:$A173 &lt;= A173,
      $AA$2:$AA173 &gt; 0
    )
  ),
"""")"),8.43645194913016)</f>
        <v>8.4364519491301593</v>
      </c>
      <c r="AE173" s="14"/>
    </row>
    <row r="174" spans="1:31" x14ac:dyDescent="0.25">
      <c r="A174" s="9">
        <v>46073</v>
      </c>
      <c r="B174" s="10"/>
      <c r="C174" s="10">
        <v>2363</v>
      </c>
      <c r="D174" s="10">
        <v>33</v>
      </c>
      <c r="E174" s="11">
        <f t="shared" si="0"/>
        <v>1.3965298349555648</v>
      </c>
      <c r="F174" s="13">
        <v>6</v>
      </c>
      <c r="G174" s="14">
        <f t="shared" si="1"/>
        <v>4.6034701650444347</v>
      </c>
      <c r="H174" s="13">
        <f ca="1">IFERROR(__xludf.DUMMYFUNCTION("IFERROR(
  AVERAGE(
    FILTER(
      $E$2:$E174,
      $A$2:$A174&gt;=A174-30,
      $A$2:$A174&lt;=A174,
      $E$2:$E174&gt;0
    )
  ),
  """"
)"),4.40553181454857)</f>
        <v>4.4055318145485698</v>
      </c>
      <c r="I174" s="14"/>
      <c r="J174" s="10"/>
      <c r="K174" s="10">
        <v>7880</v>
      </c>
      <c r="L174" s="10">
        <v>620</v>
      </c>
      <c r="M174" s="11">
        <f t="shared" si="2"/>
        <v>7.8680203045685282</v>
      </c>
      <c r="N174" s="13">
        <v>8</v>
      </c>
      <c r="O174" s="14">
        <f t="shared" si="3"/>
        <v>0.13197969543147181</v>
      </c>
      <c r="P174" s="13"/>
      <c r="Q174" s="10"/>
      <c r="R174" s="10">
        <v>11533</v>
      </c>
      <c r="S174" s="10">
        <v>825</v>
      </c>
      <c r="T174" s="11">
        <f t="shared" si="4"/>
        <v>7.1533859360097107</v>
      </c>
      <c r="U174" s="13">
        <v>8</v>
      </c>
      <c r="V174" s="14">
        <f t="shared" si="5"/>
        <v>0.84661406399028927</v>
      </c>
      <c r="W174" s="10"/>
      <c r="X174" s="10"/>
      <c r="Y174" s="10">
        <f t="shared" si="6"/>
        <v>19413</v>
      </c>
      <c r="Z174" s="10">
        <f t="shared" si="7"/>
        <v>1478</v>
      </c>
      <c r="AA174" s="11">
        <f t="shared" si="8"/>
        <v>7.6134549013547614</v>
      </c>
      <c r="AB174" s="13">
        <v>8</v>
      </c>
      <c r="AC174" s="14">
        <f t="shared" si="9"/>
        <v>0.38654509864523856</v>
      </c>
      <c r="AD174" s="13">
        <f ca="1">IFERROR(__xludf.DUMMYFUNCTION("IFERROR(
  AVERAGE(
    FILTER(
      $AA$2:$AA174,
      $A$2:$A174 &gt;= A174 - 30,
      $A$2:$A174 &lt;= A174,
      $AA$2:$AA174 &gt; 0
    )
  ),
"""")"),8.41522209433202)</f>
        <v>8.4152220943320195</v>
      </c>
      <c r="AE174" s="14"/>
    </row>
    <row r="175" spans="1:31" x14ac:dyDescent="0.25">
      <c r="A175" s="9">
        <v>46074</v>
      </c>
      <c r="B175" s="10"/>
      <c r="C175" s="10">
        <v>2004</v>
      </c>
      <c r="D175" s="10">
        <v>79</v>
      </c>
      <c r="E175" s="11">
        <f t="shared" si="0"/>
        <v>3.9421157684630739</v>
      </c>
      <c r="F175" s="13">
        <v>6</v>
      </c>
      <c r="G175" s="14">
        <f t="shared" si="1"/>
        <v>2.0578842315369261</v>
      </c>
      <c r="H175" s="13">
        <f ca="1">IFERROR(__xludf.DUMMYFUNCTION("IFERROR(
  AVERAGE(
    FILTER(
      $E$2:$E175,
      $A$2:$A175&gt;=A175-30,
      $A$2:$A175&lt;=A175,
      $E$2:$E175&gt;0
    )
  ),
  """"
)"),4.41292088256638)</f>
        <v>4.4129208825663797</v>
      </c>
      <c r="I175" s="14"/>
      <c r="J175" s="10"/>
      <c r="K175" s="10">
        <v>3560</v>
      </c>
      <c r="L175" s="10">
        <v>289</v>
      </c>
      <c r="M175" s="11">
        <f t="shared" si="2"/>
        <v>8.117977528089888</v>
      </c>
      <c r="N175" s="13">
        <v>8</v>
      </c>
      <c r="O175" s="14">
        <f t="shared" si="3"/>
        <v>-0.11797752808988804</v>
      </c>
      <c r="P175" s="13"/>
      <c r="Q175" s="10"/>
      <c r="R175" s="10">
        <v>8329</v>
      </c>
      <c r="S175" s="10">
        <v>585</v>
      </c>
      <c r="T175" s="11">
        <f t="shared" si="4"/>
        <v>7.0236522991955823</v>
      </c>
      <c r="U175" s="13">
        <v>8</v>
      </c>
      <c r="V175" s="14">
        <f t="shared" si="5"/>
        <v>0.97634770080441768</v>
      </c>
      <c r="W175" s="10"/>
      <c r="X175" s="10"/>
      <c r="Y175" s="10">
        <f t="shared" si="6"/>
        <v>11889</v>
      </c>
      <c r="Z175" s="10">
        <f t="shared" si="7"/>
        <v>953</v>
      </c>
      <c r="AA175" s="11">
        <f t="shared" si="8"/>
        <v>8.0158129363276966</v>
      </c>
      <c r="AB175" s="13">
        <v>8</v>
      </c>
      <c r="AC175" s="14">
        <f t="shared" si="9"/>
        <v>-1.5812936327696647E-2</v>
      </c>
      <c r="AD175" s="13">
        <f ca="1">IFERROR(__xludf.DUMMYFUNCTION("IFERROR(
  AVERAGE(
    FILTER(
      $AA$2:$AA175,
      $A$2:$A175 &gt;= A175 - 30,
      $A$2:$A175 &lt;= A175,
      $AA$2:$AA175 &gt; 0
    )
  ),
"""")"),8.43423443778114)</f>
        <v>8.4342344377811393</v>
      </c>
      <c r="AE175" s="14"/>
    </row>
    <row r="176" spans="1:31" x14ac:dyDescent="0.25">
      <c r="A176" s="9">
        <v>46075</v>
      </c>
      <c r="B176" s="10"/>
      <c r="C176" s="10">
        <v>0</v>
      </c>
      <c r="D176" s="10">
        <v>0</v>
      </c>
      <c r="E176" s="11" t="e">
        <f t="shared" si="0"/>
        <v>#DIV/0!</v>
      </c>
      <c r="F176" s="13">
        <v>6</v>
      </c>
      <c r="G176" s="14" t="e">
        <f t="shared" si="1"/>
        <v>#DIV/0!</v>
      </c>
      <c r="H176" s="13">
        <f ca="1">IFERROR(__xludf.DUMMYFUNCTION("IFERROR(
  AVERAGE(
    FILTER(
      $E$2:$E176,
      $A$2:$A176&gt;=A176-30,
      $A$2:$A176&lt;=A176,
      $E$2:$E176&gt;0
    )
  ),
  """"
)"),4.41315566658698)</f>
        <v>4.41315566658698</v>
      </c>
      <c r="I176" s="14"/>
      <c r="J176" s="10"/>
      <c r="K176" s="10">
        <v>0</v>
      </c>
      <c r="L176" s="10">
        <v>0</v>
      </c>
      <c r="M176" s="11" t="e">
        <f t="shared" si="2"/>
        <v>#DIV/0!</v>
      </c>
      <c r="N176" s="13">
        <v>8</v>
      </c>
      <c r="O176" s="14" t="e">
        <f t="shared" si="3"/>
        <v>#DIV/0!</v>
      </c>
      <c r="P176" s="13"/>
      <c r="Q176" s="10"/>
      <c r="R176" s="10">
        <v>7328</v>
      </c>
      <c r="S176" s="10">
        <v>481</v>
      </c>
      <c r="T176" s="11">
        <f t="shared" si="4"/>
        <v>6.5638646288209603</v>
      </c>
      <c r="U176" s="13">
        <v>8</v>
      </c>
      <c r="V176" s="14">
        <f t="shared" si="5"/>
        <v>1.4361353711790397</v>
      </c>
      <c r="W176" s="10"/>
      <c r="X176" s="10"/>
      <c r="Y176" s="10">
        <f t="shared" si="6"/>
        <v>7328</v>
      </c>
      <c r="Z176" s="10">
        <f t="shared" si="7"/>
        <v>481</v>
      </c>
      <c r="AA176" s="11">
        <f t="shared" si="8"/>
        <v>6.5638646288209603</v>
      </c>
      <c r="AB176" s="13">
        <v>8</v>
      </c>
      <c r="AC176" s="14">
        <f t="shared" si="9"/>
        <v>1.4361353711790397</v>
      </c>
      <c r="AD176" s="13">
        <f ca="1">IFERROR(__xludf.DUMMYFUNCTION("IFERROR(
  AVERAGE(
    FILTER(
      $AA$2:$AA176,
      $A$2:$A176 &gt;= A176 - 30,
      $A$2:$A176 &lt;= A176,
      $AA$2:$AA176 &gt; 0
    )
  ),
"""")"),8.24281346175602)</f>
        <v>8.24281346175602</v>
      </c>
      <c r="AE176" s="14"/>
    </row>
    <row r="177" spans="1:31" x14ac:dyDescent="0.25">
      <c r="A177" s="9">
        <v>46076</v>
      </c>
      <c r="B177" s="10"/>
      <c r="C177" s="10">
        <v>2696</v>
      </c>
      <c r="D177" s="10">
        <v>83</v>
      </c>
      <c r="E177" s="11">
        <f t="shared" si="0"/>
        <v>3.0786350148367956</v>
      </c>
      <c r="F177" s="13">
        <v>6</v>
      </c>
      <c r="G177" s="14">
        <f t="shared" si="1"/>
        <v>2.9213649851632044</v>
      </c>
      <c r="H177" s="13">
        <f ca="1">IFERROR(__xludf.DUMMYFUNCTION("IFERROR(
  AVERAGE(
    FILTER(
      $E$2:$E177,
      $A$2:$A177&gt;=A177-30,
      $A$2:$A177&lt;=A177,
      $E$2:$E177&gt;0
    )
  ),
  """"
)"),4.31130106718046)</f>
        <v>4.3113010671804597</v>
      </c>
      <c r="I177" s="14"/>
      <c r="J177" s="10"/>
      <c r="K177" s="10">
        <v>7152</v>
      </c>
      <c r="L177" s="10">
        <v>500</v>
      </c>
      <c r="M177" s="11">
        <f t="shared" si="2"/>
        <v>6.9910514541387023</v>
      </c>
      <c r="N177" s="13">
        <v>8</v>
      </c>
      <c r="O177" s="14">
        <f t="shared" si="3"/>
        <v>1.0089485458612977</v>
      </c>
      <c r="P177" s="13"/>
      <c r="Q177" s="10"/>
      <c r="R177" s="10">
        <v>10750</v>
      </c>
      <c r="S177" s="10">
        <v>1053</v>
      </c>
      <c r="T177" s="11">
        <f t="shared" si="4"/>
        <v>9.7953488372093034</v>
      </c>
      <c r="U177" s="13">
        <v>8</v>
      </c>
      <c r="V177" s="14">
        <f t="shared" si="5"/>
        <v>-1.7953488372093034</v>
      </c>
      <c r="W177" s="10"/>
      <c r="X177" s="10"/>
      <c r="Y177" s="10">
        <f t="shared" si="6"/>
        <v>17902</v>
      </c>
      <c r="Z177" s="10">
        <f t="shared" si="7"/>
        <v>1636</v>
      </c>
      <c r="AA177" s="11">
        <f t="shared" si="8"/>
        <v>9.1386437269578824</v>
      </c>
      <c r="AB177" s="13">
        <v>8</v>
      </c>
      <c r="AC177" s="14">
        <f t="shared" si="9"/>
        <v>-1.1386437269578824</v>
      </c>
      <c r="AD177" s="13">
        <f ca="1">IFERROR(__xludf.DUMMYFUNCTION("IFERROR(
  AVERAGE(
    FILTER(
      $AA$2:$AA177,
      $A$2:$A177 &gt;= A177 - 30,
      $A$2:$A177 &lt;= A177,
      $AA$2:$AA177 &gt; 0
    )
  ),
"""")"),8.25299880230061)</f>
        <v>8.2529988023006098</v>
      </c>
      <c r="AE177" s="14"/>
    </row>
    <row r="178" spans="1:31" x14ac:dyDescent="0.25">
      <c r="A178" s="9">
        <v>46077</v>
      </c>
      <c r="B178" s="10"/>
      <c r="C178" s="10">
        <v>1554</v>
      </c>
      <c r="D178" s="10">
        <v>41</v>
      </c>
      <c r="E178" s="11">
        <f t="shared" si="0"/>
        <v>2.6383526383526386</v>
      </c>
      <c r="F178" s="13">
        <v>6</v>
      </c>
      <c r="G178" s="14">
        <f t="shared" si="1"/>
        <v>3.3616473616473614</v>
      </c>
      <c r="H178" s="13">
        <f ca="1">IFERROR(__xludf.DUMMYFUNCTION("IFERROR(
  AVERAGE(
    FILTER(
      $E$2:$E178,
      $A$2:$A178&gt;=A178-30,
      $A$2:$A178&lt;=A178,
      $E$2:$E178&gt;0
    )
  ),
  """"
)"),4.25369093838012)</f>
        <v>4.25369093838012</v>
      </c>
      <c r="I178" s="14"/>
      <c r="J178" s="10"/>
      <c r="K178" s="10">
        <v>10092</v>
      </c>
      <c r="L178" s="10">
        <v>599</v>
      </c>
      <c r="M178" s="11">
        <f t="shared" si="2"/>
        <v>5.9353943717796271</v>
      </c>
      <c r="N178" s="13">
        <v>8</v>
      </c>
      <c r="O178" s="14">
        <f t="shared" si="3"/>
        <v>2.0646056282203729</v>
      </c>
      <c r="P178" s="13"/>
      <c r="Q178" s="10"/>
      <c r="R178" s="10">
        <v>10669</v>
      </c>
      <c r="S178" s="10">
        <v>861</v>
      </c>
      <c r="T178" s="11">
        <f t="shared" si="4"/>
        <v>8.0701096635111078</v>
      </c>
      <c r="U178" s="13">
        <v>8</v>
      </c>
      <c r="V178" s="14">
        <f t="shared" si="5"/>
        <v>-7.0109663511107811E-2</v>
      </c>
      <c r="W178" s="10"/>
      <c r="X178" s="10"/>
      <c r="Y178" s="10">
        <f t="shared" si="6"/>
        <v>20761</v>
      </c>
      <c r="Z178" s="10">
        <f t="shared" si="7"/>
        <v>1501</v>
      </c>
      <c r="AA178" s="11">
        <f t="shared" si="8"/>
        <v>7.2299022205096097</v>
      </c>
      <c r="AB178" s="13">
        <v>8</v>
      </c>
      <c r="AC178" s="14">
        <f t="shared" si="9"/>
        <v>0.77009777949039027</v>
      </c>
      <c r="AD178" s="13">
        <f ca="1">IFERROR(__xludf.DUMMYFUNCTION("IFERROR(
  AVERAGE(
    FILTER(
      $AA$2:$AA178,
      $A$2:$A178 &gt;= A178 - 30,
      $A$2:$A178 &lt;= A178,
      $AA$2:$AA178 &gt; 0
    )
  ),
"""")"),8.25531564890803)</f>
        <v>8.2553156489080308</v>
      </c>
      <c r="AE178" s="14"/>
    </row>
    <row r="179" spans="1:31" x14ac:dyDescent="0.25">
      <c r="A179" s="9">
        <v>46078</v>
      </c>
      <c r="B179" s="10"/>
      <c r="C179" s="10">
        <v>1310</v>
      </c>
      <c r="D179" s="10">
        <v>57</v>
      </c>
      <c r="E179" s="11">
        <f t="shared" si="0"/>
        <v>4.3511450381679388</v>
      </c>
      <c r="F179" s="13">
        <v>6</v>
      </c>
      <c r="G179" s="14">
        <f t="shared" si="1"/>
        <v>1.6488549618320612</v>
      </c>
      <c r="H179" s="13">
        <f ca="1">IFERROR(__xludf.DUMMYFUNCTION("IFERROR(
  AVERAGE(
    FILTER(
      $E$2:$E179,
      $A$2:$A179&gt;=A179-30,
      $A$2:$A179&lt;=A179,
      $E$2:$E179&gt;0
    )
  ),
  """"
)"),4.25743917298734)</f>
        <v>4.2574391729873398</v>
      </c>
      <c r="I179" s="14"/>
      <c r="J179" s="10"/>
      <c r="K179" s="10">
        <v>7345</v>
      </c>
      <c r="L179" s="10">
        <v>608</v>
      </c>
      <c r="M179" s="11">
        <f t="shared" si="2"/>
        <v>8.2777399591558893</v>
      </c>
      <c r="N179" s="13">
        <v>8</v>
      </c>
      <c r="O179" s="14">
        <f t="shared" si="3"/>
        <v>-0.27773995915588934</v>
      </c>
      <c r="P179" s="13"/>
      <c r="Q179" s="10"/>
      <c r="R179" s="10">
        <v>8249</v>
      </c>
      <c r="S179" s="10">
        <v>640</v>
      </c>
      <c r="T179" s="11">
        <f t="shared" si="4"/>
        <v>7.7585161837798529</v>
      </c>
      <c r="U179" s="13">
        <v>8</v>
      </c>
      <c r="V179" s="14">
        <f t="shared" si="5"/>
        <v>0.24148381622014714</v>
      </c>
      <c r="W179" s="10"/>
      <c r="X179" s="10"/>
      <c r="Y179" s="10">
        <f t="shared" si="6"/>
        <v>15594</v>
      </c>
      <c r="Z179" s="10">
        <f t="shared" si="7"/>
        <v>1305</v>
      </c>
      <c r="AA179" s="11">
        <f t="shared" si="8"/>
        <v>8.3686033089649872</v>
      </c>
      <c r="AB179" s="13">
        <v>8</v>
      </c>
      <c r="AC179" s="14">
        <f t="shared" si="9"/>
        <v>-0.36860330896498716</v>
      </c>
      <c r="AD179" s="13">
        <f ca="1">IFERROR(__xludf.DUMMYFUNCTION("IFERROR(
  AVERAGE(
    FILTER(
      $AA$2:$AA179,
      $A$2:$A179 &gt;= A179 - 30,
      $A$2:$A179 &lt;= A179,
      $AA$2:$AA179 &gt; 0
    )
  ),
"""")"),8.29022190649026)</f>
        <v>8.2902219064902596</v>
      </c>
      <c r="AE179" s="14"/>
    </row>
    <row r="180" spans="1:31" x14ac:dyDescent="0.25">
      <c r="A180" s="9">
        <v>46079</v>
      </c>
      <c r="B180" s="10"/>
      <c r="C180" s="10">
        <v>1879</v>
      </c>
      <c r="D180" s="10">
        <v>70</v>
      </c>
      <c r="E180" s="11">
        <f t="shared" si="0"/>
        <v>3.7253858435337945</v>
      </c>
      <c r="F180" s="13">
        <v>6</v>
      </c>
      <c r="G180" s="14">
        <f t="shared" si="1"/>
        <v>2.2746141564662055</v>
      </c>
      <c r="H180" s="13">
        <f ca="1">IFERROR(__xludf.DUMMYFUNCTION("IFERROR(
  AVERAGE(
    FILTER(
      $E$2:$E180,
      $A$2:$A180&gt;=A180-30,
      $A$2:$A180&lt;=A180,
      $E$2:$E180&gt;0
    )
  ),
  """"
)"),4.23773349411869)</f>
        <v>4.2377334941186904</v>
      </c>
      <c r="I180" s="14"/>
      <c r="J180" s="10"/>
      <c r="K180" s="10">
        <v>6804</v>
      </c>
      <c r="L180" s="10">
        <v>445</v>
      </c>
      <c r="M180" s="11">
        <f t="shared" si="2"/>
        <v>6.5402704291593183</v>
      </c>
      <c r="N180" s="13">
        <v>8</v>
      </c>
      <c r="O180" s="14">
        <f t="shared" si="3"/>
        <v>1.4597295708406817</v>
      </c>
      <c r="P180" s="13"/>
      <c r="Q180" s="10"/>
      <c r="R180" s="10">
        <v>10495</v>
      </c>
      <c r="S180" s="10">
        <v>669</v>
      </c>
      <c r="T180" s="11">
        <f t="shared" si="4"/>
        <v>6.3744640304907101</v>
      </c>
      <c r="U180" s="13">
        <v>8</v>
      </c>
      <c r="V180" s="14">
        <f t="shared" si="5"/>
        <v>1.6255359695092899</v>
      </c>
      <c r="W180" s="10"/>
      <c r="X180" s="10"/>
      <c r="Y180" s="10">
        <f t="shared" si="6"/>
        <v>17299</v>
      </c>
      <c r="Z180" s="10">
        <f t="shared" si="7"/>
        <v>1184</v>
      </c>
      <c r="AA180" s="11">
        <f t="shared" si="8"/>
        <v>6.8443262616336211</v>
      </c>
      <c r="AB180" s="13">
        <v>8</v>
      </c>
      <c r="AC180" s="14">
        <f t="shared" si="9"/>
        <v>1.1556737383663789</v>
      </c>
      <c r="AD180" s="13">
        <f ca="1">IFERROR(__xludf.DUMMYFUNCTION("IFERROR(
  AVERAGE(
    FILTER(
      $AA$2:$AA180,
      $A$2:$A180 &gt;= A180 - 30,
      $A$2:$A180 &lt;= A180,
      $AA$2:$AA180 &gt; 0
    )
  ),
"""")"),8.24202538499503)</f>
        <v>8.2420253849950296</v>
      </c>
      <c r="AE180" s="14"/>
    </row>
    <row r="181" spans="1:31" x14ac:dyDescent="0.25">
      <c r="A181" s="9">
        <v>46080</v>
      </c>
      <c r="B181" s="10"/>
      <c r="C181" s="10">
        <v>1040</v>
      </c>
      <c r="D181" s="10">
        <v>67</v>
      </c>
      <c r="E181" s="11">
        <f t="shared" si="0"/>
        <v>6.4423076923076916</v>
      </c>
      <c r="F181" s="13">
        <v>6</v>
      </c>
      <c r="G181" s="14">
        <f t="shared" si="1"/>
        <v>-0.44230769230769162</v>
      </c>
      <c r="H181" s="13">
        <f ca="1">IFERROR(__xludf.DUMMYFUNCTION("IFERROR(
  AVERAGE(
    FILTER(
      $E$2:$E181,
      $A$2:$A181&gt;=A181-30,
      $A$2:$A181&lt;=A181,
      $E$2:$E181&gt;0
    )
  ),
  """"
)"),4.31130526970418)</f>
        <v>4.3113052697041798</v>
      </c>
      <c r="I181" s="14"/>
      <c r="J181" s="10"/>
      <c r="K181" s="10">
        <v>5980</v>
      </c>
      <c r="L181" s="10">
        <v>552</v>
      </c>
      <c r="M181" s="11">
        <f t="shared" si="2"/>
        <v>9.2307692307692317</v>
      </c>
      <c r="N181" s="13">
        <v>8</v>
      </c>
      <c r="O181" s="14">
        <f t="shared" si="3"/>
        <v>-1.2307692307692317</v>
      </c>
      <c r="P181" s="13"/>
      <c r="Q181" s="10"/>
      <c r="R181" s="10">
        <v>13339</v>
      </c>
      <c r="S181" s="10">
        <v>875</v>
      </c>
      <c r="T181" s="11">
        <f t="shared" si="4"/>
        <v>6.5597121223480022</v>
      </c>
      <c r="U181" s="13">
        <v>8</v>
      </c>
      <c r="V181" s="14">
        <f t="shared" si="5"/>
        <v>1.4402878776519978</v>
      </c>
      <c r="W181" s="10"/>
      <c r="X181" s="10"/>
      <c r="Y181" s="10">
        <f t="shared" si="6"/>
        <v>19319</v>
      </c>
      <c r="Z181" s="10">
        <f t="shared" si="7"/>
        <v>1494</v>
      </c>
      <c r="AA181" s="11">
        <f t="shared" si="8"/>
        <v>7.7333195299963773</v>
      </c>
      <c r="AB181" s="13">
        <v>8</v>
      </c>
      <c r="AC181" s="14">
        <f t="shared" si="9"/>
        <v>0.26668047000362272</v>
      </c>
      <c r="AD181" s="13">
        <f ca="1">IFERROR(__xludf.DUMMYFUNCTION("IFERROR(
  AVERAGE(
    FILTER(
      $AA$2:$AA181,
      $A$2:$A181 &gt;= A181 - 30,
      $A$2:$A181 &lt;= A181,
      $AA$2:$AA181 &gt; 0
    )
  ),
"""")"),8.18651050387648)</f>
        <v>8.1865105038764803</v>
      </c>
      <c r="AE181" s="14"/>
    </row>
    <row r="182" spans="1:31" x14ac:dyDescent="0.25">
      <c r="A182" s="9">
        <v>46081</v>
      </c>
      <c r="B182" s="10"/>
      <c r="C182" s="10">
        <v>2584</v>
      </c>
      <c r="D182" s="10">
        <v>144</v>
      </c>
      <c r="E182" s="11">
        <f t="shared" si="0"/>
        <v>5.5727554179566559</v>
      </c>
      <c r="F182" s="13">
        <v>6</v>
      </c>
      <c r="G182" s="14">
        <f t="shared" si="1"/>
        <v>0.42724458204334415</v>
      </c>
      <c r="H182" s="13">
        <f ca="1">IFERROR(__xludf.DUMMYFUNCTION("IFERROR(
  AVERAGE(
    FILTER(
      $E$2:$E182,
      $A$2:$A182&gt;=A182-30,
      $A$2:$A182&lt;=A182,
      $E$2:$E182&gt;0
    )
  ),
  """"
)"),4.35844258969114)</f>
        <v>4.3584425896911396</v>
      </c>
      <c r="I182" s="14"/>
      <c r="J182" s="10"/>
      <c r="K182" s="10">
        <v>7080</v>
      </c>
      <c r="L182" s="10">
        <v>389</v>
      </c>
      <c r="M182" s="11">
        <f t="shared" si="2"/>
        <v>5.4943502824858754</v>
      </c>
      <c r="N182" s="13">
        <v>8</v>
      </c>
      <c r="O182" s="14">
        <f t="shared" si="3"/>
        <v>2.5056497175141246</v>
      </c>
      <c r="P182" s="13"/>
      <c r="Q182" s="10"/>
      <c r="R182" s="10">
        <v>10967</v>
      </c>
      <c r="S182" s="10">
        <v>1005</v>
      </c>
      <c r="T182" s="11">
        <f t="shared" si="4"/>
        <v>9.163855201969545</v>
      </c>
      <c r="U182" s="13">
        <v>8</v>
      </c>
      <c r="V182" s="14">
        <f t="shared" si="5"/>
        <v>-1.163855201969545</v>
      </c>
      <c r="W182" s="10"/>
      <c r="X182" s="10"/>
      <c r="Y182" s="10">
        <f t="shared" si="6"/>
        <v>18047</v>
      </c>
      <c r="Z182" s="10">
        <f t="shared" si="7"/>
        <v>1538</v>
      </c>
      <c r="AA182" s="11">
        <f t="shared" si="8"/>
        <v>8.5221920540810103</v>
      </c>
      <c r="AB182" s="13">
        <v>8</v>
      </c>
      <c r="AC182" s="14">
        <f t="shared" si="9"/>
        <v>-0.52219205408101033</v>
      </c>
      <c r="AD182" s="13">
        <f ca="1">IFERROR(__xludf.DUMMYFUNCTION("IFERROR(
  AVERAGE(
    FILTER(
      $AA$2:$AA182,
      $A$2:$A182 &gt;= A182 - 30,
      $A$2:$A182 &lt;= A182,
      $AA$2:$AA182 &gt; 0
    )
  ),
"""")"),8.20591327591512)</f>
        <v>8.2059132759151208</v>
      </c>
      <c r="AE182" s="14"/>
    </row>
    <row r="183" spans="1:31" x14ac:dyDescent="0.25">
      <c r="A183" s="9">
        <v>46082</v>
      </c>
      <c r="B183" s="10"/>
      <c r="C183" s="10">
        <v>0</v>
      </c>
      <c r="D183" s="10">
        <v>0</v>
      </c>
      <c r="E183" s="11" t="e">
        <f t="shared" si="0"/>
        <v>#DIV/0!</v>
      </c>
      <c r="F183" s="13">
        <v>6</v>
      </c>
      <c r="G183" s="14" t="e">
        <f t="shared" si="1"/>
        <v>#DIV/0!</v>
      </c>
      <c r="H183" s="13">
        <f ca="1">IFERROR(__xludf.DUMMYFUNCTION("IFERROR(
  AVERAGE(
    FILTER(
      $E$2:$E183,
      $A$2:$A183&gt;=A183-30,
      $A$2:$A183&lt;=A183,
      $E$2:$E183&gt;0
    )
  ),
  """"
)"),4.2921352672489)</f>
        <v>4.2921352672489004</v>
      </c>
      <c r="I183" s="14"/>
      <c r="J183" s="10"/>
      <c r="K183" s="10">
        <v>0</v>
      </c>
      <c r="L183" s="10">
        <v>0</v>
      </c>
      <c r="M183" s="11" t="e">
        <f t="shared" si="2"/>
        <v>#DIV/0!</v>
      </c>
      <c r="N183" s="13">
        <v>8</v>
      </c>
      <c r="O183" s="14" t="e">
        <f t="shared" si="3"/>
        <v>#DIV/0!</v>
      </c>
      <c r="P183" s="13"/>
      <c r="Q183" s="10"/>
      <c r="R183" s="10">
        <v>0</v>
      </c>
      <c r="S183" s="10">
        <v>0</v>
      </c>
      <c r="T183" s="11" t="e">
        <f t="shared" si="4"/>
        <v>#DIV/0!</v>
      </c>
      <c r="U183" s="13">
        <v>8</v>
      </c>
      <c r="V183" s="14" t="e">
        <f t="shared" si="5"/>
        <v>#DIV/0!</v>
      </c>
      <c r="W183" s="10"/>
      <c r="X183" s="10"/>
      <c r="Y183" s="10">
        <f t="shared" si="6"/>
        <v>0</v>
      </c>
      <c r="Z183" s="10">
        <f t="shared" si="7"/>
        <v>0</v>
      </c>
      <c r="AA183" s="11" t="e">
        <f t="shared" si="8"/>
        <v>#DIV/0!</v>
      </c>
      <c r="AB183" s="13">
        <v>8</v>
      </c>
      <c r="AC183" s="14" t="e">
        <f t="shared" si="9"/>
        <v>#DIV/0!</v>
      </c>
      <c r="AD183" s="13">
        <f ca="1">IFERROR(__xludf.DUMMYFUNCTION("IFERROR(
  AVERAGE(
    FILTER(
      $AA$2:$AA183,
      $A$2:$A183 &gt;= A183 - 30,
      $A$2:$A183 &lt;= A183,
      $AA$2:$AA183 &gt; 0
    )
  ),
"""")"),8.17481273334092)</f>
        <v>8.1748127333409197</v>
      </c>
      <c r="AE183" s="14"/>
    </row>
    <row r="184" spans="1:31" x14ac:dyDescent="0.25">
      <c r="A184" s="9">
        <v>46083</v>
      </c>
      <c r="B184" s="10"/>
      <c r="C184" s="10">
        <v>1657</v>
      </c>
      <c r="D184" s="10">
        <v>86</v>
      </c>
      <c r="E184" s="11">
        <f t="shared" si="0"/>
        <v>5.1901025950512976</v>
      </c>
      <c r="F184" s="13">
        <v>6</v>
      </c>
      <c r="G184" s="14">
        <f t="shared" si="1"/>
        <v>0.80989740494870244</v>
      </c>
      <c r="H184" s="13">
        <f ca="1">IFERROR(__xludf.DUMMYFUNCTION("IFERROR(
  AVERAGE(
    FILTER(
      $E$2:$E184,
      $A$2:$A184&gt;=A184-30,
      $A$2:$A184&lt;=A184,
      $E$2:$E184&gt;0
    )
  ),
  """"
)"),4.33769594929401)</f>
        <v>4.3376959492940097</v>
      </c>
      <c r="I184" s="14"/>
      <c r="J184" s="10"/>
      <c r="K184" s="10">
        <v>2500</v>
      </c>
      <c r="L184" s="10">
        <v>223</v>
      </c>
      <c r="M184" s="11">
        <f t="shared" si="2"/>
        <v>8.92</v>
      </c>
      <c r="N184" s="13">
        <v>8</v>
      </c>
      <c r="O184" s="14">
        <f t="shared" si="3"/>
        <v>-0.91999999999999993</v>
      </c>
      <c r="P184" s="13"/>
      <c r="Q184" s="10"/>
      <c r="R184" s="10">
        <v>11900</v>
      </c>
      <c r="S184" s="10">
        <v>722</v>
      </c>
      <c r="T184" s="11">
        <f t="shared" si="4"/>
        <v>6.0672268907563023</v>
      </c>
      <c r="U184" s="13">
        <v>8</v>
      </c>
      <c r="V184" s="14">
        <f t="shared" si="5"/>
        <v>1.9327731092436977</v>
      </c>
      <c r="W184" s="10"/>
      <c r="X184" s="10"/>
      <c r="Y184" s="10">
        <f t="shared" si="6"/>
        <v>14400</v>
      </c>
      <c r="Z184" s="10">
        <f t="shared" si="7"/>
        <v>1031</v>
      </c>
      <c r="AA184" s="11">
        <f t="shared" si="8"/>
        <v>7.1597222222222232</v>
      </c>
      <c r="AB184" s="13">
        <v>8</v>
      </c>
      <c r="AC184" s="14">
        <f t="shared" si="9"/>
        <v>0.84027777777777679</v>
      </c>
      <c r="AD184" s="13">
        <f ca="1">IFERROR(__xludf.DUMMYFUNCTION("IFERROR(
  AVERAGE(
    FILTER(
      $AA$2:$AA184,
      $A$2:$A184 &gt;= A184 - 30,
      $A$2:$A184 &lt;= A184,
      $AA$2:$AA184 &gt; 0
    )
  ),
"""")"),8.08678105735385)</f>
        <v>8.0867810573538499</v>
      </c>
      <c r="AE184" s="14"/>
    </row>
    <row r="185" spans="1:31" x14ac:dyDescent="0.25">
      <c r="A185" s="9">
        <v>46084</v>
      </c>
      <c r="B185" s="10"/>
      <c r="C185" s="10">
        <v>1765</v>
      </c>
      <c r="D185" s="10">
        <v>103</v>
      </c>
      <c r="E185" s="11">
        <f t="shared" si="0"/>
        <v>5.8356940509915018</v>
      </c>
      <c r="F185" s="13">
        <v>6</v>
      </c>
      <c r="G185" s="14">
        <f t="shared" si="1"/>
        <v>0.16430594900849815</v>
      </c>
      <c r="H185" s="13">
        <f ca="1">IFERROR(__xludf.DUMMYFUNCTION("IFERROR(
  AVERAGE(
    FILTER(
      $E$2:$E185,
      $A$2:$A185&gt;=A185-30,
      $A$2:$A185&lt;=A185,
      $E$2:$E185&gt;0
    )
  ),
  """"
)"),4.03693563645238)</f>
        <v>4.0369356364523803</v>
      </c>
      <c r="I185" s="14"/>
      <c r="J185" s="10"/>
      <c r="K185" s="10">
        <v>3734</v>
      </c>
      <c r="L185" s="10">
        <v>314</v>
      </c>
      <c r="M185" s="11">
        <f t="shared" si="2"/>
        <v>8.4092126405998933</v>
      </c>
      <c r="N185" s="13">
        <v>8</v>
      </c>
      <c r="O185" s="14">
        <f t="shared" si="3"/>
        <v>-0.40921264059989326</v>
      </c>
      <c r="P185" s="13"/>
      <c r="Q185" s="10"/>
      <c r="R185" s="10">
        <v>6435</v>
      </c>
      <c r="S185" s="10">
        <v>631</v>
      </c>
      <c r="T185" s="11">
        <f t="shared" si="4"/>
        <v>9.8057498057498051</v>
      </c>
      <c r="U185" s="13">
        <v>8</v>
      </c>
      <c r="V185" s="14">
        <f t="shared" si="5"/>
        <v>-1.8057498057498051</v>
      </c>
      <c r="W185" s="10"/>
      <c r="X185" s="10"/>
      <c r="Y185" s="10">
        <f t="shared" si="6"/>
        <v>10169</v>
      </c>
      <c r="Z185" s="10">
        <f t="shared" si="7"/>
        <v>1048</v>
      </c>
      <c r="AA185" s="11">
        <f t="shared" si="8"/>
        <v>10.305831448520012</v>
      </c>
      <c r="AB185" s="13">
        <v>8</v>
      </c>
      <c r="AC185" s="14">
        <f t="shared" si="9"/>
        <v>-2.3058314485200118</v>
      </c>
      <c r="AD185" s="13">
        <f ca="1">IFERROR(__xludf.DUMMYFUNCTION("IFERROR(
  AVERAGE(
    FILTER(
      $AA$2:$AA185,
      $A$2:$A185 &gt;= A185 - 30,
      $A$2:$A185 &lt;= A185,
      $AA$2:$AA185 &gt; 0
    )
  ),
"""")"),8.115331952894)</f>
        <v>8.1153319528939996</v>
      </c>
      <c r="AE185" s="14"/>
    </row>
    <row r="186" spans="1:31" x14ac:dyDescent="0.25">
      <c r="A186" s="9">
        <v>46085</v>
      </c>
      <c r="B186" s="10"/>
      <c r="C186" s="10">
        <v>0</v>
      </c>
      <c r="D186" s="10">
        <v>0</v>
      </c>
      <c r="E186" s="11" t="e">
        <f t="shared" si="0"/>
        <v>#DIV/0!</v>
      </c>
      <c r="F186" s="13">
        <v>6</v>
      </c>
      <c r="G186" s="14" t="e">
        <f t="shared" si="1"/>
        <v>#DIV/0!</v>
      </c>
      <c r="H186" s="13">
        <f ca="1">IFERROR(__xludf.DUMMYFUNCTION("IFERROR(
  AVERAGE(
    FILTER(
      $E$2:$E186,
      $A$2:$A186&gt;=A186-30,
      $A$2:$A186&lt;=A186,
      $E$2:$E186&gt;0
    )
  ),
  """"
)"),4.03693563645238)</f>
        <v>4.0369356364523803</v>
      </c>
      <c r="I186" s="14"/>
      <c r="J186" s="10"/>
      <c r="K186" s="10">
        <v>0</v>
      </c>
      <c r="L186" s="10">
        <v>0</v>
      </c>
      <c r="M186" s="11" t="e">
        <f t="shared" si="2"/>
        <v>#DIV/0!</v>
      </c>
      <c r="N186" s="13">
        <v>8</v>
      </c>
      <c r="O186" s="14" t="e">
        <f t="shared" si="3"/>
        <v>#DIV/0!</v>
      </c>
      <c r="P186" s="13"/>
      <c r="Q186" s="10"/>
      <c r="R186" s="10"/>
      <c r="S186" s="10"/>
      <c r="T186" s="11" t="e">
        <f t="shared" si="4"/>
        <v>#DIV/0!</v>
      </c>
      <c r="U186" s="13">
        <v>8</v>
      </c>
      <c r="V186" s="14" t="e">
        <f t="shared" si="5"/>
        <v>#DIV/0!</v>
      </c>
      <c r="W186" s="10"/>
      <c r="X186" s="10"/>
      <c r="Y186" s="10">
        <f t="shared" si="6"/>
        <v>0</v>
      </c>
      <c r="Z186" s="10">
        <f t="shared" si="7"/>
        <v>0</v>
      </c>
      <c r="AA186" s="11" t="e">
        <f t="shared" si="8"/>
        <v>#DIV/0!</v>
      </c>
      <c r="AB186" s="13">
        <v>8</v>
      </c>
      <c r="AC186" s="14" t="e">
        <f t="shared" si="9"/>
        <v>#DIV/0!</v>
      </c>
      <c r="AD186" s="13">
        <f ca="1">IFERROR(__xludf.DUMMYFUNCTION("IFERROR(
  AVERAGE(
    FILTER(
      $AA$2:$AA186,
      $A$2:$A186 &gt;= A186 - 30,
      $A$2:$A186 &lt;= A186,
      $AA$2:$AA186 &gt; 0
    )
  ),
"""")"),8.115331952894)</f>
        <v>8.1153319528939996</v>
      </c>
      <c r="AE186" s="14"/>
    </row>
    <row r="187" spans="1:31" x14ac:dyDescent="0.25">
      <c r="A187" s="9">
        <v>46086</v>
      </c>
      <c r="B187" s="10"/>
      <c r="C187" s="10">
        <v>2112</v>
      </c>
      <c r="D187" s="10">
        <v>81</v>
      </c>
      <c r="E187" s="11">
        <f t="shared" si="0"/>
        <v>3.8352272727272729</v>
      </c>
      <c r="F187" s="13">
        <v>6</v>
      </c>
      <c r="G187" s="14">
        <f t="shared" si="1"/>
        <v>2.1647727272727271</v>
      </c>
      <c r="H187" s="13">
        <f ca="1">IFERROR(__xludf.DUMMYFUNCTION("IFERROR(
  AVERAGE(
    FILTER(
      $E$2:$E187,
      $A$2:$A187&gt;=A187-30,
      $A$2:$A187&lt;=A187,
      $E$2:$E187&gt;0
    )
  ),
  """"
)"),4.06298688783258)</f>
        <v>4.0629868878325803</v>
      </c>
      <c r="I187" s="14"/>
      <c r="J187" s="10"/>
      <c r="K187" s="10">
        <v>6308</v>
      </c>
      <c r="L187" s="10">
        <v>452</v>
      </c>
      <c r="M187" s="11">
        <f t="shared" si="2"/>
        <v>7.1655041217501587</v>
      </c>
      <c r="N187" s="13">
        <v>8</v>
      </c>
      <c r="O187" s="14">
        <f t="shared" si="3"/>
        <v>0.83449587824984128</v>
      </c>
      <c r="P187" s="13"/>
      <c r="Q187" s="10"/>
      <c r="R187" s="10">
        <v>8528</v>
      </c>
      <c r="S187" s="10">
        <v>448</v>
      </c>
      <c r="T187" s="11">
        <f t="shared" si="4"/>
        <v>5.2532833020637906</v>
      </c>
      <c r="U187" s="13">
        <v>8</v>
      </c>
      <c r="V187" s="14">
        <f t="shared" si="5"/>
        <v>2.7467166979362094</v>
      </c>
      <c r="W187" s="10"/>
      <c r="X187" s="10"/>
      <c r="Y187" s="10">
        <f t="shared" si="6"/>
        <v>14836</v>
      </c>
      <c r="Z187" s="10">
        <f t="shared" si="7"/>
        <v>981</v>
      </c>
      <c r="AA187" s="11">
        <f t="shared" si="8"/>
        <v>6.6122944189808575</v>
      </c>
      <c r="AB187" s="13">
        <v>8</v>
      </c>
      <c r="AC187" s="14">
        <f t="shared" si="9"/>
        <v>1.3877055810191425</v>
      </c>
      <c r="AD187" s="13">
        <f ca="1">IFERROR(__xludf.DUMMYFUNCTION("IFERROR(
  AVERAGE(
    FILTER(
      $AA$2:$AA187,
      $A$2:$A187 &gt;= A187 - 30,
      $A$2:$A187 &lt;= A187,
      $AA$2:$AA187 &gt; 0
    )
  ),
"""")"),8.08062403077769)</f>
        <v>8.08062403077769</v>
      </c>
      <c r="AE187" s="14"/>
    </row>
    <row r="188" spans="1:31" x14ac:dyDescent="0.25">
      <c r="A188" s="9">
        <v>46087</v>
      </c>
      <c r="B188" s="10"/>
      <c r="C188" s="10">
        <v>1712</v>
      </c>
      <c r="D188" s="10">
        <v>86</v>
      </c>
      <c r="E188" s="11">
        <f t="shared" si="0"/>
        <v>5.0233644859813085</v>
      </c>
      <c r="F188" s="13">
        <v>6</v>
      </c>
      <c r="G188" s="14">
        <f t="shared" si="1"/>
        <v>0.97663551401869153</v>
      </c>
      <c r="H188" s="13">
        <f ca="1">IFERROR(__xludf.DUMMYFUNCTION("IFERROR(
  AVERAGE(
    FILTER(
      $E$2:$E188,
      $A$2:$A188&gt;=A188-30,
      $A$2:$A188&lt;=A188,
      $E$2:$E188&gt;0
    )
  ),
  """"
)"),4.12715014399693)</f>
        <v>4.1271501439969303</v>
      </c>
      <c r="I188" s="14"/>
      <c r="J188" s="10"/>
      <c r="K188" s="10">
        <v>9810</v>
      </c>
      <c r="L188" s="10">
        <v>581</v>
      </c>
      <c r="M188" s="11">
        <f t="shared" si="2"/>
        <v>5.9225280326197751</v>
      </c>
      <c r="N188" s="13">
        <v>8</v>
      </c>
      <c r="O188" s="14">
        <f t="shared" si="3"/>
        <v>2.0774719673802249</v>
      </c>
      <c r="P188" s="13"/>
      <c r="Q188" s="10"/>
      <c r="R188" s="10">
        <v>6739</v>
      </c>
      <c r="S188" s="10">
        <v>371</v>
      </c>
      <c r="T188" s="11">
        <f t="shared" si="4"/>
        <v>5.505267843893753</v>
      </c>
      <c r="U188" s="13">
        <v>8</v>
      </c>
      <c r="V188" s="14">
        <f t="shared" si="5"/>
        <v>2.494732156106247</v>
      </c>
      <c r="W188" s="10"/>
      <c r="X188" s="10"/>
      <c r="Y188" s="10">
        <f t="shared" si="6"/>
        <v>16549</v>
      </c>
      <c r="Z188" s="10">
        <f t="shared" si="7"/>
        <v>1038</v>
      </c>
      <c r="AA188" s="11">
        <f t="shared" si="8"/>
        <v>6.2722823131307033</v>
      </c>
      <c r="AB188" s="13">
        <v>8</v>
      </c>
      <c r="AC188" s="14">
        <f t="shared" si="9"/>
        <v>1.7277176868692967</v>
      </c>
      <c r="AD188" s="13">
        <f ca="1">IFERROR(__xludf.DUMMYFUNCTION("IFERROR(
  AVERAGE(
    FILTER(
      $AA$2:$AA188,
      $A$2:$A188 &gt;= A188 - 30,
      $A$2:$A188 &lt;= A188,
      $AA$2:$AA188 &gt; 0
    )
  ),
"""")"),7.94080286470894)</f>
        <v>7.9408028647089397</v>
      </c>
      <c r="AE188" s="14"/>
    </row>
    <row r="189" spans="1:31" x14ac:dyDescent="0.25">
      <c r="A189" s="9">
        <v>46088</v>
      </c>
      <c r="B189" s="10"/>
      <c r="C189" s="10">
        <v>2275</v>
      </c>
      <c r="D189" s="10">
        <v>61</v>
      </c>
      <c r="E189" s="11">
        <f t="shared" si="0"/>
        <v>2.6813186813186811</v>
      </c>
      <c r="F189" s="13">
        <v>6</v>
      </c>
      <c r="G189" s="14">
        <f t="shared" si="1"/>
        <v>3.3186813186813189</v>
      </c>
      <c r="H189" s="13">
        <f ca="1">IFERROR(__xludf.DUMMYFUNCTION("IFERROR(
  AVERAGE(
    FILTER(
      $E$2:$E189,
      $A$2:$A189&gt;=A189-30,
      $A$2:$A189&lt;=A189,
      $E$2:$E189&gt;0
    )
  ),
  """"
)"),4.03496528558611)</f>
        <v>4.03496528558611</v>
      </c>
      <c r="I189" s="14"/>
      <c r="J189" s="10"/>
      <c r="K189" s="10">
        <v>4340</v>
      </c>
      <c r="L189" s="10">
        <v>323</v>
      </c>
      <c r="M189" s="11">
        <f t="shared" si="2"/>
        <v>7.4423963133640552</v>
      </c>
      <c r="N189" s="13">
        <v>8</v>
      </c>
      <c r="O189" s="14">
        <f t="shared" si="3"/>
        <v>0.55760368663594484</v>
      </c>
      <c r="P189" s="13"/>
      <c r="Q189" s="10"/>
      <c r="R189" s="10">
        <v>15860</v>
      </c>
      <c r="S189" s="10">
        <v>615</v>
      </c>
      <c r="T189" s="11">
        <f t="shared" si="4"/>
        <v>3.8776796973518284</v>
      </c>
      <c r="U189" s="13">
        <v>8</v>
      </c>
      <c r="V189" s="14">
        <f t="shared" si="5"/>
        <v>4.1223203026481716</v>
      </c>
      <c r="W189" s="10"/>
      <c r="X189" s="10"/>
      <c r="Y189" s="10">
        <f t="shared" si="6"/>
        <v>20200</v>
      </c>
      <c r="Z189" s="10">
        <f t="shared" si="7"/>
        <v>999</v>
      </c>
      <c r="AA189" s="11">
        <f t="shared" si="8"/>
        <v>4.9455445544554459</v>
      </c>
      <c r="AB189" s="13">
        <v>8</v>
      </c>
      <c r="AC189" s="14">
        <f t="shared" si="9"/>
        <v>3.0544554455445541</v>
      </c>
      <c r="AD189" s="13">
        <f ca="1">IFERROR(__xludf.DUMMYFUNCTION("IFERROR(
  AVERAGE(
    FILTER(
      $AA$2:$AA189,
      $A$2:$A189 &gt;= A189 - 30,
      $A$2:$A189 &lt;= A189,
      $AA$2:$AA189 &gt; 0
    )
  ),
"""")"),7.71918741074041)</f>
        <v>7.7191874107404104</v>
      </c>
      <c r="AE189" s="14"/>
    </row>
    <row r="190" spans="1:31" x14ac:dyDescent="0.25">
      <c r="A190" s="9">
        <v>46089</v>
      </c>
      <c r="B190" s="10"/>
      <c r="C190" s="10">
        <v>0</v>
      </c>
      <c r="D190" s="10">
        <v>0</v>
      </c>
      <c r="E190" s="11" t="e">
        <f t="shared" si="0"/>
        <v>#DIV/0!</v>
      </c>
      <c r="F190" s="13">
        <v>6</v>
      </c>
      <c r="G190" s="14" t="e">
        <f t="shared" si="1"/>
        <v>#DIV/0!</v>
      </c>
      <c r="H190" s="13">
        <f ca="1">IFERROR(__xludf.DUMMYFUNCTION("IFERROR(
  AVERAGE(
    FILTER(
      $E$2:$E190,
      $A$2:$A190&gt;=A190-30,
      $A$2:$A190&lt;=A190,
      $E$2:$E190&gt;0
    )
  ),
  """"
)"),3.93359017438182)</f>
        <v>3.9335901743818198</v>
      </c>
      <c r="I190" s="14"/>
      <c r="J190" s="10"/>
      <c r="K190" s="10">
        <v>0</v>
      </c>
      <c r="L190" s="10">
        <v>0</v>
      </c>
      <c r="M190" s="11" t="e">
        <f t="shared" si="2"/>
        <v>#DIV/0!</v>
      </c>
      <c r="N190" s="13">
        <v>8</v>
      </c>
      <c r="O190" s="14" t="e">
        <f t="shared" si="3"/>
        <v>#DIV/0!</v>
      </c>
      <c r="P190" s="13"/>
      <c r="Q190" s="10"/>
      <c r="R190" s="10">
        <v>2793</v>
      </c>
      <c r="S190" s="10">
        <v>158</v>
      </c>
      <c r="T190" s="11">
        <f t="shared" si="4"/>
        <v>5.6569996419620479</v>
      </c>
      <c r="U190" s="13">
        <v>8</v>
      </c>
      <c r="V190" s="14">
        <f t="shared" si="5"/>
        <v>2.3430003580379521</v>
      </c>
      <c r="W190" s="10"/>
      <c r="X190" s="10"/>
      <c r="Y190" s="10">
        <f t="shared" si="6"/>
        <v>2793</v>
      </c>
      <c r="Z190" s="10">
        <f t="shared" si="7"/>
        <v>158</v>
      </c>
      <c r="AA190" s="11">
        <f t="shared" si="8"/>
        <v>5.6569996419620479</v>
      </c>
      <c r="AB190" s="13">
        <v>8</v>
      </c>
      <c r="AC190" s="14">
        <f t="shared" si="9"/>
        <v>2.3430003580379521</v>
      </c>
      <c r="AD190" s="13">
        <f ca="1">IFERROR(__xludf.DUMMYFUNCTION("IFERROR(
  AVERAGE(
    FILTER(
      $AA$2:$AA190,
      $A$2:$A190 &gt;= A190 - 30,
      $A$2:$A190 &lt;= A190,
      $AA$2:$AA190 &gt; 0
    )
  ),
"""")"),7.62764476412088)</f>
        <v>7.6276447641208804</v>
      </c>
      <c r="AE190" s="14"/>
    </row>
    <row r="191" spans="1:31" x14ac:dyDescent="0.25">
      <c r="A191" s="9">
        <v>46090</v>
      </c>
      <c r="B191" s="10"/>
      <c r="C191" s="10">
        <v>2104</v>
      </c>
      <c r="D191" s="10">
        <v>130</v>
      </c>
      <c r="E191" s="11">
        <f t="shared" si="0"/>
        <v>6.1787072243346008</v>
      </c>
      <c r="F191" s="13">
        <v>6</v>
      </c>
      <c r="G191" s="14">
        <f t="shared" si="1"/>
        <v>-0.17870722433460084</v>
      </c>
      <c r="H191" s="13">
        <f ca="1">IFERROR(__xludf.DUMMYFUNCTION("IFERROR(
  AVERAGE(
    FILTER(
      $E$2:$E191,
      $A$2:$A191&gt;=A191-30,
      $A$2:$A191&lt;=A191,
      $E$2:$E191&gt;0
    )
  ),
  """"
)"),4.05666898444702)</f>
        <v>4.0566689844470201</v>
      </c>
      <c r="I191" s="14"/>
      <c r="J191" s="10"/>
      <c r="K191" s="10">
        <v>2560</v>
      </c>
      <c r="L191" s="10">
        <v>198</v>
      </c>
      <c r="M191" s="11">
        <f t="shared" si="2"/>
        <v>7.734375</v>
      </c>
      <c r="N191" s="13">
        <v>8</v>
      </c>
      <c r="O191" s="14">
        <f t="shared" si="3"/>
        <v>0.265625</v>
      </c>
      <c r="P191" s="13"/>
      <c r="Q191" s="10"/>
      <c r="R191" s="10">
        <v>5400</v>
      </c>
      <c r="S191" s="10">
        <v>419</v>
      </c>
      <c r="T191" s="11">
        <f t="shared" si="4"/>
        <v>7.7592592592592586</v>
      </c>
      <c r="U191" s="13">
        <v>8</v>
      </c>
      <c r="V191" s="14">
        <f t="shared" si="5"/>
        <v>0.24074074074074137</v>
      </c>
      <c r="W191" s="10"/>
      <c r="X191" s="10"/>
      <c r="Y191" s="10">
        <f t="shared" si="6"/>
        <v>7960</v>
      </c>
      <c r="Z191" s="10">
        <f t="shared" si="7"/>
        <v>747</v>
      </c>
      <c r="AA191" s="11">
        <f t="shared" si="8"/>
        <v>9.3844221105527641</v>
      </c>
      <c r="AB191" s="13">
        <v>8</v>
      </c>
      <c r="AC191" s="14">
        <f t="shared" si="9"/>
        <v>-1.3844221105527641</v>
      </c>
      <c r="AD191" s="13">
        <f ca="1">IFERROR(__xludf.DUMMYFUNCTION("IFERROR(
  AVERAGE(
    FILTER(
      $AA$2:$AA191,
      $A$2:$A191 &gt;= A191 - 30,
      $A$2:$A191 &lt;= A191,
      $AA$2:$AA191 &gt; 0
    )
  ),
"""")"),7.68095552748647)</f>
        <v>7.6809555274864696</v>
      </c>
      <c r="AE191" s="14"/>
    </row>
    <row r="192" spans="1:31" x14ac:dyDescent="0.25">
      <c r="A192" s="9">
        <v>46091</v>
      </c>
      <c r="B192" s="10"/>
      <c r="C192" s="10">
        <v>10461</v>
      </c>
      <c r="D192" s="10">
        <v>71</v>
      </c>
      <c r="E192" s="11">
        <f t="shared" si="0"/>
        <v>0.67871140426345478</v>
      </c>
      <c r="F192" s="13">
        <v>6</v>
      </c>
      <c r="G192" s="14">
        <f t="shared" si="1"/>
        <v>5.3212885957365454</v>
      </c>
      <c r="H192" s="13">
        <f ca="1">IFERROR(__xludf.DUMMYFUNCTION("IFERROR(
  AVERAGE(
    FILTER(
      $E$2:$E192,
      $A$2:$A192&gt;=A192-30,
      $A$2:$A192&lt;=A192,
      $E$2:$E192&gt;0
    )
  ),
  """"
)"),3.9048700721965)</f>
        <v>3.9048700721965002</v>
      </c>
      <c r="I192" s="14"/>
      <c r="J192" s="10"/>
      <c r="K192" s="10">
        <v>3464</v>
      </c>
      <c r="L192" s="10">
        <v>271</v>
      </c>
      <c r="M192" s="11">
        <f t="shared" si="2"/>
        <v>7.8233256351039255</v>
      </c>
      <c r="N192" s="13">
        <v>8</v>
      </c>
      <c r="O192" s="14">
        <f t="shared" si="3"/>
        <v>0.17667436489607447</v>
      </c>
      <c r="P192" s="13"/>
      <c r="Q192" s="10"/>
      <c r="R192" s="10">
        <v>1511</v>
      </c>
      <c r="S192" s="10">
        <v>124.5</v>
      </c>
      <c r="T192" s="11">
        <f t="shared" si="4"/>
        <v>8.2395764394440771</v>
      </c>
      <c r="U192" s="13">
        <v>8</v>
      </c>
      <c r="V192" s="14">
        <f t="shared" si="5"/>
        <v>-0.23957643944407714</v>
      </c>
      <c r="W192" s="10"/>
      <c r="X192" s="10"/>
      <c r="Y192" s="10">
        <f t="shared" si="6"/>
        <v>4975</v>
      </c>
      <c r="Z192" s="10">
        <f t="shared" si="7"/>
        <v>466.5</v>
      </c>
      <c r="AA192" s="11">
        <f t="shared" si="8"/>
        <v>9.3768844221105532</v>
      </c>
      <c r="AB192" s="13">
        <v>8</v>
      </c>
      <c r="AC192" s="14">
        <f t="shared" si="9"/>
        <v>-1.3768844221105532</v>
      </c>
      <c r="AD192" s="13">
        <f ca="1">IFERROR(__xludf.DUMMYFUNCTION("IFERROR(
  AVERAGE(
    FILTER(
      $AA$2:$AA192,
      $A$2:$A192 &gt;= A192 - 30,
      $A$2:$A192 &lt;= A192,
      $AA$2:$AA192 &gt; 0
    )
  ),
"""")"),7.70952071872477)</f>
        <v>7.7095207187247698</v>
      </c>
      <c r="AE192" s="14"/>
    </row>
    <row r="193" spans="1:31" x14ac:dyDescent="0.25">
      <c r="A193" s="9">
        <v>46092</v>
      </c>
      <c r="B193" s="10"/>
      <c r="C193" s="10">
        <v>2028</v>
      </c>
      <c r="D193" s="10">
        <v>119</v>
      </c>
      <c r="E193" s="11">
        <f t="shared" si="0"/>
        <v>5.8678500986193294</v>
      </c>
      <c r="F193" s="13">
        <v>6</v>
      </c>
      <c r="G193" s="14">
        <f t="shared" si="1"/>
        <v>0.13214990138067062</v>
      </c>
      <c r="H193" s="13">
        <f ca="1">IFERROR(__xludf.DUMMYFUNCTION("IFERROR(
  AVERAGE(
    FILTER(
      $E$2:$E193,
      $A$2:$A193&gt;=A193-30,
      $A$2:$A193&lt;=A193,
      $E$2:$E193&gt;0
    )
  ),
  """"
)"),3.980369303982)</f>
        <v>3.9803693039820001</v>
      </c>
      <c r="I193" s="14"/>
      <c r="J193" s="10"/>
      <c r="K193" s="10">
        <v>1905</v>
      </c>
      <c r="L193" s="10">
        <v>142</v>
      </c>
      <c r="M193" s="11">
        <f t="shared" si="2"/>
        <v>7.4540682414698161</v>
      </c>
      <c r="N193" s="13">
        <v>8</v>
      </c>
      <c r="O193" s="14">
        <f t="shared" si="3"/>
        <v>0.54593175853018394</v>
      </c>
      <c r="P193" s="13"/>
      <c r="Q193" s="10"/>
      <c r="R193" s="10">
        <v>6205</v>
      </c>
      <c r="S193" s="10">
        <v>532</v>
      </c>
      <c r="T193" s="11">
        <f t="shared" si="4"/>
        <v>8.5737308622078974</v>
      </c>
      <c r="U193" s="13">
        <v>8</v>
      </c>
      <c r="V193" s="14">
        <f t="shared" si="5"/>
        <v>-0.57373086220789737</v>
      </c>
      <c r="W193" s="10"/>
      <c r="X193" s="10"/>
      <c r="Y193" s="10">
        <f t="shared" si="6"/>
        <v>8110</v>
      </c>
      <c r="Z193" s="10">
        <f t="shared" si="7"/>
        <v>793</v>
      </c>
      <c r="AA193" s="11">
        <f t="shared" si="8"/>
        <v>9.7780517879161533</v>
      </c>
      <c r="AB193" s="13">
        <v>8</v>
      </c>
      <c r="AC193" s="14">
        <f t="shared" si="9"/>
        <v>-1.7780517879161533</v>
      </c>
      <c r="AD193" s="13">
        <f ca="1">IFERROR(__xludf.DUMMYFUNCTION("IFERROR(
  AVERAGE(
    FILTER(
      $AA$2:$AA193,
      $A$2:$A193 &gt;= A193 - 30,
      $A$2:$A193 &lt;= A193,
      $AA$2:$AA193 &gt; 0
    )
  ),
"""")"),7.84304757144402)</f>
        <v>7.8430475714440204</v>
      </c>
      <c r="AE193" s="14"/>
    </row>
    <row r="194" spans="1:31" x14ac:dyDescent="0.25">
      <c r="A194" s="9">
        <v>46093</v>
      </c>
      <c r="B194" s="10"/>
      <c r="C194" s="10">
        <v>2936</v>
      </c>
      <c r="D194" s="10">
        <v>94</v>
      </c>
      <c r="E194" s="11">
        <f t="shared" si="0"/>
        <v>3.2016348773841963</v>
      </c>
      <c r="F194" s="13">
        <v>6</v>
      </c>
      <c r="G194" s="14">
        <f t="shared" si="1"/>
        <v>2.7983651226158037</v>
      </c>
      <c r="H194" s="13">
        <f ca="1">IFERROR(__xludf.DUMMYFUNCTION("IFERROR(
  AVERAGE(
    FILTER(
      $E$2:$E194,
      $A$2:$A194&gt;=A194-30,
      $A$2:$A194&lt;=A194,
      $E$2:$E194&gt;0
    )
  ),
  """"
)"),3.99445918905207)</f>
        <v>3.99445918905207</v>
      </c>
      <c r="I194" s="14"/>
      <c r="J194" s="10"/>
      <c r="K194" s="10">
        <v>2748</v>
      </c>
      <c r="L194" s="10">
        <v>204</v>
      </c>
      <c r="M194" s="11">
        <f t="shared" si="2"/>
        <v>7.4235807860262017</v>
      </c>
      <c r="N194" s="13">
        <v>8</v>
      </c>
      <c r="O194" s="14">
        <f t="shared" si="3"/>
        <v>0.57641921397379825</v>
      </c>
      <c r="P194" s="13"/>
      <c r="Q194" s="10"/>
      <c r="R194" s="10">
        <v>8400</v>
      </c>
      <c r="S194" s="10">
        <v>544</v>
      </c>
      <c r="T194" s="11">
        <f t="shared" si="4"/>
        <v>6.4761904761904754</v>
      </c>
      <c r="U194" s="13">
        <v>8</v>
      </c>
      <c r="V194" s="14">
        <f t="shared" si="5"/>
        <v>1.5238095238095246</v>
      </c>
      <c r="W194" s="10"/>
      <c r="X194" s="10"/>
      <c r="Y194" s="10">
        <f t="shared" si="6"/>
        <v>11148</v>
      </c>
      <c r="Z194" s="10">
        <f t="shared" si="7"/>
        <v>842</v>
      </c>
      <c r="AA194" s="11">
        <f t="shared" si="8"/>
        <v>7.5529242913527082</v>
      </c>
      <c r="AB194" s="13">
        <v>8</v>
      </c>
      <c r="AC194" s="14">
        <f t="shared" si="9"/>
        <v>0.44707570864729185</v>
      </c>
      <c r="AD194" s="13">
        <f ca="1">IFERROR(__xludf.DUMMYFUNCTION("IFERROR(
  AVERAGE(
    FILTER(
      $AA$2:$AA194,
      $A$2:$A194 &gt;= A194 - 30,
      $A$2:$A194 &lt;= A194,
      $AA$2:$AA194 &gt; 0
    )
  ),
"""")"),7.80747414887709)</f>
        <v>7.8074741488770902</v>
      </c>
      <c r="AE194" s="14"/>
    </row>
    <row r="195" spans="1:31" x14ac:dyDescent="0.25">
      <c r="A195" s="9">
        <v>46094</v>
      </c>
      <c r="B195" s="10"/>
      <c r="C195" s="10">
        <v>3755</v>
      </c>
      <c r="D195" s="10">
        <v>203</v>
      </c>
      <c r="E195" s="11">
        <f t="shared" si="0"/>
        <v>5.4061251664447401</v>
      </c>
      <c r="F195" s="13">
        <v>6</v>
      </c>
      <c r="G195" s="14">
        <f t="shared" si="1"/>
        <v>0.59387483355525994</v>
      </c>
      <c r="H195" s="13">
        <f ca="1">IFERROR(__xludf.DUMMYFUNCTION("IFERROR(
  AVERAGE(
    FILTER(
      $E$2:$E195,
      $A$2:$A195&gt;=A195-30,
      $A$2:$A195&lt;=A195,
      $E$2:$E195&gt;0
    )
  ),
  """"
)"),4.03166719285444)</f>
        <v>4.0316671928544396</v>
      </c>
      <c r="I195" s="14"/>
      <c r="J195" s="10"/>
      <c r="K195" s="10">
        <v>10266</v>
      </c>
      <c r="L195" s="10">
        <v>598</v>
      </c>
      <c r="M195" s="11">
        <f t="shared" si="2"/>
        <v>5.8250535749074617</v>
      </c>
      <c r="N195" s="13">
        <v>8</v>
      </c>
      <c r="O195" s="14">
        <f t="shared" si="3"/>
        <v>2.1749464250925383</v>
      </c>
      <c r="P195" s="13"/>
      <c r="Q195" s="10"/>
      <c r="R195" s="10">
        <v>8643</v>
      </c>
      <c r="S195" s="10">
        <v>722</v>
      </c>
      <c r="T195" s="11">
        <f t="shared" si="4"/>
        <v>8.3535809325465706</v>
      </c>
      <c r="U195" s="13">
        <v>8</v>
      </c>
      <c r="V195" s="14">
        <f t="shared" si="5"/>
        <v>-0.35358093254657064</v>
      </c>
      <c r="W195" s="10"/>
      <c r="X195" s="10"/>
      <c r="Y195" s="10">
        <f t="shared" si="6"/>
        <v>18909</v>
      </c>
      <c r="Z195" s="10">
        <f t="shared" si="7"/>
        <v>1523</v>
      </c>
      <c r="AA195" s="11">
        <f t="shared" si="8"/>
        <v>8.0543656459886837</v>
      </c>
      <c r="AB195" s="13">
        <v>8</v>
      </c>
      <c r="AC195" s="14">
        <f t="shared" si="9"/>
        <v>-5.4365645988683653E-2</v>
      </c>
      <c r="AD195" s="13">
        <f ca="1">IFERROR(__xludf.DUMMYFUNCTION("IFERROR(
  AVERAGE(
    FILTER(
      $AA$2:$AA195,
      $A$2:$A195 &gt;= A195 - 30,
      $A$2:$A195 &lt;= A195,
      $AA$2:$AA195 &gt; 0
    )
  ),
"""")"),7.7753980695263)</f>
        <v>7.7753980695263003</v>
      </c>
      <c r="AE195" s="14"/>
    </row>
    <row r="196" spans="1:31" x14ac:dyDescent="0.25">
      <c r="A196" s="9">
        <v>46095</v>
      </c>
      <c r="B196" s="10"/>
      <c r="C196" s="10">
        <v>3151</v>
      </c>
      <c r="D196" s="10">
        <v>145</v>
      </c>
      <c r="E196" s="11">
        <f t="shared" si="0"/>
        <v>4.601713741669311</v>
      </c>
      <c r="F196" s="13">
        <v>6</v>
      </c>
      <c r="G196" s="14">
        <f t="shared" si="1"/>
        <v>1.398286258330689</v>
      </c>
      <c r="H196" s="13">
        <f ca="1">IFERROR(__xludf.DUMMYFUNCTION("IFERROR(
  AVERAGE(
    FILTER(
      $E$2:$E196,
      $A$2:$A196&gt;=A196-30,
      $A$2:$A196&lt;=A196,
      $E$2:$E196&gt;0
    )
  ),
  """"
)"),4.05874058917731)</f>
        <v>4.0587405891773098</v>
      </c>
      <c r="I196" s="14"/>
      <c r="J196" s="10"/>
      <c r="K196" s="10">
        <v>5721</v>
      </c>
      <c r="L196" s="10">
        <v>299</v>
      </c>
      <c r="M196" s="11">
        <f t="shared" si="2"/>
        <v>5.2263590281419328</v>
      </c>
      <c r="N196" s="13">
        <v>8</v>
      </c>
      <c r="O196" s="14">
        <f t="shared" si="3"/>
        <v>2.7736409718580672</v>
      </c>
      <c r="P196" s="13"/>
      <c r="Q196" s="10"/>
      <c r="R196" s="10">
        <v>13993</v>
      </c>
      <c r="S196" s="10">
        <v>744</v>
      </c>
      <c r="T196" s="11">
        <f t="shared" si="4"/>
        <v>5.3169441863789038</v>
      </c>
      <c r="U196" s="13">
        <v>8</v>
      </c>
      <c r="V196" s="14">
        <f t="shared" si="5"/>
        <v>2.6830558136210962</v>
      </c>
      <c r="W196" s="10"/>
      <c r="X196" s="10"/>
      <c r="Y196" s="10">
        <f t="shared" si="6"/>
        <v>19714</v>
      </c>
      <c r="Z196" s="10">
        <f t="shared" si="7"/>
        <v>1188</v>
      </c>
      <c r="AA196" s="11">
        <f t="shared" si="8"/>
        <v>6.0261742923810493</v>
      </c>
      <c r="AB196" s="13">
        <v>8</v>
      </c>
      <c r="AC196" s="14">
        <f t="shared" si="9"/>
        <v>1.9738257076189507</v>
      </c>
      <c r="AD196" s="13">
        <f ca="1">IFERROR(__xludf.DUMMYFUNCTION("IFERROR(
  AVERAGE(
    FILTER(
      $AA$2:$AA196,
      $A$2:$A196 &gt;= A196 - 30,
      $A$2:$A196 &lt;= A196,
      $AA$2:$AA196 &gt; 0
    )
  ),
"""")"),7.6638555181812)</f>
        <v>7.6638555181812</v>
      </c>
      <c r="AE196" s="14"/>
    </row>
    <row r="197" spans="1:31" x14ac:dyDescent="0.25">
      <c r="A197" s="9">
        <v>46096</v>
      </c>
      <c r="B197" s="10"/>
      <c r="C197" s="10">
        <v>0</v>
      </c>
      <c r="D197" s="10">
        <v>0</v>
      </c>
      <c r="E197" s="11" t="e">
        <f t="shared" si="0"/>
        <v>#DIV/0!</v>
      </c>
      <c r="F197" s="13">
        <v>6</v>
      </c>
      <c r="G197" s="14" t="e">
        <f t="shared" si="1"/>
        <v>#DIV/0!</v>
      </c>
      <c r="H197" s="13">
        <f ca="1">IFERROR(__xludf.DUMMYFUNCTION("IFERROR(
  AVERAGE(
    FILTER(
      $E$2:$E197,
      $A$2:$A197&gt;=A197-30,
      $A$2:$A197&lt;=A197,
      $E$2:$E197&gt;0
    )
  ),
  """"
)"),4.07294206459625)</f>
        <v>4.0729420645962504</v>
      </c>
      <c r="I197" s="14"/>
      <c r="J197" s="10"/>
      <c r="K197" s="10">
        <v>0</v>
      </c>
      <c r="L197" s="10">
        <v>0</v>
      </c>
      <c r="M197" s="11" t="e">
        <f t="shared" si="2"/>
        <v>#DIV/0!</v>
      </c>
      <c r="N197" s="13">
        <v>8</v>
      </c>
      <c r="O197" s="14" t="e">
        <f t="shared" si="3"/>
        <v>#DIV/0!</v>
      </c>
      <c r="P197" s="13"/>
      <c r="Q197" s="10"/>
      <c r="R197" s="10">
        <v>0</v>
      </c>
      <c r="S197" s="10">
        <v>0</v>
      </c>
      <c r="T197" s="11" t="e">
        <f t="shared" si="4"/>
        <v>#DIV/0!</v>
      </c>
      <c r="U197" s="13">
        <v>8</v>
      </c>
      <c r="V197" s="14" t="e">
        <f t="shared" si="5"/>
        <v>#DIV/0!</v>
      </c>
      <c r="W197" s="10"/>
      <c r="X197" s="10"/>
      <c r="Y197" s="10">
        <f t="shared" si="6"/>
        <v>0</v>
      </c>
      <c r="Z197" s="10">
        <f t="shared" si="7"/>
        <v>0</v>
      </c>
      <c r="AA197" s="11" t="e">
        <f t="shared" si="8"/>
        <v>#DIV/0!</v>
      </c>
      <c r="AB197" s="13">
        <v>8</v>
      </c>
      <c r="AC197" s="14" t="e">
        <f t="shared" si="9"/>
        <v>#DIV/0!</v>
      </c>
      <c r="AD197" s="13">
        <f ca="1">IFERROR(__xludf.DUMMYFUNCTION("IFERROR(
  AVERAGE(
    FILTER(
      $AA$2:$AA197,
      $A$2:$A197 &gt;= A197 - 30,
      $A$2:$A197 &lt;= A197,
      $AA$2:$AA197 &gt; 0
    )
  ),
"""")"),7.71073307350606)</f>
        <v>7.7107330735060602</v>
      </c>
      <c r="AE197" s="14"/>
    </row>
    <row r="198" spans="1:31" x14ac:dyDescent="0.25">
      <c r="A198" s="9">
        <v>46097</v>
      </c>
      <c r="B198" s="10"/>
      <c r="C198" s="10">
        <v>1583</v>
      </c>
      <c r="D198" s="10">
        <v>130</v>
      </c>
      <c r="E198" s="11">
        <f t="shared" si="0"/>
        <v>8.2122552116234999</v>
      </c>
      <c r="F198" s="13">
        <v>6</v>
      </c>
      <c r="G198" s="14">
        <f t="shared" si="1"/>
        <v>-2.2122552116234999</v>
      </c>
      <c r="H198" s="13">
        <f ca="1">IFERROR(__xludf.DUMMYFUNCTION("IFERROR(
  AVERAGE(
    FILTER(
      $E$2:$E198,
      $A$2:$A198&gt;=A198-30,
      $A$2:$A198&lt;=A198,
      $E$2:$E198&gt;0
    )
  ),
  """"
)"),4.26882226703346)</f>
        <v>4.2688222670334603</v>
      </c>
      <c r="I198" s="14"/>
      <c r="J198" s="10"/>
      <c r="K198" s="10">
        <v>5105</v>
      </c>
      <c r="L198" s="10">
        <v>339</v>
      </c>
      <c r="M198" s="11">
        <f t="shared" si="2"/>
        <v>6.6405484818805096</v>
      </c>
      <c r="N198" s="13">
        <v>8</v>
      </c>
      <c r="O198" s="14">
        <f t="shared" si="3"/>
        <v>1.3594515181194904</v>
      </c>
      <c r="P198" s="13"/>
      <c r="Q198" s="10"/>
      <c r="R198" s="10">
        <v>7093</v>
      </c>
      <c r="S198" s="10">
        <v>729</v>
      </c>
      <c r="T198" s="11">
        <f t="shared" si="4"/>
        <v>10.277738615536444</v>
      </c>
      <c r="U198" s="13">
        <v>8</v>
      </c>
      <c r="V198" s="14">
        <f t="shared" si="5"/>
        <v>-2.2777386155364443</v>
      </c>
      <c r="W198" s="10"/>
      <c r="X198" s="10"/>
      <c r="Y198" s="10">
        <f t="shared" si="6"/>
        <v>12198</v>
      </c>
      <c r="Z198" s="10">
        <f t="shared" si="7"/>
        <v>1198</v>
      </c>
      <c r="AA198" s="11">
        <f t="shared" si="8"/>
        <v>9.8212821774061325</v>
      </c>
      <c r="AB198" s="13">
        <v>8</v>
      </c>
      <c r="AC198" s="14">
        <f t="shared" si="9"/>
        <v>-1.8212821774061325</v>
      </c>
      <c r="AD198" s="13">
        <f ca="1">IFERROR(__xludf.DUMMYFUNCTION("IFERROR(
  AVERAGE(
    FILTER(
      $AA$2:$AA198,
      $A$2:$A198 &gt;= A198 - 30,
      $A$2:$A198 &lt;= A198,
      $AA$2:$AA198 &gt; 0
    )
  ),
"""")"),7.78510841371101)</f>
        <v>7.7851084137110096</v>
      </c>
      <c r="AE198" s="14"/>
    </row>
    <row r="199" spans="1:31" x14ac:dyDescent="0.25">
      <c r="A199" s="9">
        <v>46098</v>
      </c>
      <c r="B199" s="10"/>
      <c r="C199" s="10">
        <v>1821</v>
      </c>
      <c r="D199" s="10">
        <v>87</v>
      </c>
      <c r="E199" s="11">
        <f t="shared" si="0"/>
        <v>4.7775947281713345</v>
      </c>
      <c r="F199" s="13">
        <v>6</v>
      </c>
      <c r="G199" s="14">
        <f t="shared" si="1"/>
        <v>1.2224052718286655</v>
      </c>
      <c r="H199" s="13">
        <f ca="1">IFERROR(__xludf.DUMMYFUNCTION("IFERROR(
  AVERAGE(
    FILTER(
      $E$2:$E199,
      $A$2:$A199&gt;=A199-30,
      $A$2:$A199&lt;=A199,
      $E$2:$E199&gt;0
    )
  ),
  """"
)"),4.34585761509568)</f>
        <v>4.3458576150956798</v>
      </c>
      <c r="I199" s="14"/>
      <c r="J199" s="10"/>
      <c r="K199" s="10">
        <v>1888</v>
      </c>
      <c r="L199" s="10">
        <v>220</v>
      </c>
      <c r="M199" s="11">
        <f t="shared" si="2"/>
        <v>11.652542372881355</v>
      </c>
      <c r="N199" s="13">
        <v>8</v>
      </c>
      <c r="O199" s="14">
        <f t="shared" si="3"/>
        <v>-3.6525423728813546</v>
      </c>
      <c r="P199" s="13"/>
      <c r="Q199" s="10"/>
      <c r="R199" s="10">
        <v>12761</v>
      </c>
      <c r="S199" s="10">
        <v>1069</v>
      </c>
      <c r="T199" s="11">
        <f t="shared" si="4"/>
        <v>8.3770864352323482</v>
      </c>
      <c r="U199" s="13">
        <v>8</v>
      </c>
      <c r="V199" s="14">
        <f t="shared" si="5"/>
        <v>-0.37708643523234819</v>
      </c>
      <c r="W199" s="10"/>
      <c r="X199" s="10"/>
      <c r="Y199" s="10">
        <f t="shared" si="6"/>
        <v>14649</v>
      </c>
      <c r="Z199" s="10">
        <f t="shared" si="7"/>
        <v>1376</v>
      </c>
      <c r="AA199" s="11">
        <f t="shared" si="8"/>
        <v>9.3931326370400701</v>
      </c>
      <c r="AB199" s="13">
        <v>8</v>
      </c>
      <c r="AC199" s="14">
        <f t="shared" si="9"/>
        <v>-1.3931326370400701</v>
      </c>
      <c r="AD199" s="13">
        <f ca="1">IFERROR(__xludf.DUMMYFUNCTION("IFERROR(
  AVERAGE(
    FILTER(
      $AA$2:$AA199,
      $A$2:$A199 &gt;= A199 - 30,
      $A$2:$A199 &lt;= A199,
      $AA$2:$AA199 &gt; 0
    )
  ),
"""")"),7.81998773687087)</f>
        <v>7.8199877368708703</v>
      </c>
      <c r="AE199" s="14"/>
    </row>
    <row r="200" spans="1:31" x14ac:dyDescent="0.25">
      <c r="A200" s="9">
        <v>46099</v>
      </c>
      <c r="B200" s="10"/>
      <c r="C200" s="10">
        <v>1365</v>
      </c>
      <c r="D200" s="10">
        <v>104</v>
      </c>
      <c r="E200" s="11">
        <f t="shared" si="0"/>
        <v>7.6190476190476195</v>
      </c>
      <c r="F200" s="13">
        <v>6</v>
      </c>
      <c r="G200" s="14">
        <f t="shared" si="1"/>
        <v>-1.6190476190476195</v>
      </c>
      <c r="H200" s="13">
        <f ca="1">IFERROR(__xludf.DUMMYFUNCTION("IFERROR(
  AVERAGE(
    FILTER(
      $E$2:$E200,
      $A$2:$A200&gt;=A200-30,
      $A$2:$A200&lt;=A200,
      $E$2:$E200&gt;0
    )
  ),
  """"
)"),4.4717495383246)</f>
        <v>4.4717495383246</v>
      </c>
      <c r="I200" s="14"/>
      <c r="J200" s="10"/>
      <c r="K200" s="10">
        <v>4615</v>
      </c>
      <c r="L200" s="10">
        <v>419</v>
      </c>
      <c r="M200" s="11">
        <f t="shared" si="2"/>
        <v>9.0790899241603462</v>
      </c>
      <c r="N200" s="13">
        <v>8</v>
      </c>
      <c r="O200" s="14">
        <f t="shared" si="3"/>
        <v>-1.0790899241603462</v>
      </c>
      <c r="P200" s="13"/>
      <c r="Q200" s="10"/>
      <c r="R200" s="10">
        <v>6482</v>
      </c>
      <c r="S200" s="10">
        <v>454</v>
      </c>
      <c r="T200" s="11">
        <f t="shared" si="4"/>
        <v>7.004011107682814</v>
      </c>
      <c r="U200" s="13">
        <v>8</v>
      </c>
      <c r="V200" s="14">
        <f t="shared" si="5"/>
        <v>0.99598889231718601</v>
      </c>
      <c r="W200" s="10"/>
      <c r="X200" s="10"/>
      <c r="Y200" s="10">
        <f t="shared" si="6"/>
        <v>11097</v>
      </c>
      <c r="Z200" s="10">
        <f t="shared" si="7"/>
        <v>977</v>
      </c>
      <c r="AA200" s="11">
        <f t="shared" si="8"/>
        <v>8.8041813102640347</v>
      </c>
      <c r="AB200" s="13">
        <v>8</v>
      </c>
      <c r="AC200" s="14">
        <f t="shared" si="9"/>
        <v>-0.80418131026403472</v>
      </c>
      <c r="AD200" s="13">
        <f ca="1">IFERROR(__xludf.DUMMYFUNCTION("IFERROR(
  AVERAGE(
    FILTER(
      $AA$2:$AA200,
      $A$2:$A200 &gt;= A200 - 30,
      $A$2:$A200 &lt;= A200,
      $AA$2:$AA200 &gt; 0
    )
  ),
"""")"),7.90090630014953)</f>
        <v>7.9009063001495301</v>
      </c>
      <c r="AE200" s="14"/>
    </row>
    <row r="201" spans="1:31" x14ac:dyDescent="0.25">
      <c r="A201" s="9">
        <v>46100</v>
      </c>
      <c r="B201" s="10"/>
      <c r="C201" s="10">
        <v>2713</v>
      </c>
      <c r="D201" s="10">
        <v>65</v>
      </c>
      <c r="E201" s="11">
        <f t="shared" si="0"/>
        <v>2.3958717287136011</v>
      </c>
      <c r="F201" s="13">
        <v>6</v>
      </c>
      <c r="G201" s="14">
        <f t="shared" si="1"/>
        <v>3.6041282712863989</v>
      </c>
      <c r="H201" s="13">
        <f ca="1">IFERROR(__xludf.DUMMYFUNCTION("IFERROR(
  AVERAGE(
    FILTER(
      $E$2:$E201,
      $A$2:$A201&gt;=A201-30,
      $A$2:$A201&lt;=A201,
      $E$2:$E201&gt;0
    )
  ),
  """"
)"),4.44417381762412)</f>
        <v>4.4441738176241197</v>
      </c>
      <c r="I201" s="14"/>
      <c r="J201" s="10"/>
      <c r="K201" s="10">
        <v>4080</v>
      </c>
      <c r="L201" s="10">
        <v>312</v>
      </c>
      <c r="M201" s="11">
        <f t="shared" si="2"/>
        <v>7.6470588235294121</v>
      </c>
      <c r="N201" s="13">
        <v>8</v>
      </c>
      <c r="O201" s="14">
        <f t="shared" si="3"/>
        <v>0.35294117647058787</v>
      </c>
      <c r="P201" s="13"/>
      <c r="Q201" s="10"/>
      <c r="R201" s="10">
        <v>9597</v>
      </c>
      <c r="S201" s="10">
        <v>896</v>
      </c>
      <c r="T201" s="11">
        <f t="shared" si="4"/>
        <v>9.3362509117432531</v>
      </c>
      <c r="U201" s="13">
        <v>8</v>
      </c>
      <c r="V201" s="14">
        <f t="shared" si="5"/>
        <v>-1.3362509117432531</v>
      </c>
      <c r="W201" s="10"/>
      <c r="X201" s="10"/>
      <c r="Y201" s="10">
        <f t="shared" si="6"/>
        <v>13677</v>
      </c>
      <c r="Z201" s="10">
        <f t="shared" si="7"/>
        <v>1273</v>
      </c>
      <c r="AA201" s="11">
        <f t="shared" si="8"/>
        <v>9.307596695181692</v>
      </c>
      <c r="AB201" s="13">
        <v>8</v>
      </c>
      <c r="AC201" s="14">
        <f t="shared" si="9"/>
        <v>-1.307596695181692</v>
      </c>
      <c r="AD201" s="13">
        <f ca="1">IFERROR(__xludf.DUMMYFUNCTION("IFERROR(
  AVERAGE(
    FILTER(
      $AA$2:$AA201,
      $A$2:$A201 &gt;= A201 - 30,
      $A$2:$A201 &lt;= A201,
      $AA$2:$AA201 &gt; 0
    )
  ),
"""")"),7.99745302144083)</f>
        <v>7.9974530214408297</v>
      </c>
      <c r="AE201" s="14"/>
    </row>
    <row r="202" spans="1:31" x14ac:dyDescent="0.25">
      <c r="A202" s="9">
        <v>46101</v>
      </c>
      <c r="B202" s="10"/>
      <c r="C202" s="10">
        <v>2116</v>
      </c>
      <c r="D202" s="10">
        <v>68</v>
      </c>
      <c r="E202" s="11">
        <f t="shared" si="0"/>
        <v>3.2136105860113422</v>
      </c>
      <c r="F202" s="13">
        <v>6</v>
      </c>
      <c r="G202" s="14">
        <f t="shared" si="1"/>
        <v>2.7863894139886578</v>
      </c>
      <c r="H202" s="13">
        <f ca="1">IFERROR(__xludf.DUMMYFUNCTION("IFERROR(
  AVERAGE(
    FILTER(
      $E$2:$E202,
      $A$2:$A202&gt;=A202-30,
      $A$2:$A202&lt;=A202,
      $E$2:$E202&gt;0
    )
  ),
  """"
)"),4.47261458382851)</f>
        <v>4.4726145838285101</v>
      </c>
      <c r="I202" s="14"/>
      <c r="J202" s="10"/>
      <c r="K202" s="10">
        <v>2000</v>
      </c>
      <c r="L202" s="10">
        <v>138</v>
      </c>
      <c r="M202" s="11">
        <f t="shared" si="2"/>
        <v>6.9</v>
      </c>
      <c r="N202" s="13">
        <v>8</v>
      </c>
      <c r="O202" s="14">
        <f t="shared" si="3"/>
        <v>1.0999999999999996</v>
      </c>
      <c r="P202" s="13"/>
      <c r="Q202" s="10"/>
      <c r="R202" s="10">
        <v>13365</v>
      </c>
      <c r="S202" s="10">
        <v>941</v>
      </c>
      <c r="T202" s="11">
        <f t="shared" si="4"/>
        <v>7.0407781518892625</v>
      </c>
      <c r="U202" s="13">
        <v>8</v>
      </c>
      <c r="V202" s="14">
        <f t="shared" si="5"/>
        <v>0.95922184811073752</v>
      </c>
      <c r="W202" s="10"/>
      <c r="X202" s="10"/>
      <c r="Y202" s="10">
        <f t="shared" si="6"/>
        <v>15365</v>
      </c>
      <c r="Z202" s="10">
        <f t="shared" si="7"/>
        <v>1147</v>
      </c>
      <c r="AA202" s="11">
        <f t="shared" si="8"/>
        <v>7.4650178978197204</v>
      </c>
      <c r="AB202" s="13">
        <v>8</v>
      </c>
      <c r="AC202" s="14">
        <f t="shared" si="9"/>
        <v>0.53498210218027964</v>
      </c>
      <c r="AD202" s="13">
        <f ca="1">IFERROR(__xludf.DUMMYFUNCTION("IFERROR(
  AVERAGE(
    FILTER(
      $AA$2:$AA202,
      $A$2:$A202 &gt;= A202 - 30,
      $A$2:$A202 &lt;= A202,
      $AA$2:$AA202 &gt; 0
    )
  ),
"""")"),7.89691559286803)</f>
        <v>7.8969155928680301</v>
      </c>
      <c r="AE202" s="14"/>
    </row>
    <row r="203" spans="1:31" x14ac:dyDescent="0.25">
      <c r="A203" s="9">
        <v>46102</v>
      </c>
      <c r="B203" s="10"/>
      <c r="C203" s="10">
        <v>1339</v>
      </c>
      <c r="D203" s="10">
        <v>79</v>
      </c>
      <c r="E203" s="11">
        <f t="shared" si="0"/>
        <v>5.8999253174010455</v>
      </c>
      <c r="F203" s="13">
        <v>6</v>
      </c>
      <c r="G203" s="14">
        <f t="shared" si="1"/>
        <v>0.10007468259895447</v>
      </c>
      <c r="H203" s="13">
        <f ca="1">IFERROR(__xludf.DUMMYFUNCTION("IFERROR(
  AVERAGE(
    FILTER(
      $E$2:$E203,
      $A$2:$A203&gt;=A203-30,
      $A$2:$A203&lt;=A203,
      $E$2:$E203&gt;0
    )
  ),
  """"
)"),4.48275640766514)</f>
        <v>4.4827564076651401</v>
      </c>
      <c r="I203" s="14"/>
      <c r="J203" s="10"/>
      <c r="K203" s="10">
        <v>7111</v>
      </c>
      <c r="L203" s="10">
        <v>510</v>
      </c>
      <c r="M203" s="11">
        <f t="shared" si="2"/>
        <v>7.1719870622978483</v>
      </c>
      <c r="N203" s="13">
        <v>8</v>
      </c>
      <c r="O203" s="14">
        <f t="shared" si="3"/>
        <v>0.82801293770215167</v>
      </c>
      <c r="P203" s="13"/>
      <c r="Q203" s="10"/>
      <c r="R203" s="10">
        <v>13140</v>
      </c>
      <c r="S203" s="10">
        <v>730</v>
      </c>
      <c r="T203" s="11">
        <f t="shared" si="4"/>
        <v>5.5555555555555554</v>
      </c>
      <c r="U203" s="13">
        <v>8</v>
      </c>
      <c r="V203" s="14">
        <f t="shared" si="5"/>
        <v>2.4444444444444446</v>
      </c>
      <c r="W203" s="10"/>
      <c r="X203" s="10"/>
      <c r="Y203" s="10">
        <f t="shared" si="6"/>
        <v>20251</v>
      </c>
      <c r="Z203" s="10">
        <f t="shared" si="7"/>
        <v>1319</v>
      </c>
      <c r="AA203" s="11">
        <f t="shared" si="8"/>
        <v>6.5132586045133571</v>
      </c>
      <c r="AB203" s="13">
        <v>8</v>
      </c>
      <c r="AC203" s="14">
        <f t="shared" si="9"/>
        <v>1.4867413954866429</v>
      </c>
      <c r="AD203" s="13">
        <f ca="1">IFERROR(__xludf.DUMMYFUNCTION("IFERROR(
  AVERAGE(
    FILTER(
      $AA$2:$AA203,
      $A$2:$A203 &gt;= A203 - 30,
      $A$2:$A203 &lt;= A203,
      $AA$2:$AA203 &gt; 0
    )
  ),
"""")"),7.84319294619457)</f>
        <v>7.84319294619457</v>
      </c>
      <c r="AE203" s="14"/>
    </row>
    <row r="204" spans="1:31" x14ac:dyDescent="0.25">
      <c r="A204" s="9">
        <v>46103</v>
      </c>
      <c r="B204" s="10"/>
      <c r="C204" s="10">
        <v>0</v>
      </c>
      <c r="D204" s="10">
        <v>0</v>
      </c>
      <c r="E204" s="11" t="e">
        <f t="shared" si="0"/>
        <v>#DIV/0!</v>
      </c>
      <c r="F204" s="13">
        <v>6</v>
      </c>
      <c r="G204" s="14" t="e">
        <f t="shared" si="1"/>
        <v>#DIV/0!</v>
      </c>
      <c r="H204" s="13">
        <f ca="1">IFERROR(__xludf.DUMMYFUNCTION("IFERROR(
  AVERAGE(
    FILTER(
      $E$2:$E204,
      $A$2:$A204&gt;=A204-30,
      $A$2:$A204&lt;=A204,
      $E$2:$E204&gt;0
    )
  ),
  """"
)"),4.47063928153313)</f>
        <v>4.4706392815331304</v>
      </c>
      <c r="I204" s="14"/>
      <c r="J204" s="10"/>
      <c r="K204" s="10">
        <v>1208</v>
      </c>
      <c r="L204" s="10">
        <v>34</v>
      </c>
      <c r="M204" s="11">
        <f t="shared" si="2"/>
        <v>2.814569536423841</v>
      </c>
      <c r="N204" s="13">
        <v>8</v>
      </c>
      <c r="O204" s="14">
        <f t="shared" si="3"/>
        <v>5.185430463576159</v>
      </c>
      <c r="P204" s="13"/>
      <c r="Q204" s="10"/>
      <c r="R204" s="10">
        <v>0</v>
      </c>
      <c r="S204" s="10">
        <v>0</v>
      </c>
      <c r="T204" s="11" t="e">
        <f t="shared" si="4"/>
        <v>#DIV/0!</v>
      </c>
      <c r="U204" s="13">
        <v>8</v>
      </c>
      <c r="V204" s="14" t="e">
        <f t="shared" si="5"/>
        <v>#DIV/0!</v>
      </c>
      <c r="W204" s="10"/>
      <c r="X204" s="10"/>
      <c r="Y204" s="10">
        <f t="shared" si="6"/>
        <v>1208</v>
      </c>
      <c r="Z204" s="10">
        <f t="shared" si="7"/>
        <v>34</v>
      </c>
      <c r="AA204" s="11">
        <f t="shared" si="8"/>
        <v>2.814569536423841</v>
      </c>
      <c r="AB204" s="13">
        <v>8</v>
      </c>
      <c r="AC204" s="14">
        <f t="shared" si="9"/>
        <v>5.185430463576159</v>
      </c>
      <c r="AD204" s="13">
        <f ca="1">IFERROR(__xludf.DUMMYFUNCTION("IFERROR(
  AVERAGE(
    FILTER(
      $AA$2:$AA204,
      $A$2:$A204 &gt;= A204 - 30,
      $A$2:$A204 &lt;= A204,
      $AA$2:$AA204 &gt; 0
    )
  ),
"""")"),7.68838055631675)</f>
        <v>7.6883805563167504</v>
      </c>
      <c r="AE204" s="14"/>
    </row>
    <row r="205" spans="1:31" x14ac:dyDescent="0.25">
      <c r="A205" s="9">
        <v>46104</v>
      </c>
      <c r="B205" s="10"/>
      <c r="C205" s="10">
        <v>2212</v>
      </c>
      <c r="D205" s="10">
        <v>55</v>
      </c>
      <c r="E205" s="11">
        <f t="shared" si="0"/>
        <v>2.4864376130198913</v>
      </c>
      <c r="F205" s="13">
        <v>6</v>
      </c>
      <c r="G205" s="14">
        <f t="shared" si="1"/>
        <v>3.5135623869801087</v>
      </c>
      <c r="H205" s="13">
        <f ca="1">IFERROR(__xludf.DUMMYFUNCTION("IFERROR(
  AVERAGE(
    FILTER(
      $E$2:$E205,
      $A$2:$A205&gt;=A205-30,
      $A$2:$A205&lt;=A205,
      $E$2:$E205&gt;0
    )
  ),
  """"
)"),4.5142355926557)</f>
        <v>4.5142355926556998</v>
      </c>
      <c r="I205" s="14"/>
      <c r="J205" s="10"/>
      <c r="K205" s="10">
        <v>9250</v>
      </c>
      <c r="L205" s="10">
        <v>496</v>
      </c>
      <c r="M205" s="11">
        <f t="shared" si="2"/>
        <v>5.3621621621621625</v>
      </c>
      <c r="N205" s="13">
        <v>8</v>
      </c>
      <c r="O205" s="14">
        <f t="shared" si="3"/>
        <v>2.6378378378378375</v>
      </c>
      <c r="P205" s="13"/>
      <c r="Q205" s="10"/>
      <c r="R205" s="10">
        <v>10080</v>
      </c>
      <c r="S205" s="10">
        <v>765</v>
      </c>
      <c r="T205" s="11">
        <f t="shared" si="4"/>
        <v>7.5892857142857135</v>
      </c>
      <c r="U205" s="13">
        <v>8</v>
      </c>
      <c r="V205" s="14">
        <f t="shared" si="5"/>
        <v>0.41071428571428648</v>
      </c>
      <c r="W205" s="10"/>
      <c r="X205" s="10"/>
      <c r="Y205" s="10">
        <f t="shared" si="6"/>
        <v>19330</v>
      </c>
      <c r="Z205" s="10">
        <f t="shared" si="7"/>
        <v>1316</v>
      </c>
      <c r="AA205" s="11">
        <f t="shared" si="8"/>
        <v>6.8080703569580958</v>
      </c>
      <c r="AB205" s="13">
        <v>8</v>
      </c>
      <c r="AC205" s="14">
        <f t="shared" si="9"/>
        <v>1.1919296430419042</v>
      </c>
      <c r="AD205" s="13">
        <f ca="1">IFERROR(__xludf.DUMMYFUNCTION("IFERROR(
  AVERAGE(
    FILTER(
      $AA$2:$AA205,
      $A$2:$A205 &gt;= A205 - 30,
      $A$2:$A205 &lt;= A205,
      $AA$2:$AA205 &gt; 0
    )
  ),
"""")"),7.65961682258829)</f>
        <v>7.6596168225882897</v>
      </c>
      <c r="AE205" s="14"/>
    </row>
    <row r="206" spans="1:31" x14ac:dyDescent="0.25">
      <c r="A206" s="9">
        <v>46105</v>
      </c>
      <c r="B206" s="10"/>
      <c r="C206" s="10">
        <v>1778</v>
      </c>
      <c r="D206" s="10">
        <v>66</v>
      </c>
      <c r="E206" s="11">
        <f t="shared" si="0"/>
        <v>3.7120359955005622</v>
      </c>
      <c r="F206" s="13">
        <v>6</v>
      </c>
      <c r="G206" s="14">
        <f t="shared" si="1"/>
        <v>2.2879640044994378</v>
      </c>
      <c r="H206" s="13">
        <f ca="1">IFERROR(__xludf.DUMMYFUNCTION("IFERROR(
  AVERAGE(
    FILTER(
      $E$2:$E206,
      $A$2:$A206&gt;=A206-30,
      $A$2:$A206&lt;=A206,
      $E$2:$E206&gt;0
    )
  ),
  """"
)"),4.5050324017372)</f>
        <v>4.5050324017371999</v>
      </c>
      <c r="I206" s="14"/>
      <c r="J206" s="10"/>
      <c r="K206" s="10">
        <v>5694</v>
      </c>
      <c r="L206" s="10">
        <v>310</v>
      </c>
      <c r="M206" s="11">
        <f t="shared" si="2"/>
        <v>5.4443273621355814</v>
      </c>
      <c r="N206" s="13">
        <v>8</v>
      </c>
      <c r="O206" s="14">
        <f t="shared" si="3"/>
        <v>2.5556726378644186</v>
      </c>
      <c r="P206" s="13"/>
      <c r="Q206" s="10"/>
      <c r="R206" s="10">
        <v>13100</v>
      </c>
      <c r="S206" s="10">
        <v>914</v>
      </c>
      <c r="T206" s="11">
        <f t="shared" si="4"/>
        <v>6.9770992366412212</v>
      </c>
      <c r="U206" s="13">
        <v>8</v>
      </c>
      <c r="V206" s="14">
        <f t="shared" si="5"/>
        <v>1.0229007633587788</v>
      </c>
      <c r="W206" s="10"/>
      <c r="X206" s="10"/>
      <c r="Y206" s="10">
        <f t="shared" si="6"/>
        <v>18794</v>
      </c>
      <c r="Z206" s="10">
        <f t="shared" si="7"/>
        <v>1290</v>
      </c>
      <c r="AA206" s="11">
        <f t="shared" si="8"/>
        <v>6.8638927317228902</v>
      </c>
      <c r="AB206" s="13">
        <v>8</v>
      </c>
      <c r="AC206" s="14">
        <f t="shared" si="9"/>
        <v>1.1361072682771098</v>
      </c>
      <c r="AD206" s="13">
        <f ca="1">IFERROR(__xludf.DUMMYFUNCTION("IFERROR(
  AVERAGE(
    FILTER(
      $AA$2:$AA206,
      $A$2:$A206 &gt;= A206 - 30,
      $A$2:$A206 &lt;= A206,
      $AA$2:$AA206 &gt; 0
    )
  ),
"""")"),7.61847681528098)</f>
        <v>7.6184768152809799</v>
      </c>
      <c r="AE206" s="14"/>
    </row>
    <row r="207" spans="1:31" x14ac:dyDescent="0.25">
      <c r="A207" s="9">
        <v>46106</v>
      </c>
      <c r="B207" s="10"/>
      <c r="C207" s="10">
        <v>1630</v>
      </c>
      <c r="D207" s="10">
        <v>51</v>
      </c>
      <c r="E207" s="11">
        <f t="shared" si="0"/>
        <v>3.128834355828221</v>
      </c>
      <c r="F207" s="13">
        <v>6</v>
      </c>
      <c r="G207" s="14">
        <f t="shared" si="1"/>
        <v>2.871165644171779</v>
      </c>
      <c r="H207" s="13">
        <f ca="1">IFERROR(__xludf.DUMMYFUNCTION("IFERROR(
  AVERAGE(
    FILTER(
      $E$2:$E207,
      $A$2:$A207&gt;=A207-30,
      $A$2:$A207&lt;=A207,
      $E$2:$E207&gt;0
    )
  ),
  """"
)"),4.45210170766378)</f>
        <v>4.4521017076637799</v>
      </c>
      <c r="I207" s="14"/>
      <c r="J207" s="10"/>
      <c r="K207" s="10">
        <v>4820</v>
      </c>
      <c r="L207" s="10">
        <v>453</v>
      </c>
      <c r="M207" s="11">
        <f t="shared" si="2"/>
        <v>9.398340248962656</v>
      </c>
      <c r="N207" s="13">
        <v>8</v>
      </c>
      <c r="O207" s="14">
        <f t="shared" si="3"/>
        <v>-1.398340248962656</v>
      </c>
      <c r="P207" s="13"/>
      <c r="Q207" s="10"/>
      <c r="R207" s="10">
        <v>7483</v>
      </c>
      <c r="S207" s="10">
        <v>609</v>
      </c>
      <c r="T207" s="11">
        <f t="shared" si="4"/>
        <v>8.1384471468662305</v>
      </c>
      <c r="U207" s="13">
        <v>8</v>
      </c>
      <c r="V207" s="14">
        <f t="shared" si="5"/>
        <v>-0.1384471468662305</v>
      </c>
      <c r="W207" s="10"/>
      <c r="X207" s="10"/>
      <c r="Y207" s="10">
        <f t="shared" si="6"/>
        <v>12303</v>
      </c>
      <c r="Z207" s="10">
        <f t="shared" si="7"/>
        <v>1113</v>
      </c>
      <c r="AA207" s="11">
        <f t="shared" si="8"/>
        <v>9.0465740063399185</v>
      </c>
      <c r="AB207" s="13">
        <v>8</v>
      </c>
      <c r="AC207" s="14">
        <f t="shared" si="9"/>
        <v>-1.0465740063399185</v>
      </c>
      <c r="AD207" s="13">
        <f ca="1">IFERROR(__xludf.DUMMYFUNCTION("IFERROR(
  AVERAGE(
    FILTER(
      $AA$2:$AA207,
      $A$2:$A207 &gt;= A207 - 30,
      $A$2:$A207 &lt;= A207,
      $AA$2:$AA207 &gt; 0
    )
  ),
"""")"),7.70714500733523)</f>
        <v>7.7071450073352299</v>
      </c>
      <c r="AE207" s="14"/>
    </row>
    <row r="208" spans="1:31" x14ac:dyDescent="0.25">
      <c r="A208" s="9">
        <v>46107</v>
      </c>
      <c r="B208" s="10"/>
      <c r="C208" s="10">
        <v>2033</v>
      </c>
      <c r="D208" s="10">
        <v>160</v>
      </c>
      <c r="E208" s="11">
        <f t="shared" si="0"/>
        <v>7.8701426463354647</v>
      </c>
      <c r="F208" s="13">
        <v>6</v>
      </c>
      <c r="G208" s="14">
        <f t="shared" si="1"/>
        <v>-1.8701426463354647</v>
      </c>
      <c r="H208" s="13">
        <f ca="1">IFERROR(__xludf.DUMMYFUNCTION("IFERROR(
  AVERAGE(
    FILTER(
      $E$2:$E208,
      $A$2:$A208&gt;=A208-30,
      $A$2:$A208&lt;=A208,
      $E$2:$E208&gt;0
    )
  ),
  """"
)"),4.63639046272142)</f>
        <v>4.6363904627214199</v>
      </c>
      <c r="I208" s="14"/>
      <c r="J208" s="10"/>
      <c r="K208" s="10">
        <v>4820</v>
      </c>
      <c r="L208" s="10">
        <v>300</v>
      </c>
      <c r="M208" s="11">
        <f t="shared" si="2"/>
        <v>6.2240663900414939</v>
      </c>
      <c r="N208" s="13">
        <v>8</v>
      </c>
      <c r="O208" s="14">
        <f t="shared" si="3"/>
        <v>1.7759336099585061</v>
      </c>
      <c r="P208" s="13"/>
      <c r="Q208" s="10"/>
      <c r="R208" s="10">
        <v>12625</v>
      </c>
      <c r="S208" s="10">
        <v>831</v>
      </c>
      <c r="T208" s="11">
        <f t="shared" si="4"/>
        <v>6.5821782178217827</v>
      </c>
      <c r="U208" s="13">
        <v>8</v>
      </c>
      <c r="V208" s="14">
        <f t="shared" si="5"/>
        <v>1.4178217821782173</v>
      </c>
      <c r="W208" s="10"/>
      <c r="X208" s="10"/>
      <c r="Y208" s="10">
        <f t="shared" si="6"/>
        <v>17445</v>
      </c>
      <c r="Z208" s="10">
        <f t="shared" si="7"/>
        <v>1291</v>
      </c>
      <c r="AA208" s="11">
        <f t="shared" si="8"/>
        <v>7.4004012611063343</v>
      </c>
      <c r="AB208" s="13">
        <v>8</v>
      </c>
      <c r="AC208" s="14">
        <f t="shared" si="9"/>
        <v>0.59959873889366566</v>
      </c>
      <c r="AD208" s="13">
        <f ca="1">IFERROR(__xludf.DUMMYFUNCTION("IFERROR(
  AVERAGE(
    FILTER(
      $AA$2:$AA208,
      $A$2:$A208 &gt;= A208 - 30,
      $A$2:$A208 &lt;= A208,
      $AA$2:$AA208 &gt; 0
    )
  ),
"""")"),7.6450649192691)</f>
        <v>7.6450649192690996</v>
      </c>
      <c r="AE208" s="14"/>
    </row>
    <row r="209" spans="1:31" x14ac:dyDescent="0.25">
      <c r="A209" s="9">
        <v>46108</v>
      </c>
      <c r="B209" s="10"/>
      <c r="C209" s="10">
        <v>1645</v>
      </c>
      <c r="D209" s="10">
        <v>40</v>
      </c>
      <c r="E209" s="11">
        <f t="shared" si="0"/>
        <v>2.43161094224924</v>
      </c>
      <c r="F209" s="13">
        <v>6</v>
      </c>
      <c r="G209" s="14">
        <f t="shared" si="1"/>
        <v>3.56838905775076</v>
      </c>
      <c r="H209" s="13">
        <f ca="1">IFERROR(__xludf.DUMMYFUNCTION("IFERROR(
  AVERAGE(
    FILTER(
      $E$2:$E209,
      $A$2:$A209&gt;=A209-30,
      $A$2:$A209&lt;=A209,
      $E$2:$E209&gt;0
    )
  ),
  """"
)"),4.62843885902513)</f>
        <v>4.6284388590251302</v>
      </c>
      <c r="I209" s="14"/>
      <c r="J209" s="10"/>
      <c r="K209" s="10">
        <v>4740</v>
      </c>
      <c r="L209" s="10">
        <v>481</v>
      </c>
      <c r="M209" s="11">
        <f t="shared" si="2"/>
        <v>10.147679324894515</v>
      </c>
      <c r="N209" s="13">
        <v>8</v>
      </c>
      <c r="O209" s="14">
        <f t="shared" si="3"/>
        <v>-2.147679324894515</v>
      </c>
      <c r="P209" s="13"/>
      <c r="Q209" s="10"/>
      <c r="R209" s="10">
        <v>10511</v>
      </c>
      <c r="S209" s="10">
        <v>762</v>
      </c>
      <c r="T209" s="11">
        <f t="shared" si="4"/>
        <v>7.2495480924745506</v>
      </c>
      <c r="U209" s="13">
        <v>8</v>
      </c>
      <c r="V209" s="14">
        <f t="shared" si="5"/>
        <v>0.75045190752544944</v>
      </c>
      <c r="W209" s="10"/>
      <c r="X209" s="10"/>
      <c r="Y209" s="10">
        <f t="shared" si="6"/>
        <v>15251</v>
      </c>
      <c r="Z209" s="10">
        <f t="shared" si="7"/>
        <v>1283</v>
      </c>
      <c r="AA209" s="11">
        <f t="shared" si="8"/>
        <v>8.4125631106156984</v>
      </c>
      <c r="AB209" s="13">
        <v>8</v>
      </c>
      <c r="AC209" s="14">
        <f t="shared" si="9"/>
        <v>-0.41256311061569839</v>
      </c>
      <c r="AD209" s="13">
        <f ca="1">IFERROR(__xludf.DUMMYFUNCTION("IFERROR(
  AVERAGE(
    FILTER(
      $AA$2:$AA209,
      $A$2:$A209 &gt;= A209 - 30,
      $A$2:$A209 &lt;= A209,
      $AA$2:$AA209 &gt; 0
    )
  ),
"""")"),7.68730280820146)</f>
        <v>7.6873028082014603</v>
      </c>
      <c r="AE209" s="14"/>
    </row>
    <row r="210" spans="1:31" x14ac:dyDescent="0.25">
      <c r="A210" s="9">
        <v>46109</v>
      </c>
      <c r="B210" s="10"/>
      <c r="C210" s="10">
        <v>677</v>
      </c>
      <c r="D210" s="10">
        <v>19</v>
      </c>
      <c r="E210" s="11">
        <f t="shared" si="0"/>
        <v>2.8064992614475628</v>
      </c>
      <c r="F210" s="13">
        <v>6</v>
      </c>
      <c r="G210" s="14">
        <f t="shared" si="1"/>
        <v>3.1935007385524372</v>
      </c>
      <c r="H210" s="13">
        <f ca="1">IFERROR(__xludf.DUMMYFUNCTION("IFERROR(
  AVERAGE(
    FILTER(
      $E$2:$E210,
      $A$2:$A210&gt;=A210-30,
      $A$2:$A210&lt;=A210,
      $E$2:$E210&gt;0
    )
  ),
  """"
)"),4.56902940607435)</f>
        <v>4.5690294060743497</v>
      </c>
      <c r="I210" s="14"/>
      <c r="J210" s="10"/>
      <c r="K210" s="10">
        <v>11660</v>
      </c>
      <c r="L210" s="10">
        <v>780</v>
      </c>
      <c r="M210" s="11">
        <f t="shared" si="2"/>
        <v>6.6895368782161233</v>
      </c>
      <c r="N210" s="13">
        <v>8</v>
      </c>
      <c r="O210" s="14">
        <f t="shared" si="3"/>
        <v>1.3104631217838767</v>
      </c>
      <c r="P210" s="13"/>
      <c r="Q210" s="10"/>
      <c r="R210" s="10">
        <v>10877</v>
      </c>
      <c r="S210" s="10">
        <v>1013</v>
      </c>
      <c r="T210" s="11">
        <f t="shared" si="4"/>
        <v>9.313229750850418</v>
      </c>
      <c r="U210" s="13">
        <v>8</v>
      </c>
      <c r="V210" s="14">
        <f t="shared" si="5"/>
        <v>-1.313229750850418</v>
      </c>
      <c r="W210" s="10"/>
      <c r="X210" s="10"/>
      <c r="Y210" s="10">
        <f t="shared" si="6"/>
        <v>22537</v>
      </c>
      <c r="Z210" s="10">
        <f t="shared" si="7"/>
        <v>1812</v>
      </c>
      <c r="AA210" s="11">
        <f t="shared" si="8"/>
        <v>8.040111816124595</v>
      </c>
      <c r="AB210" s="13">
        <v>8</v>
      </c>
      <c r="AC210" s="14">
        <f t="shared" si="9"/>
        <v>-4.0111816124595023E-2</v>
      </c>
      <c r="AD210" s="13">
        <f ca="1">IFERROR(__xludf.DUMMYFUNCTION("IFERROR(
  AVERAGE(
    FILTER(
      $AA$2:$AA210,
      $A$2:$A210 &gt;= A210 - 30,
      $A$2:$A210 &lt;= A210,
      $AA$2:$AA210 &gt; 0
    )
  ),
"""")"),7.67557096917145)</f>
        <v>7.6755709691714502</v>
      </c>
      <c r="AE210" s="14"/>
    </row>
    <row r="211" spans="1:31" x14ac:dyDescent="0.25">
      <c r="A211" s="9">
        <v>46110</v>
      </c>
      <c r="B211" s="10"/>
      <c r="C211" s="10">
        <v>0</v>
      </c>
      <c r="D211" s="10">
        <v>0</v>
      </c>
      <c r="E211" s="11" t="e">
        <f t="shared" si="0"/>
        <v>#DIV/0!</v>
      </c>
      <c r="F211" s="13">
        <v>6</v>
      </c>
      <c r="G211" s="14" t="e">
        <f t="shared" si="1"/>
        <v>#DIV/0!</v>
      </c>
      <c r="H211" s="13">
        <f ca="1">IFERROR(__xludf.DUMMYFUNCTION("IFERROR(
  AVERAGE(
    FILTER(
      $E$2:$E211,
      $A$2:$A211&gt;=A211-30,
      $A$2:$A211&lt;=A211,
      $E$2:$E211&gt;0
    )
  ),
  """"
)"),4.60277514857597)</f>
        <v>4.6027751485759696</v>
      </c>
      <c r="I211" s="14"/>
      <c r="J211" s="10"/>
      <c r="K211" s="10">
        <v>940</v>
      </c>
      <c r="L211" s="10">
        <v>80</v>
      </c>
      <c r="M211" s="11">
        <f t="shared" si="2"/>
        <v>8.5106382978723403</v>
      </c>
      <c r="N211" s="13">
        <v>8</v>
      </c>
      <c r="O211" s="14">
        <f t="shared" si="3"/>
        <v>-0.51063829787234027</v>
      </c>
      <c r="P211" s="13"/>
      <c r="Q211" s="10"/>
      <c r="R211" s="10">
        <v>1279</v>
      </c>
      <c r="S211" s="10">
        <v>122</v>
      </c>
      <c r="T211" s="11">
        <f t="shared" si="4"/>
        <v>9.5387021110242376</v>
      </c>
      <c r="U211" s="13">
        <v>8</v>
      </c>
      <c r="V211" s="14">
        <f t="shared" si="5"/>
        <v>-1.5387021110242376</v>
      </c>
      <c r="W211" s="10"/>
      <c r="X211" s="10"/>
      <c r="Y211" s="10">
        <f t="shared" si="6"/>
        <v>2219</v>
      </c>
      <c r="Z211" s="10">
        <f t="shared" si="7"/>
        <v>202</v>
      </c>
      <c r="AA211" s="11">
        <f t="shared" si="8"/>
        <v>9.103199639477241</v>
      </c>
      <c r="AB211" s="13">
        <v>8</v>
      </c>
      <c r="AC211" s="14">
        <f t="shared" si="9"/>
        <v>-1.103199639477241</v>
      </c>
      <c r="AD211" s="13">
        <f ca="1">IFERROR(__xludf.DUMMYFUNCTION("IFERROR(
  AVERAGE(
    FILTER(
      $AA$2:$AA211,
      $A$2:$A211 &gt;= A211 - 30,
      $A$2:$A211 &lt;= A211,
      $AA$2:$AA211 &gt; 0
    )
  ),
"""")"),7.75624501838015)</f>
        <v>7.7562450183801497</v>
      </c>
      <c r="AE211" s="14"/>
    </row>
    <row r="212" spans="1:31" x14ac:dyDescent="0.25">
      <c r="A212" s="9">
        <v>46111</v>
      </c>
      <c r="B212" s="10"/>
      <c r="C212" s="10">
        <v>2454</v>
      </c>
      <c r="D212" s="10">
        <v>63</v>
      </c>
      <c r="E212" s="11">
        <f t="shared" si="0"/>
        <v>2.5672371638141809</v>
      </c>
      <c r="F212" s="13">
        <v>6</v>
      </c>
      <c r="G212" s="14">
        <f t="shared" si="1"/>
        <v>3.4327628361858191</v>
      </c>
      <c r="H212" s="13">
        <f ca="1">IFERROR(__xludf.DUMMYFUNCTION("IFERROR(
  AVERAGE(
    FILTER(
      $E$2:$E212,
      $A$2:$A212&gt;=A212-30,
      $A$2:$A212&lt;=A212,
      $E$2:$E212&gt;0
    )
  ),
  """"
)"),4.44777232743623)</f>
        <v>4.4477723274362297</v>
      </c>
      <c r="I212" s="14"/>
      <c r="J212" s="10"/>
      <c r="K212" s="10">
        <v>4561</v>
      </c>
      <c r="L212" s="10">
        <v>437</v>
      </c>
      <c r="M212" s="11">
        <f t="shared" si="2"/>
        <v>9.5812321859241401</v>
      </c>
      <c r="N212" s="13">
        <v>8</v>
      </c>
      <c r="O212" s="14">
        <f t="shared" si="3"/>
        <v>-1.5812321859241401</v>
      </c>
      <c r="P212" s="13"/>
      <c r="Q212" s="10"/>
      <c r="R212" s="10">
        <v>9790</v>
      </c>
      <c r="S212" s="10">
        <v>631</v>
      </c>
      <c r="T212" s="11">
        <f t="shared" si="4"/>
        <v>6.4453524004085798</v>
      </c>
      <c r="U212" s="13">
        <v>8</v>
      </c>
      <c r="V212" s="14">
        <f t="shared" si="5"/>
        <v>1.5546475995914202</v>
      </c>
      <c r="W212" s="10"/>
      <c r="X212" s="10"/>
      <c r="Y212" s="10">
        <f t="shared" si="6"/>
        <v>14351</v>
      </c>
      <c r="Z212" s="10">
        <f t="shared" si="7"/>
        <v>1131</v>
      </c>
      <c r="AA212" s="11">
        <f t="shared" si="8"/>
        <v>7.8809839035607272</v>
      </c>
      <c r="AB212" s="13">
        <v>8</v>
      </c>
      <c r="AC212" s="14">
        <f t="shared" si="9"/>
        <v>0.1190160964392728</v>
      </c>
      <c r="AD212" s="13">
        <f ca="1">IFERROR(__xludf.DUMMYFUNCTION("IFERROR(
  AVERAGE(
    FILTER(
      $AA$2:$AA212,
      $A$2:$A212 &gt;= A212 - 30,
      $A$2:$A212 &lt;= A212,
      $AA$2:$AA212 &gt; 0
    )
  ),
"""")"),7.76151874600745)</f>
        <v>7.7615187460074502</v>
      </c>
      <c r="AE212" s="14"/>
    </row>
    <row r="213" spans="1:31" x14ac:dyDescent="0.25">
      <c r="A213" s="9">
        <v>46112</v>
      </c>
      <c r="B213" s="10"/>
      <c r="C213" s="10">
        <v>879</v>
      </c>
      <c r="D213" s="10">
        <v>44</v>
      </c>
      <c r="E213" s="11">
        <f t="shared" si="0"/>
        <v>5.0056882821387942</v>
      </c>
      <c r="F213" s="13">
        <v>6</v>
      </c>
      <c r="G213" s="14">
        <f t="shared" si="1"/>
        <v>0.99431171786120576</v>
      </c>
      <c r="H213" s="13">
        <f ca="1">IFERROR(__xludf.DUMMYFUNCTION("IFERROR(
  AVERAGE(
    FILTER(
      $E$2:$E213,
      $A$2:$A213&gt;=A213-30,
      $A$2:$A213&lt;=A213,
      $E$2:$E213&gt;0
    )
  ),
  """"
)"),4.42508964200352)</f>
        <v>4.4250896420035204</v>
      </c>
      <c r="I213" s="14"/>
      <c r="J213" s="10"/>
      <c r="K213" s="10">
        <v>9760</v>
      </c>
      <c r="L213" s="10">
        <v>714</v>
      </c>
      <c r="M213" s="11">
        <f t="shared" si="2"/>
        <v>7.3155737704918042</v>
      </c>
      <c r="N213" s="13">
        <v>8</v>
      </c>
      <c r="O213" s="14">
        <f t="shared" si="3"/>
        <v>0.68442622950819576</v>
      </c>
      <c r="P213" s="13"/>
      <c r="Q213" s="10"/>
      <c r="R213" s="10">
        <v>13558</v>
      </c>
      <c r="S213" s="10">
        <v>925</v>
      </c>
      <c r="T213" s="11">
        <f t="shared" si="4"/>
        <v>6.822540197669273</v>
      </c>
      <c r="U213" s="13">
        <v>8</v>
      </c>
      <c r="V213" s="14">
        <f t="shared" si="5"/>
        <v>1.177459802330727</v>
      </c>
      <c r="W213" s="10"/>
      <c r="X213" s="10"/>
      <c r="Y213" s="10">
        <f t="shared" si="6"/>
        <v>23318</v>
      </c>
      <c r="Z213" s="10">
        <f t="shared" si="7"/>
        <v>1683</v>
      </c>
      <c r="AA213" s="11">
        <f t="shared" si="8"/>
        <v>7.2176001372330392</v>
      </c>
      <c r="AB213" s="13">
        <v>8</v>
      </c>
      <c r="AC213" s="14">
        <f t="shared" si="9"/>
        <v>0.78239986276696083</v>
      </c>
      <c r="AD213" s="13">
        <f ca="1">IFERROR(__xludf.DUMMYFUNCTION("IFERROR(
  AVERAGE(
    FILTER(
      $AA$2:$AA213,
      $A$2:$A213 &gt;= A213 - 30,
      $A$2:$A213 &lt;= A213,
      $AA$2:$AA213 &gt; 0
    )
  ),
"""")"),7.71492617754859)</f>
        <v>7.7149261775485902</v>
      </c>
      <c r="AE213" s="14"/>
    </row>
    <row r="214" spans="1:31" x14ac:dyDescent="0.25">
      <c r="A214" s="9">
        <v>46113</v>
      </c>
      <c r="B214" s="10"/>
      <c r="C214" s="10">
        <v>3253</v>
      </c>
      <c r="D214" s="10">
        <v>108</v>
      </c>
      <c r="E214" s="11">
        <f t="shared" si="0"/>
        <v>3.3200122963418384</v>
      </c>
      <c r="F214" s="13">
        <v>6</v>
      </c>
      <c r="G214" s="14">
        <f t="shared" si="1"/>
        <v>2.6799877036581616</v>
      </c>
      <c r="H214" s="13">
        <f ca="1">IFERROR(__xludf.DUMMYFUNCTION("IFERROR(
  AVERAGE(
    FILTER(
      $E$2:$E214,
      $A$2:$A214&gt;=A214-30,
      $A$2:$A214&lt;=A214,
      $E$2:$E214&gt;0
    )
  ),
  """"
)"),4.38258666717038)</f>
        <v>4.3825866671703801</v>
      </c>
      <c r="I214" s="14"/>
      <c r="J214" s="10"/>
      <c r="K214" s="10">
        <v>360</v>
      </c>
      <c r="L214" s="10">
        <v>25</v>
      </c>
      <c r="M214" s="11">
        <f t="shared" si="2"/>
        <v>6.9444444444444446</v>
      </c>
      <c r="N214" s="13">
        <v>8</v>
      </c>
      <c r="O214" s="14">
        <f t="shared" si="3"/>
        <v>1.0555555555555554</v>
      </c>
      <c r="P214" s="13"/>
      <c r="Q214" s="10"/>
      <c r="R214" s="10">
        <v>893</v>
      </c>
      <c r="S214" s="10">
        <v>40</v>
      </c>
      <c r="T214" s="11">
        <f t="shared" si="4"/>
        <v>4.4792833146696527</v>
      </c>
      <c r="U214" s="13">
        <v>8</v>
      </c>
      <c r="V214" s="14">
        <f t="shared" si="5"/>
        <v>3.5207166853303473</v>
      </c>
      <c r="W214" s="10"/>
      <c r="X214" s="10"/>
      <c r="Y214" s="10">
        <f t="shared" si="6"/>
        <v>1253</v>
      </c>
      <c r="Z214" s="10">
        <f t="shared" si="7"/>
        <v>173</v>
      </c>
      <c r="AA214" s="11">
        <f t="shared" si="8"/>
        <v>13.806863527533919</v>
      </c>
      <c r="AB214" s="13">
        <v>8</v>
      </c>
      <c r="AC214" s="14">
        <f t="shared" si="9"/>
        <v>-5.8068635275339187</v>
      </c>
      <c r="AD214" s="13">
        <f ca="1">IFERROR(__xludf.DUMMYFUNCTION("IFERROR(
  AVERAGE(
    FILTER(
      $AA$2:$AA214,
      $A$2:$A214 &gt;= A214 - 30,
      $A$2:$A214 &lt;= A214,
      $AA$2:$AA214 &gt; 0
    )
  ),
"""")"),7.9249929827205)</f>
        <v>7.9249929827205001</v>
      </c>
      <c r="AE214" s="14"/>
    </row>
    <row r="215" spans="1:31" x14ac:dyDescent="0.25">
      <c r="A215" s="9">
        <v>46114</v>
      </c>
      <c r="B215" s="10"/>
      <c r="C215" s="10">
        <v>2518</v>
      </c>
      <c r="D215" s="10">
        <v>106</v>
      </c>
      <c r="E215" s="11">
        <f t="shared" si="0"/>
        <v>4.2096902303415407</v>
      </c>
      <c r="F215" s="13">
        <v>6</v>
      </c>
      <c r="G215" s="14">
        <f t="shared" si="1"/>
        <v>1.7903097696584593</v>
      </c>
      <c r="H215" s="13">
        <f ca="1">IFERROR(__xludf.DUMMYFUNCTION("IFERROR(
  AVERAGE(
    FILTER(
      $E$2:$E215,
      $A$2:$A215&gt;=A215-30,
      $A$2:$A215&lt;=A215,
      $E$2:$E215&gt;0
    )
  ),
  """"
)"),4.34487849929692)</f>
        <v>4.3448784992969198</v>
      </c>
      <c r="I215" s="14"/>
      <c r="J215" s="10"/>
      <c r="K215" s="10">
        <v>4236</v>
      </c>
      <c r="L215" s="10">
        <v>425</v>
      </c>
      <c r="M215" s="11">
        <f t="shared" si="2"/>
        <v>10.033050047214353</v>
      </c>
      <c r="N215" s="13">
        <v>8</v>
      </c>
      <c r="O215" s="14">
        <f t="shared" si="3"/>
        <v>-2.0330500472143527</v>
      </c>
      <c r="P215" s="13"/>
      <c r="Q215" s="10"/>
      <c r="R215" s="10">
        <v>5437</v>
      </c>
      <c r="S215" s="10">
        <v>554</v>
      </c>
      <c r="T215" s="11">
        <f t="shared" si="4"/>
        <v>10.18944270737539</v>
      </c>
      <c r="U215" s="13">
        <v>8</v>
      </c>
      <c r="V215" s="14">
        <f t="shared" si="5"/>
        <v>-2.1894427073753899</v>
      </c>
      <c r="W215" s="10"/>
      <c r="X215" s="10"/>
      <c r="Y215" s="10">
        <f t="shared" si="6"/>
        <v>9673</v>
      </c>
      <c r="Z215" s="10">
        <f t="shared" si="7"/>
        <v>1085</v>
      </c>
      <c r="AA215" s="11">
        <f t="shared" si="8"/>
        <v>11.216789000310142</v>
      </c>
      <c r="AB215" s="13">
        <v>8</v>
      </c>
      <c r="AC215" s="14">
        <f t="shared" si="9"/>
        <v>-3.2167890003101416</v>
      </c>
      <c r="AD215" s="13">
        <f ca="1">IFERROR(__xludf.DUMMYFUNCTION("IFERROR(
  AVERAGE(
    FILTER(
      $AA$2:$AA215,
      $A$2:$A215 &gt;= A215 - 30,
      $A$2:$A215 &lt;= A215,
      $AA$2:$AA215 &gt; 0
    )
  ),
"""")"),8.06489183713732)</f>
        <v>8.0648918371373206</v>
      </c>
      <c r="AE215" s="14"/>
    </row>
    <row r="216" spans="1:31" x14ac:dyDescent="0.25">
      <c r="A216" s="9">
        <v>46115</v>
      </c>
      <c r="B216" s="10"/>
      <c r="C216" s="10">
        <v>3155</v>
      </c>
      <c r="D216" s="10">
        <v>84</v>
      </c>
      <c r="E216" s="11">
        <f t="shared" si="0"/>
        <v>2.6624405705229797</v>
      </c>
      <c r="F216" s="13">
        <v>6</v>
      </c>
      <c r="G216" s="14">
        <f t="shared" si="1"/>
        <v>3.3375594294770203</v>
      </c>
      <c r="H216" s="13">
        <f ca="1">IFERROR(__xludf.DUMMYFUNCTION("IFERROR(
  AVERAGE(
    FILTER(
      $E$2:$E216,
      $A$2:$A216&gt;=A216-30,
      $A$2:$A216&lt;=A216,
      $E$2:$E216&gt;0
    )
  ),
  """"
)"),4.22283028850967)</f>
        <v>4.2228302885096696</v>
      </c>
      <c r="I216" s="14"/>
      <c r="J216" s="10"/>
      <c r="K216" s="10">
        <v>10071</v>
      </c>
      <c r="L216" s="10">
        <v>365</v>
      </c>
      <c r="M216" s="11">
        <f t="shared" si="2"/>
        <v>3.6242676993347231</v>
      </c>
      <c r="N216" s="13">
        <v>8</v>
      </c>
      <c r="O216" s="14">
        <f t="shared" si="3"/>
        <v>4.3757323006652769</v>
      </c>
      <c r="P216" s="13"/>
      <c r="Q216" s="10"/>
      <c r="R216" s="10">
        <v>7321</v>
      </c>
      <c r="S216" s="10">
        <v>490</v>
      </c>
      <c r="T216" s="11">
        <f t="shared" si="4"/>
        <v>6.6930747165687752</v>
      </c>
      <c r="U216" s="13">
        <v>8</v>
      </c>
      <c r="V216" s="14">
        <f t="shared" si="5"/>
        <v>1.3069252834312248</v>
      </c>
      <c r="W216" s="10"/>
      <c r="X216" s="10"/>
      <c r="Y216" s="10">
        <f t="shared" si="6"/>
        <v>17392</v>
      </c>
      <c r="Z216" s="10">
        <f t="shared" si="7"/>
        <v>939</v>
      </c>
      <c r="AA216" s="11">
        <f t="shared" si="8"/>
        <v>5.3990340386384545</v>
      </c>
      <c r="AB216" s="13">
        <v>8</v>
      </c>
      <c r="AC216" s="14">
        <f t="shared" si="9"/>
        <v>2.6009659613615455</v>
      </c>
      <c r="AD216" s="13">
        <f ca="1">IFERROR(__xludf.DUMMYFUNCTION("IFERROR(
  AVERAGE(
    FILTER(
      $AA$2:$AA216,
      $A$2:$A216 &gt;= A216 - 30,
      $A$2:$A216 &lt;= A216,
      $AA$2:$AA216 &gt; 0
    )
  ),
"""")"),7.89569192645175)</f>
        <v>7.8956919264517502</v>
      </c>
      <c r="AE216" s="14"/>
    </row>
    <row r="217" spans="1:31" x14ac:dyDescent="0.25">
      <c r="A217" s="9">
        <v>46116</v>
      </c>
      <c r="B217" s="10"/>
      <c r="C217" s="10">
        <v>1381</v>
      </c>
      <c r="D217" s="10">
        <v>67</v>
      </c>
      <c r="E217" s="11">
        <f t="shared" si="0"/>
        <v>4.8515568428674873</v>
      </c>
      <c r="F217" s="13">
        <v>6</v>
      </c>
      <c r="G217" s="14">
        <f t="shared" si="1"/>
        <v>1.1484431571325127</v>
      </c>
      <c r="H217" s="13">
        <f ca="1">IFERROR(__xludf.DUMMYFUNCTION("IFERROR(
  AVERAGE(
    FILTER(
      $E$2:$E217,
      $A$2:$A217&gt;=A217-30,
      $A$2:$A217&lt;=A217,
      $E$2:$E217&gt;0
    )
  ),
  """"
)"),4.24611645718959)</f>
        <v>4.24611645718959</v>
      </c>
      <c r="I217" s="14"/>
      <c r="J217" s="10"/>
      <c r="K217" s="10">
        <v>6979</v>
      </c>
      <c r="L217" s="10">
        <v>390</v>
      </c>
      <c r="M217" s="11">
        <f t="shared" si="2"/>
        <v>5.5881931508812146</v>
      </c>
      <c r="N217" s="13">
        <v>8</v>
      </c>
      <c r="O217" s="14">
        <f t="shared" si="3"/>
        <v>2.4118068491187854</v>
      </c>
      <c r="P217" s="13"/>
      <c r="Q217" s="10"/>
      <c r="R217" s="10">
        <v>0</v>
      </c>
      <c r="S217" s="10">
        <v>0</v>
      </c>
      <c r="T217" s="11" t="e">
        <f t="shared" si="4"/>
        <v>#DIV/0!</v>
      </c>
      <c r="U217" s="13">
        <v>8</v>
      </c>
      <c r="V217" s="14" t="e">
        <f t="shared" si="5"/>
        <v>#DIV/0!</v>
      </c>
      <c r="W217" s="10"/>
      <c r="X217" s="10"/>
      <c r="Y217" s="10">
        <f t="shared" si="6"/>
        <v>6979</v>
      </c>
      <c r="Z217" s="10">
        <f t="shared" si="7"/>
        <v>457</v>
      </c>
      <c r="AA217" s="11">
        <f t="shared" si="8"/>
        <v>6.5482160768018343</v>
      </c>
      <c r="AB217" s="13">
        <v>8</v>
      </c>
      <c r="AC217" s="14">
        <f t="shared" si="9"/>
        <v>1.4517839231981657</v>
      </c>
      <c r="AD217" s="13">
        <f ca="1">IFERROR(__xludf.DUMMYFUNCTION("IFERROR(
  AVERAGE(
    FILTER(
      $AA$2:$AA217,
      $A$2:$A217 &gt;= A217 - 30,
      $A$2:$A217 &lt;= A217,
      $AA$2:$AA217 &gt; 0
    )
  ),
"""")"),7.85077606479675)</f>
        <v>7.8507760647967499</v>
      </c>
      <c r="AE217" s="14"/>
    </row>
    <row r="218" spans="1:31" x14ac:dyDescent="0.25">
      <c r="A218" s="9">
        <v>46117</v>
      </c>
      <c r="B218" s="10"/>
      <c r="C218" s="10">
        <v>0</v>
      </c>
      <c r="D218" s="10">
        <v>0</v>
      </c>
      <c r="E218" s="11" t="e">
        <f t="shared" si="0"/>
        <v>#DIV/0!</v>
      </c>
      <c r="F218" s="13">
        <v>6</v>
      </c>
      <c r="G218" s="14" t="e">
        <f t="shared" si="1"/>
        <v>#DIV/0!</v>
      </c>
      <c r="H218" s="13">
        <f ca="1">IFERROR(__xludf.DUMMYFUNCTION("IFERROR(
  AVERAGE(
    FILTER(
      $E$2:$E218,
      $A$2:$A218&gt;=A218-30,
      $A$2:$A218&lt;=A218,
      $E$2:$E218&gt;0
    )
  ),
  """"
)"),4.26191988736122)</f>
        <v>4.2619198873612198</v>
      </c>
      <c r="I218" s="14"/>
      <c r="J218" s="10"/>
      <c r="K218" s="10">
        <v>0</v>
      </c>
      <c r="L218" s="10">
        <v>0</v>
      </c>
      <c r="M218" s="11" t="e">
        <f t="shared" si="2"/>
        <v>#DIV/0!</v>
      </c>
      <c r="N218" s="13">
        <v>8</v>
      </c>
      <c r="O218" s="14" t="e">
        <f t="shared" si="3"/>
        <v>#DIV/0!</v>
      </c>
      <c r="P218" s="13"/>
      <c r="Q218" s="10"/>
      <c r="R218" s="10">
        <v>10591</v>
      </c>
      <c r="S218" s="10">
        <v>706</v>
      </c>
      <c r="T218" s="11">
        <f t="shared" si="4"/>
        <v>6.6660372013974118</v>
      </c>
      <c r="U218" s="13">
        <v>8</v>
      </c>
      <c r="V218" s="14">
        <f t="shared" si="5"/>
        <v>1.3339627986025882</v>
      </c>
      <c r="W218" s="10"/>
      <c r="X218" s="10"/>
      <c r="Y218" s="10">
        <f t="shared" si="6"/>
        <v>10591</v>
      </c>
      <c r="Z218" s="10">
        <f t="shared" si="7"/>
        <v>706</v>
      </c>
      <c r="AA218" s="11">
        <f t="shared" si="8"/>
        <v>6.6660372013974118</v>
      </c>
      <c r="AB218" s="13">
        <v>8</v>
      </c>
      <c r="AC218" s="14">
        <f t="shared" si="9"/>
        <v>1.3339627986025882</v>
      </c>
      <c r="AD218" s="13">
        <f ca="1">IFERROR(__xludf.DUMMYFUNCTION("IFERROR(
  AVERAGE(
    FILTER(
      $AA$2:$AA218,
      $A$2:$A218 &gt;= A218 - 30,
      $A$2:$A218 &lt;= A218,
      $AA$2:$AA218 &gt; 0
    )
  ),
"""")"),7.8525674908773)</f>
        <v>7.8525674908773002</v>
      </c>
      <c r="AE218" s="14"/>
    </row>
    <row r="219" spans="1:31" x14ac:dyDescent="0.25">
      <c r="A219" s="9">
        <v>46118</v>
      </c>
      <c r="B219" s="10"/>
      <c r="C219" s="10">
        <v>1107</v>
      </c>
      <c r="D219" s="10">
        <v>20</v>
      </c>
      <c r="E219" s="11">
        <f t="shared" si="0"/>
        <v>1.8066847335140017</v>
      </c>
      <c r="F219" s="13">
        <v>6</v>
      </c>
      <c r="G219" s="14">
        <f t="shared" si="1"/>
        <v>4.1933152664859978</v>
      </c>
      <c r="H219" s="13">
        <f ca="1">IFERROR(__xludf.DUMMYFUNCTION("IFERROR(
  AVERAGE(
    FILTER(
      $E$2:$E219,
      $A$2:$A219&gt;=A219-30,
      $A$2:$A219&lt;=A219,
      $E$2:$E219&gt;0
    )
  ),
  """"
)"),4.13820143534325)</f>
        <v>4.1382014353432499</v>
      </c>
      <c r="I219" s="14"/>
      <c r="J219" s="10"/>
      <c r="K219" s="10">
        <v>13152</v>
      </c>
      <c r="L219" s="10">
        <v>537</v>
      </c>
      <c r="M219" s="11">
        <f t="shared" si="2"/>
        <v>4.0830291970802923</v>
      </c>
      <c r="N219" s="13">
        <v>8</v>
      </c>
      <c r="O219" s="14">
        <f t="shared" si="3"/>
        <v>3.9169708029197077</v>
      </c>
      <c r="P219" s="13"/>
      <c r="Q219" s="10"/>
      <c r="R219" s="10">
        <v>7984</v>
      </c>
      <c r="S219" s="10">
        <v>536</v>
      </c>
      <c r="T219" s="11">
        <f t="shared" si="4"/>
        <v>6.7134268537074142</v>
      </c>
      <c r="U219" s="13">
        <v>8</v>
      </c>
      <c r="V219" s="14">
        <f t="shared" si="5"/>
        <v>1.2865731462925858</v>
      </c>
      <c r="W219" s="10"/>
      <c r="X219" s="10"/>
      <c r="Y219" s="10">
        <f t="shared" si="6"/>
        <v>21136</v>
      </c>
      <c r="Z219" s="10">
        <f t="shared" si="7"/>
        <v>1093</v>
      </c>
      <c r="AA219" s="11">
        <f t="shared" si="8"/>
        <v>5.1712717638152919</v>
      </c>
      <c r="AB219" s="13">
        <v>8</v>
      </c>
      <c r="AC219" s="14">
        <f t="shared" si="9"/>
        <v>2.8287282361847081</v>
      </c>
      <c r="AD219" s="13">
        <f ca="1">IFERROR(__xludf.DUMMYFUNCTION("IFERROR(
  AVERAGE(
    FILTER(
      $AA$2:$AA219,
      $A$2:$A219 &gt;= A219 - 30,
      $A$2:$A219 &lt;= A219,
      $AA$2:$AA219 &gt; 0
    )
  ),
"""")"),7.81586713923346)</f>
        <v>7.8158671392334602</v>
      </c>
      <c r="AE219" s="14"/>
    </row>
    <row r="220" spans="1:31" x14ac:dyDescent="0.25">
      <c r="A220" s="9">
        <v>46119</v>
      </c>
      <c r="B220" s="10"/>
      <c r="C220" s="10">
        <v>1562</v>
      </c>
      <c r="D220" s="10">
        <v>19</v>
      </c>
      <c r="E220" s="11">
        <f t="shared" si="0"/>
        <v>1.2163892445582587</v>
      </c>
      <c r="F220" s="13">
        <v>6</v>
      </c>
      <c r="G220" s="14">
        <f t="shared" si="1"/>
        <v>4.7836107554417415</v>
      </c>
      <c r="H220" s="13">
        <f ca="1">IFERROR(__xludf.DUMMYFUNCTION("IFERROR(
  AVERAGE(
    FILTER(
      $E$2:$E220,
      $A$2:$A220&gt;=A220-30,
      $A$2:$A220&lt;=A220,
      $E$2:$E220&gt;0
    )
  ),
  """"
)"),4.08185799546784)</f>
        <v>4.08185799546784</v>
      </c>
      <c r="I220" s="14"/>
      <c r="J220" s="10"/>
      <c r="K220" s="10">
        <v>5480</v>
      </c>
      <c r="L220" s="10">
        <v>413</v>
      </c>
      <c r="M220" s="11">
        <f t="shared" si="2"/>
        <v>7.5364963503649633</v>
      </c>
      <c r="N220" s="13">
        <v>8</v>
      </c>
      <c r="O220" s="14">
        <f t="shared" si="3"/>
        <v>0.46350364963503665</v>
      </c>
      <c r="P220" s="13"/>
      <c r="Q220" s="10"/>
      <c r="R220" s="10">
        <v>7980</v>
      </c>
      <c r="S220" s="10">
        <v>536</v>
      </c>
      <c r="T220" s="11">
        <f t="shared" si="4"/>
        <v>6.7167919799498748</v>
      </c>
      <c r="U220" s="13">
        <v>8</v>
      </c>
      <c r="V220" s="14">
        <f t="shared" si="5"/>
        <v>1.2832080200501252</v>
      </c>
      <c r="W220" s="10"/>
      <c r="X220" s="10"/>
      <c r="Y220" s="10">
        <f t="shared" si="6"/>
        <v>13460</v>
      </c>
      <c r="Z220" s="10">
        <f t="shared" si="7"/>
        <v>968</v>
      </c>
      <c r="AA220" s="11">
        <f t="shared" si="8"/>
        <v>7.1916790490341747</v>
      </c>
      <c r="AB220" s="13">
        <v>8</v>
      </c>
      <c r="AC220" s="14">
        <f t="shared" si="9"/>
        <v>0.80832095096582535</v>
      </c>
      <c r="AD220" s="13">
        <f ca="1">IFERROR(__xludf.DUMMYFUNCTION("IFERROR(
  AVERAGE(
    FILTER(
      $AA$2:$AA220,
      $A$2:$A220 &gt;= A220 - 30,
      $A$2:$A220 &lt;= A220,
      $AA$2:$AA220 &gt; 0
    )
  ),
"""")"),7.89073828905275)</f>
        <v>7.8907382890527504</v>
      </c>
      <c r="AE220" s="14"/>
    </row>
    <row r="221" spans="1:31" x14ac:dyDescent="0.25">
      <c r="A221" s="9">
        <v>46120</v>
      </c>
      <c r="B221" s="10"/>
      <c r="C221" s="10">
        <v>2572</v>
      </c>
      <c r="D221" s="10">
        <v>79</v>
      </c>
      <c r="E221" s="11">
        <f t="shared" si="0"/>
        <v>3.0715396578538101</v>
      </c>
      <c r="F221" s="13">
        <v>6</v>
      </c>
      <c r="G221" s="14">
        <f t="shared" si="1"/>
        <v>2.9284603421461899</v>
      </c>
      <c r="H221" s="13">
        <f ca="1">IFERROR(__xludf.DUMMYFUNCTION("IFERROR(
  AVERAGE(
    FILTER(
      $E$2:$E221,
      $A$2:$A221&gt;=A221-30,
      $A$2:$A221&lt;=A221,
      $E$2:$E221&gt;0
    )
  ),
  """"
)"),4.04443879777844)</f>
        <v>4.0444387977784402</v>
      </c>
      <c r="I221" s="14"/>
      <c r="J221" s="10"/>
      <c r="K221" s="10">
        <v>5272</v>
      </c>
      <c r="L221" s="10">
        <v>229</v>
      </c>
      <c r="M221" s="11">
        <f t="shared" si="2"/>
        <v>4.3437025796661608</v>
      </c>
      <c r="N221" s="13">
        <v>8</v>
      </c>
      <c r="O221" s="14">
        <f t="shared" si="3"/>
        <v>3.6562974203338392</v>
      </c>
      <c r="P221" s="13"/>
      <c r="Q221" s="10"/>
      <c r="R221" s="10">
        <v>3678</v>
      </c>
      <c r="S221" s="10">
        <v>193</v>
      </c>
      <c r="T221" s="11">
        <f t="shared" si="4"/>
        <v>5.247417074497009</v>
      </c>
      <c r="U221" s="13">
        <v>8</v>
      </c>
      <c r="V221" s="14">
        <f t="shared" si="5"/>
        <v>2.752582925502991</v>
      </c>
      <c r="W221" s="10"/>
      <c r="X221" s="10"/>
      <c r="Y221" s="10">
        <f t="shared" si="6"/>
        <v>8950</v>
      </c>
      <c r="Z221" s="10">
        <f t="shared" si="7"/>
        <v>501</v>
      </c>
      <c r="AA221" s="11">
        <f t="shared" si="8"/>
        <v>5.5977653631284916</v>
      </c>
      <c r="AB221" s="13">
        <v>8</v>
      </c>
      <c r="AC221" s="14">
        <f t="shared" si="9"/>
        <v>2.4022346368715084</v>
      </c>
      <c r="AD221" s="13">
        <f ca="1">IFERROR(__xludf.DUMMYFUNCTION("IFERROR(
  AVERAGE(
    FILTER(
      $AA$2:$AA221,
      $A$2:$A221 &gt;= A221 - 30,
      $A$2:$A221 &lt;= A221,
      $AA$2:$AA221 &gt; 0
    )
  ),
"""")"),7.88876381309163)</f>
        <v>7.8887638130916304</v>
      </c>
      <c r="AE221" s="14"/>
    </row>
    <row r="222" spans="1:31" x14ac:dyDescent="0.25">
      <c r="A222" s="9">
        <v>46121</v>
      </c>
      <c r="B222" s="10"/>
      <c r="C222" s="10">
        <v>1268</v>
      </c>
      <c r="D222" s="10">
        <v>69</v>
      </c>
      <c r="E222" s="11">
        <f t="shared" si="0"/>
        <v>5.4416403785488958</v>
      </c>
      <c r="F222" s="13">
        <v>6</v>
      </c>
      <c r="G222" s="14">
        <f t="shared" si="1"/>
        <v>0.55835962145110418</v>
      </c>
      <c r="H222" s="13">
        <f ca="1">IFERROR(__xludf.DUMMYFUNCTION("IFERROR(
  AVERAGE(
    FILTER(
      $E$2:$E222,
      $A$2:$A222&gt;=A222-30,
      $A$2:$A222&lt;=A222,
      $E$2:$E222&gt;0
    )
  ),
  """"
)"),4.0171400257123)</f>
        <v>4.0171400257123002</v>
      </c>
      <c r="I222" s="14"/>
      <c r="J222" s="10"/>
      <c r="K222" s="10">
        <v>4310</v>
      </c>
      <c r="L222" s="10">
        <v>255</v>
      </c>
      <c r="M222" s="11">
        <f t="shared" si="2"/>
        <v>5.916473317865429</v>
      </c>
      <c r="N222" s="13">
        <v>8</v>
      </c>
      <c r="O222" s="14">
        <f t="shared" si="3"/>
        <v>2.083526682134571</v>
      </c>
      <c r="P222" s="13"/>
      <c r="Q222" s="10"/>
      <c r="R222" s="10">
        <v>7018</v>
      </c>
      <c r="S222" s="10">
        <v>424</v>
      </c>
      <c r="T222" s="11">
        <f t="shared" si="4"/>
        <v>6.0416072955257905</v>
      </c>
      <c r="U222" s="13">
        <v>8</v>
      </c>
      <c r="V222" s="14">
        <f t="shared" si="5"/>
        <v>1.9583927044742095</v>
      </c>
      <c r="W222" s="10"/>
      <c r="X222" s="10"/>
      <c r="Y222" s="10"/>
      <c r="Z222" s="10"/>
      <c r="AA222" s="11" t="e">
        <f t="shared" si="8"/>
        <v>#DIV/0!</v>
      </c>
      <c r="AB222" s="13">
        <v>8</v>
      </c>
      <c r="AC222" s="14" t="e">
        <f t="shared" si="9"/>
        <v>#DIV/0!</v>
      </c>
      <c r="AD222" s="13">
        <f ca="1">IFERROR(__xludf.DUMMYFUNCTION("IFERROR(
  AVERAGE(
    FILTER(
      $AA$2:$AA222,
      $A$2:$A222 &gt;= A222 - 30,
      $A$2:$A222 &lt;= A222,
      $AA$2:$AA222 &gt; 0
    )
  ),
"""")"),7.83718938904125)</f>
        <v>7.8371893890412503</v>
      </c>
      <c r="AE222" s="14"/>
    </row>
    <row r="223" spans="1:31" x14ac:dyDescent="0.25">
      <c r="A223" s="9">
        <v>46122</v>
      </c>
      <c r="B223" s="10"/>
      <c r="C223" s="10">
        <v>2025</v>
      </c>
      <c r="D223" s="10">
        <v>87</v>
      </c>
      <c r="E223" s="11">
        <f t="shared" si="0"/>
        <v>4.2962962962962958</v>
      </c>
      <c r="F223" s="13">
        <v>6</v>
      </c>
      <c r="G223" s="14">
        <f t="shared" si="1"/>
        <v>1.7037037037037042</v>
      </c>
      <c r="H223" s="13">
        <f ca="1">IFERROR(__xludf.DUMMYFUNCTION("IFERROR(
  AVERAGE(
    FILTER(
      $E$2:$E223,
      $A$2:$A223&gt;=A223-30,
      $A$2:$A223&lt;=A223,
      $E$2:$E223&gt;0
    )
  ),
  """"
)"),4.15112465134314)</f>
        <v>4.1511246513431397</v>
      </c>
      <c r="I223" s="14"/>
      <c r="J223" s="10"/>
      <c r="K223" s="10">
        <v>5758</v>
      </c>
      <c r="L223" s="10">
        <v>219</v>
      </c>
      <c r="M223" s="11">
        <f t="shared" si="2"/>
        <v>3.8034039597082319</v>
      </c>
      <c r="N223" s="13">
        <v>8</v>
      </c>
      <c r="O223" s="14">
        <f t="shared" si="3"/>
        <v>4.1965960402917677</v>
      </c>
      <c r="P223" s="13"/>
      <c r="Q223" s="10"/>
      <c r="R223" s="10">
        <v>7742</v>
      </c>
      <c r="S223" s="10">
        <v>593</v>
      </c>
      <c r="T223" s="11">
        <f t="shared" si="4"/>
        <v>7.6595195040041339</v>
      </c>
      <c r="U223" s="13">
        <v>8</v>
      </c>
      <c r="V223" s="14">
        <f t="shared" si="5"/>
        <v>0.34048049599586605</v>
      </c>
      <c r="W223" s="10"/>
      <c r="X223" s="10"/>
      <c r="Y223" s="10"/>
      <c r="Z223" s="10"/>
      <c r="AA223" s="11" t="e">
        <f t="shared" si="8"/>
        <v>#DIV/0!</v>
      </c>
      <c r="AB223" s="13">
        <v>8</v>
      </c>
      <c r="AC223" s="14" t="e">
        <f t="shared" si="9"/>
        <v>#DIV/0!</v>
      </c>
      <c r="AD223" s="13">
        <f ca="1">IFERROR(__xludf.DUMMYFUNCTION("IFERROR(
  AVERAGE(
    FILTER(
      $AA$2:$AA223,
      $A$2:$A223 &gt;= A223 - 30,
      $A$2:$A223 &lt;= A223,
      $AA$2:$AA223 &gt; 0
    )
  ),
"""")"),7.78220028071734)</f>
        <v>7.7822002807173396</v>
      </c>
      <c r="AE223" s="14"/>
    </row>
    <row r="224" spans="1:31" x14ac:dyDescent="0.25">
      <c r="A224" s="9">
        <v>46123</v>
      </c>
      <c r="B224" s="10"/>
      <c r="C224" s="10">
        <v>1178</v>
      </c>
      <c r="D224" s="10">
        <v>52</v>
      </c>
      <c r="E224" s="11">
        <f t="shared" si="0"/>
        <v>4.4142614601018675</v>
      </c>
      <c r="F224" s="13">
        <v>6</v>
      </c>
      <c r="G224" s="14">
        <f t="shared" si="1"/>
        <v>1.5857385398981325</v>
      </c>
      <c r="H224" s="13">
        <f ca="1">IFERROR(__xludf.DUMMYFUNCTION("IFERROR(
  AVERAGE(
    FILTER(
      $E$2:$E224,
      $A$2:$A224&gt;=A224-30,
      $A$2:$A224&lt;=A224,
      $E$2:$E224&gt;0
    )
  ),
  """"
)"),4.09728803510176)</f>
        <v>4.0972880351017604</v>
      </c>
      <c r="I224" s="14"/>
      <c r="J224" s="10"/>
      <c r="K224" s="10">
        <v>2336</v>
      </c>
      <c r="L224" s="10">
        <v>194</v>
      </c>
      <c r="M224" s="11">
        <f t="shared" si="2"/>
        <v>8.3047945205479454</v>
      </c>
      <c r="N224" s="13">
        <v>8</v>
      </c>
      <c r="O224" s="14">
        <f t="shared" si="3"/>
        <v>-0.30479452054794542</v>
      </c>
      <c r="P224" s="13"/>
      <c r="Q224" s="10"/>
      <c r="R224" s="10">
        <v>8221</v>
      </c>
      <c r="S224" s="10">
        <v>777</v>
      </c>
      <c r="T224" s="11">
        <f t="shared" si="4"/>
        <v>9.451404938571951</v>
      </c>
      <c r="U224" s="13">
        <v>8</v>
      </c>
      <c r="V224" s="14">
        <f t="shared" si="5"/>
        <v>-1.451404938571951</v>
      </c>
      <c r="W224" s="10"/>
      <c r="X224" s="10"/>
      <c r="Y224" s="10"/>
      <c r="Z224" s="10"/>
      <c r="AA224" s="11" t="e">
        <f t="shared" si="8"/>
        <v>#DIV/0!</v>
      </c>
      <c r="AB224" s="13">
        <v>8</v>
      </c>
      <c r="AC224" s="14" t="e">
        <f t="shared" si="9"/>
        <v>#DIV/0!</v>
      </c>
      <c r="AD224" s="13">
        <f ca="1">IFERROR(__xludf.DUMMYFUNCTION("IFERROR(
  AVERAGE(
    FILTER(
      $AA$2:$AA224,
      $A$2:$A224 &gt;= A224 - 30,
      $A$2:$A224 &lt;= A224,
      $AA$2:$AA224 &gt; 0
    )
  ),
"""")"),7.70827985452479)</f>
        <v>7.7082798545247897</v>
      </c>
      <c r="AE224" s="14"/>
    </row>
    <row r="225" spans="1:31" x14ac:dyDescent="0.25">
      <c r="A225" s="9">
        <v>46124</v>
      </c>
      <c r="B225" s="10"/>
      <c r="C225" s="10">
        <v>0</v>
      </c>
      <c r="D225" s="10">
        <v>0</v>
      </c>
      <c r="E225" s="11" t="e">
        <f t="shared" si="0"/>
        <v>#DIV/0!</v>
      </c>
      <c r="F225" s="13">
        <v>6</v>
      </c>
      <c r="G225" s="14" t="e">
        <f t="shared" si="1"/>
        <v>#DIV/0!</v>
      </c>
      <c r="H225" s="13">
        <f ca="1">IFERROR(__xludf.DUMMYFUNCTION("IFERROR(
  AVERAGE(
    FILTER(
      $E$2:$E225,
      $A$2:$A225&gt;=A225-30,
      $A$2:$A225&lt;=A225,
      $E$2:$E225&gt;0
    )
  ),
  """"
)"),4.13173623347551)</f>
        <v>4.1317362334755101</v>
      </c>
      <c r="I225" s="14"/>
      <c r="J225" s="10"/>
      <c r="K225" s="10">
        <v>0</v>
      </c>
      <c r="L225" s="10">
        <v>0</v>
      </c>
      <c r="M225" s="11" t="e">
        <f t="shared" si="2"/>
        <v>#DIV/0!</v>
      </c>
      <c r="N225" s="13">
        <v>8</v>
      </c>
      <c r="O225" s="14" t="e">
        <f t="shared" si="3"/>
        <v>#DIV/0!</v>
      </c>
      <c r="P225" s="13"/>
      <c r="Q225" s="10"/>
      <c r="R225" s="10">
        <v>0</v>
      </c>
      <c r="S225" s="10">
        <v>0</v>
      </c>
      <c r="T225" s="11" t="e">
        <f t="shared" si="4"/>
        <v>#DIV/0!</v>
      </c>
      <c r="U225" s="13">
        <v>8</v>
      </c>
      <c r="V225" s="14" t="e">
        <f t="shared" si="5"/>
        <v>#DIV/0!</v>
      </c>
      <c r="W225" s="10"/>
      <c r="X225" s="10"/>
      <c r="Y225" s="10"/>
      <c r="Z225" s="10"/>
      <c r="AA225" s="11" t="e">
        <f t="shared" si="8"/>
        <v>#DIV/0!</v>
      </c>
      <c r="AB225" s="13">
        <v>8</v>
      </c>
      <c r="AC225" s="14" t="e">
        <f t="shared" si="9"/>
        <v>#DIV/0!</v>
      </c>
      <c r="AD225" s="13">
        <f ca="1">IFERROR(__xludf.DUMMYFUNCTION("IFERROR(
  AVERAGE(
    FILTER(
      $AA$2:$AA225,
      $A$2:$A225 &gt;= A225 - 30,
      $A$2:$A225 &lt;= A225,
      $AA$2:$AA225 &gt; 0
    )
  ),
"""")"),7.71425506849295)</f>
        <v>7.7142550684929496</v>
      </c>
      <c r="AE225" s="14"/>
    </row>
    <row r="226" spans="1:31" x14ac:dyDescent="0.25">
      <c r="A226" s="9">
        <v>46125</v>
      </c>
      <c r="B226" s="10"/>
      <c r="C226" s="10">
        <v>2972</v>
      </c>
      <c r="D226" s="10">
        <v>95</v>
      </c>
      <c r="E226" s="11">
        <f t="shared" si="0"/>
        <v>3.1965006729475101</v>
      </c>
      <c r="F226" s="13">
        <v>6</v>
      </c>
      <c r="G226" s="14">
        <f t="shared" si="1"/>
        <v>2.8034993270524899</v>
      </c>
      <c r="H226" s="13">
        <f ca="1">IFERROR(__xludf.DUMMYFUNCTION("IFERROR(
  AVERAGE(
    FILTER(
      $E$2:$E226,
      $A$2:$A226&gt;=A226-30,
      $A$2:$A226&lt;=A226,
      $E$2:$E226&gt;0
    )
  ),
  """"
)"),4.04675067603331)</f>
        <v>4.0467506760333096</v>
      </c>
      <c r="I226" s="14"/>
      <c r="J226" s="10"/>
      <c r="K226" s="10">
        <v>5088</v>
      </c>
      <c r="L226" s="10">
        <v>256</v>
      </c>
      <c r="M226" s="11">
        <f t="shared" si="2"/>
        <v>5.0314465408805038</v>
      </c>
      <c r="N226" s="13">
        <v>8</v>
      </c>
      <c r="O226" s="14">
        <f t="shared" si="3"/>
        <v>2.9685534591194962</v>
      </c>
      <c r="P226" s="13"/>
      <c r="Q226" s="10"/>
      <c r="R226" s="10">
        <v>15206</v>
      </c>
      <c r="S226" s="10">
        <v>888</v>
      </c>
      <c r="T226" s="11">
        <f t="shared" si="4"/>
        <v>5.839800078916217</v>
      </c>
      <c r="U226" s="13">
        <v>8</v>
      </c>
      <c r="V226" s="14">
        <f t="shared" si="5"/>
        <v>2.160199921083783</v>
      </c>
      <c r="W226" s="10"/>
      <c r="X226" s="10"/>
      <c r="Y226" s="10"/>
      <c r="Z226" s="10"/>
      <c r="AA226" s="11" t="e">
        <f t="shared" si="8"/>
        <v>#DIV/0!</v>
      </c>
      <c r="AB226" s="13">
        <v>8</v>
      </c>
      <c r="AC226" s="14" t="e">
        <f t="shared" si="9"/>
        <v>#DIV/0!</v>
      </c>
      <c r="AD226" s="13">
        <f ca="1">IFERROR(__xludf.DUMMYFUNCTION("IFERROR(
  AVERAGE(
    FILTER(
      $AA$2:$AA226,
      $A$2:$A226 &gt;= A226 - 30,
      $A$2:$A226 &lt;= A226,
      $AA$2:$AA226 &gt; 0
    )
  ),
"""")"),7.70065064539312)</f>
        <v>7.7006506453931198</v>
      </c>
      <c r="AE226" s="14"/>
    </row>
    <row r="227" spans="1:31" x14ac:dyDescent="0.25">
      <c r="A227" s="9">
        <v>46126</v>
      </c>
      <c r="B227" s="10"/>
      <c r="C227" s="10">
        <v>2047</v>
      </c>
      <c r="D227" s="10">
        <v>105</v>
      </c>
      <c r="E227" s="11">
        <f t="shared" si="0"/>
        <v>5.1294577430385928</v>
      </c>
      <c r="F227" s="13">
        <v>6</v>
      </c>
      <c r="G227" s="14">
        <f t="shared" si="1"/>
        <v>0.87054225696140719</v>
      </c>
      <c r="H227" s="13">
        <f ca="1">IFERROR(__xludf.DUMMYFUNCTION("IFERROR(
  AVERAGE(
    FILTER(
      $E$2:$E227,
      $A$2:$A227&gt;=A227-30,
      $A$2:$A227&lt;=A227,
      $E$2:$E227&gt;0
    )
  ),
  """"
)"),4.06704852223982)</f>
        <v>4.0670485222398201</v>
      </c>
      <c r="I227" s="14"/>
      <c r="J227" s="10"/>
      <c r="K227" s="10">
        <v>4739</v>
      </c>
      <c r="L227" s="10">
        <v>472</v>
      </c>
      <c r="M227" s="11">
        <f t="shared" si="2"/>
        <v>9.959907153407892</v>
      </c>
      <c r="N227" s="13">
        <v>8</v>
      </c>
      <c r="O227" s="14">
        <f t="shared" si="3"/>
        <v>-1.959907153407892</v>
      </c>
      <c r="P227" s="13"/>
      <c r="Q227" s="10"/>
      <c r="R227" s="10">
        <v>10776</v>
      </c>
      <c r="S227" s="10">
        <v>769</v>
      </c>
      <c r="T227" s="11">
        <f t="shared" si="4"/>
        <v>7.1362286562731994</v>
      </c>
      <c r="U227" s="13">
        <v>8</v>
      </c>
      <c r="V227" s="14">
        <f t="shared" si="5"/>
        <v>0.86377134372680064</v>
      </c>
      <c r="W227" s="10"/>
      <c r="X227" s="10"/>
      <c r="Y227" s="10"/>
      <c r="Z227" s="10"/>
      <c r="AA227" s="11" t="e">
        <f t="shared" si="8"/>
        <v>#DIV/0!</v>
      </c>
      <c r="AB227" s="13">
        <v>8</v>
      </c>
      <c r="AC227" s="14" t="e">
        <f t="shared" si="9"/>
        <v>#DIV/0!</v>
      </c>
      <c r="AD227" s="13">
        <f ca="1">IFERROR(__xludf.DUMMYFUNCTION("IFERROR(
  AVERAGE(
    FILTER(
      $AA$2:$AA227,
      $A$2:$A227 &gt;= A227 - 30,
      $A$2:$A227 &lt;= A227,
      $AA$2:$AA227 &gt; 0
    )
  ),
"""")"),7.77042049343529)</f>
        <v>7.7704204934352896</v>
      </c>
      <c r="AE227" s="14"/>
    </row>
    <row r="228" spans="1:31" x14ac:dyDescent="0.25">
      <c r="A228" s="9">
        <v>46127</v>
      </c>
      <c r="B228" s="10"/>
      <c r="C228" s="10">
        <v>0</v>
      </c>
      <c r="D228" s="10">
        <v>0</v>
      </c>
      <c r="E228" s="11" t="e">
        <f t="shared" si="0"/>
        <v>#DIV/0!</v>
      </c>
      <c r="F228" s="13">
        <v>6</v>
      </c>
      <c r="G228" s="14" t="e">
        <f t="shared" si="1"/>
        <v>#DIV/0!</v>
      </c>
      <c r="H228" s="13">
        <f ca="1">IFERROR(__xludf.DUMMYFUNCTION("IFERROR(
  AVERAGE(
    FILTER(
      $E$2:$E228,
      $A$2:$A228&gt;=A228-30,
      $A$2:$A228&lt;=A228,
      $E$2:$E228&gt;0
    )
  ),
  """"
)"),4.06704852223982)</f>
        <v>4.0670485222398201</v>
      </c>
      <c r="I228" s="14"/>
      <c r="J228" s="10"/>
      <c r="K228" s="10">
        <v>0</v>
      </c>
      <c r="L228" s="10">
        <v>0</v>
      </c>
      <c r="M228" s="11" t="e">
        <f t="shared" si="2"/>
        <v>#DIV/0!</v>
      </c>
      <c r="N228" s="13">
        <v>8</v>
      </c>
      <c r="O228" s="14" t="e">
        <f t="shared" si="3"/>
        <v>#DIV/0!</v>
      </c>
      <c r="P228" s="13"/>
      <c r="Q228" s="10"/>
      <c r="R228" s="10">
        <v>0</v>
      </c>
      <c r="S228" s="10">
        <v>0</v>
      </c>
      <c r="T228" s="11" t="e">
        <f t="shared" si="4"/>
        <v>#DIV/0!</v>
      </c>
      <c r="U228" s="13">
        <v>8</v>
      </c>
      <c r="V228" s="14" t="e">
        <f t="shared" si="5"/>
        <v>#DIV/0!</v>
      </c>
      <c r="W228" s="10"/>
      <c r="X228" s="10"/>
      <c r="Y228" s="10"/>
      <c r="Z228" s="10"/>
      <c r="AA228" s="11" t="e">
        <f t="shared" si="8"/>
        <v>#DIV/0!</v>
      </c>
      <c r="AB228" s="13">
        <v>8</v>
      </c>
      <c r="AC228" s="14" t="e">
        <f t="shared" si="9"/>
        <v>#DIV/0!</v>
      </c>
      <c r="AD228" s="13">
        <f ca="1">IFERROR(__xludf.DUMMYFUNCTION("IFERROR(
  AVERAGE(
    FILTER(
      $AA$2:$AA228,
      $A$2:$A228 &gt;= A228 - 30,
      $A$2:$A228 &lt;= A228,
      $AA$2:$AA228 &gt; 0
    )
  ),
"""")"),7.77042049343529)</f>
        <v>7.7704204934352896</v>
      </c>
      <c r="AE228" s="14"/>
    </row>
    <row r="229" spans="1:31" x14ac:dyDescent="0.25">
      <c r="A229" s="9">
        <v>46128</v>
      </c>
      <c r="B229" s="10"/>
      <c r="C229" s="10">
        <v>2611</v>
      </c>
      <c r="D229" s="10">
        <v>65</v>
      </c>
      <c r="E229" s="11">
        <f t="shared" si="0"/>
        <v>2.48946763692072</v>
      </c>
      <c r="F229" s="13">
        <v>6</v>
      </c>
      <c r="G229" s="14">
        <f t="shared" si="1"/>
        <v>3.51053236307928</v>
      </c>
      <c r="H229" s="13">
        <f ca="1">IFERROR(__xludf.DUMMYFUNCTION("IFERROR(
  AVERAGE(
    FILTER(
      $E$2:$E229,
      $A$2:$A229&gt;=A229-30,
      $A$2:$A229&lt;=A229,
      $E$2:$E229&gt;0
    )
  ),
  """"
)"),3.84694130782817)</f>
        <v>3.8469413078281698</v>
      </c>
      <c r="I229" s="14"/>
      <c r="J229" s="10"/>
      <c r="K229" s="10">
        <v>4596</v>
      </c>
      <c r="L229" s="10">
        <v>396</v>
      </c>
      <c r="M229" s="11">
        <f t="shared" si="2"/>
        <v>8.6161879895561366</v>
      </c>
      <c r="N229" s="13">
        <v>8</v>
      </c>
      <c r="O229" s="14">
        <f t="shared" si="3"/>
        <v>-0.61618798955613663</v>
      </c>
      <c r="P229" s="13"/>
      <c r="Q229" s="10"/>
      <c r="R229" s="10">
        <v>12300</v>
      </c>
      <c r="S229" s="10">
        <v>850</v>
      </c>
      <c r="T229" s="11">
        <f t="shared" si="4"/>
        <v>6.9105691056910574</v>
      </c>
      <c r="U229" s="13">
        <v>8</v>
      </c>
      <c r="V229" s="14">
        <f t="shared" si="5"/>
        <v>1.0894308943089426</v>
      </c>
      <c r="W229" s="10"/>
      <c r="X229" s="10"/>
      <c r="Y229" s="10"/>
      <c r="Z229" s="10"/>
      <c r="AA229" s="11" t="e">
        <f t="shared" si="8"/>
        <v>#DIV/0!</v>
      </c>
      <c r="AB229" s="13">
        <v>8</v>
      </c>
      <c r="AC229" s="14" t="e">
        <f t="shared" si="9"/>
        <v>#DIV/0!</v>
      </c>
      <c r="AD229" s="13">
        <f ca="1">IFERROR(__xludf.DUMMYFUNCTION("IFERROR(
  AVERAGE(
    FILTER(
      $AA$2:$AA229,
      $A$2:$A229 &gt;= A229 - 30,
      $A$2:$A229 &lt;= A229,
      $AA$2:$AA229 &gt; 0
    )
  ),
"""")"),7.68125259413221)</f>
        <v>7.6812525941322098</v>
      </c>
      <c r="AE229" s="14"/>
    </row>
    <row r="230" spans="1:31" x14ac:dyDescent="0.25">
      <c r="A230" s="9">
        <v>46129</v>
      </c>
      <c r="B230" s="10"/>
      <c r="C230" s="10">
        <v>1699</v>
      </c>
      <c r="D230" s="10">
        <v>65</v>
      </c>
      <c r="E230" s="11">
        <f t="shared" si="0"/>
        <v>3.8257798705120658</v>
      </c>
      <c r="F230" s="13">
        <v>6</v>
      </c>
      <c r="G230" s="14">
        <f t="shared" si="1"/>
        <v>2.1742201294879342</v>
      </c>
      <c r="H230" s="13">
        <f ca="1">IFERROR(__xludf.DUMMYFUNCTION("IFERROR(
  AVERAGE(
    FILTER(
      $E$2:$E230,
      $A$2:$A230&gt;=A230-30,
      $A$2:$A230&lt;=A230,
      $E$2:$E230&gt;0
    )
  ),
  """"
)"),3.81033304407205)</f>
        <v>3.81033304407205</v>
      </c>
      <c r="I230" s="14"/>
      <c r="J230" s="10"/>
      <c r="K230" s="10">
        <v>6628</v>
      </c>
      <c r="L230" s="10">
        <v>565</v>
      </c>
      <c r="M230" s="11">
        <f t="shared" si="2"/>
        <v>8.5244417622208815</v>
      </c>
      <c r="N230" s="13">
        <v>8</v>
      </c>
      <c r="O230" s="14">
        <f t="shared" si="3"/>
        <v>-0.52444176222088146</v>
      </c>
      <c r="P230" s="13"/>
      <c r="Q230" s="10"/>
      <c r="R230" s="10">
        <v>8254</v>
      </c>
      <c r="S230" s="10">
        <v>619</v>
      </c>
      <c r="T230" s="11">
        <f t="shared" si="4"/>
        <v>7.4993942330991032</v>
      </c>
      <c r="U230" s="13">
        <v>8</v>
      </c>
      <c r="V230" s="14">
        <f t="shared" si="5"/>
        <v>0.50060576690089675</v>
      </c>
      <c r="W230" s="10"/>
      <c r="X230" s="10"/>
      <c r="Y230" s="10"/>
      <c r="Z230" s="10"/>
      <c r="AA230" s="11" t="e">
        <f t="shared" si="8"/>
        <v>#DIV/0!</v>
      </c>
      <c r="AB230" s="13">
        <v>8</v>
      </c>
      <c r="AC230" s="14" t="e">
        <f t="shared" si="9"/>
        <v>#DIV/0!</v>
      </c>
      <c r="AD230" s="13">
        <f ca="1">IFERROR(__xludf.DUMMYFUNCTION("IFERROR(
  AVERAGE(
    FILTER(
      $AA$2:$AA230,
      $A$2:$A230 &gt;= A230 - 30,
      $A$2:$A230 &lt;= A230,
      $AA$2:$AA230 &gt; 0
    )
  ),
"""")"),7.60343986490913)</f>
        <v>7.6034398649091299</v>
      </c>
      <c r="AE230" s="14"/>
    </row>
    <row r="231" spans="1:31" x14ac:dyDescent="0.25">
      <c r="A231" s="9">
        <v>46130</v>
      </c>
      <c r="B231" s="10"/>
      <c r="C231" s="10">
        <v>923</v>
      </c>
      <c r="D231" s="10">
        <v>48</v>
      </c>
      <c r="E231" s="11">
        <f t="shared" si="0"/>
        <v>5.2004333694474543</v>
      </c>
      <c r="F231" s="13">
        <v>6</v>
      </c>
      <c r="G231" s="14">
        <f t="shared" si="1"/>
        <v>0.79956663055254573</v>
      </c>
      <c r="H231" s="13">
        <f ca="1">IFERROR(__xludf.DUMMYFUNCTION("IFERROR(
  AVERAGE(
    FILTER(
      $E$2:$E231,
      $A$2:$A231&gt;=A231-30,
      $A$2:$A231&lt;=A231,
      $E$2:$E231&gt;0
    )
  ),
  """"
)"),3.71730941908743)</f>
        <v>3.7173094190874298</v>
      </c>
      <c r="I231" s="14"/>
      <c r="J231" s="10"/>
      <c r="K231" s="10">
        <v>3060</v>
      </c>
      <c r="L231" s="10">
        <v>146</v>
      </c>
      <c r="M231" s="11">
        <f t="shared" si="2"/>
        <v>4.7712418300653594</v>
      </c>
      <c r="N231" s="13">
        <v>8</v>
      </c>
      <c r="O231" s="14">
        <f t="shared" si="3"/>
        <v>3.2287581699346406</v>
      </c>
      <c r="P231" s="13"/>
      <c r="Q231" s="10"/>
      <c r="R231" s="10">
        <v>12559</v>
      </c>
      <c r="S231" s="10">
        <v>728</v>
      </c>
      <c r="T231" s="11">
        <f t="shared" si="4"/>
        <v>5.7966398598614539</v>
      </c>
      <c r="U231" s="13">
        <v>8</v>
      </c>
      <c r="V231" s="14">
        <f t="shared" si="5"/>
        <v>2.2033601401385461</v>
      </c>
      <c r="W231" s="10"/>
      <c r="X231" s="10"/>
      <c r="Y231" s="10"/>
      <c r="Z231" s="10"/>
      <c r="AA231" s="11" t="e">
        <f t="shared" si="8"/>
        <v>#DIV/0!</v>
      </c>
      <c r="AB231" s="13">
        <v>8</v>
      </c>
      <c r="AC231" s="14" t="e">
        <f t="shared" si="9"/>
        <v>#DIV/0!</v>
      </c>
      <c r="AD231" s="13">
        <f ca="1">IFERROR(__xludf.DUMMYFUNCTION("IFERROR(
  AVERAGE(
    FILTER(
      $AA$2:$AA231,
      $A$2:$A231 &gt;= A231 - 30,
      $A$2:$A231 &lt;= A231,
      $AA$2:$AA231 &gt; 0
    )
  ),
"""")"),7.54626170084461)</f>
        <v>7.5462617008446102</v>
      </c>
      <c r="AE231" s="14"/>
    </row>
    <row r="232" spans="1:31" x14ac:dyDescent="0.25">
      <c r="A232" s="9">
        <v>46131</v>
      </c>
      <c r="B232" s="10"/>
      <c r="C232" s="10">
        <v>0</v>
      </c>
      <c r="D232" s="10">
        <v>0</v>
      </c>
      <c r="E232" s="11" t="e">
        <f t="shared" si="0"/>
        <v>#DIV/0!</v>
      </c>
      <c r="F232" s="13">
        <v>6</v>
      </c>
      <c r="G232" s="14" t="e">
        <f t="shared" si="1"/>
        <v>#DIV/0!</v>
      </c>
      <c r="H232" s="13">
        <f ca="1">IFERROR(__xludf.DUMMYFUNCTION("IFERROR(
  AVERAGE(
    FILTER(
      $E$2:$E232,
      $A$2:$A232&gt;=A232-30,
      $A$2:$A232&lt;=A232,
      $E$2:$E232&gt;0
    )
  ),
  """"
)"),3.77016692670238)</f>
        <v>3.7701669267023799</v>
      </c>
      <c r="I232" s="14"/>
      <c r="J232" s="10"/>
      <c r="K232" s="10">
        <v>0</v>
      </c>
      <c r="L232" s="10">
        <v>0</v>
      </c>
      <c r="M232" s="11" t="e">
        <f t="shared" si="2"/>
        <v>#DIV/0!</v>
      </c>
      <c r="N232" s="13">
        <v>8</v>
      </c>
      <c r="O232" s="14" t="e">
        <f t="shared" si="3"/>
        <v>#DIV/0!</v>
      </c>
      <c r="P232" s="13"/>
      <c r="Q232" s="10"/>
      <c r="R232" s="10">
        <v>0</v>
      </c>
      <c r="S232" s="10">
        <v>0</v>
      </c>
      <c r="T232" s="11" t="e">
        <f t="shared" si="4"/>
        <v>#DIV/0!</v>
      </c>
      <c r="U232" s="13">
        <v>8</v>
      </c>
      <c r="V232" s="14" t="e">
        <f t="shared" si="5"/>
        <v>#DIV/0!</v>
      </c>
      <c r="W232" s="10"/>
      <c r="X232" s="10"/>
      <c r="Y232" s="10"/>
      <c r="Z232" s="10"/>
      <c r="AA232" s="11" t="e">
        <f t="shared" si="8"/>
        <v>#DIV/0!</v>
      </c>
      <c r="AB232" s="13">
        <v>8</v>
      </c>
      <c r="AC232" s="14" t="e">
        <f t="shared" si="9"/>
        <v>#DIV/0!</v>
      </c>
      <c r="AD232" s="13">
        <f ca="1">IFERROR(__xludf.DUMMYFUNCTION("IFERROR(
  AVERAGE(
    FILTER(
      $AA$2:$AA232,
      $A$2:$A232 &gt;= A232 - 30,
      $A$2:$A232 &lt;= A232,
      $AA$2:$AA232 &gt; 0
    )
  ),
"""")"),7.45819495112776)</f>
        <v>7.4581949511277603</v>
      </c>
      <c r="AE232" s="14"/>
    </row>
    <row r="233" spans="1:31" x14ac:dyDescent="0.25">
      <c r="A233" s="9">
        <v>46132</v>
      </c>
      <c r="B233" s="10"/>
      <c r="C233" s="10">
        <v>3350</v>
      </c>
      <c r="D233" s="10">
        <v>110</v>
      </c>
      <c r="E233" s="11">
        <f t="shared" si="0"/>
        <v>3.2835820895522385</v>
      </c>
      <c r="F233" s="13">
        <v>6</v>
      </c>
      <c r="G233" s="14">
        <f t="shared" si="1"/>
        <v>2.7164179104477615</v>
      </c>
      <c r="H233" s="13">
        <f ca="1">IFERROR(__xludf.DUMMYFUNCTION("IFERROR(
  AVERAGE(
    FILTER(
      $E$2:$E233,
      $A$2:$A233&gt;=A233-30,
      $A$2:$A233&lt;=A233,
      $E$2:$E233&gt;0
    )
  ),
  """"
)"),3.77296578684402)</f>
        <v>3.7729657868440198</v>
      </c>
      <c r="I233" s="14"/>
      <c r="J233" s="10"/>
      <c r="K233" s="10">
        <v>600</v>
      </c>
      <c r="L233" s="10">
        <v>18</v>
      </c>
      <c r="M233" s="11">
        <f t="shared" si="2"/>
        <v>3</v>
      </c>
      <c r="N233" s="13">
        <v>8</v>
      </c>
      <c r="O233" s="14">
        <f t="shared" si="3"/>
        <v>5</v>
      </c>
      <c r="P233" s="13"/>
      <c r="Q233" s="10"/>
      <c r="R233" s="10">
        <v>8408</v>
      </c>
      <c r="S233" s="10">
        <v>610</v>
      </c>
      <c r="T233" s="11">
        <f t="shared" si="4"/>
        <v>7.2549952426260704</v>
      </c>
      <c r="U233" s="13">
        <v>8</v>
      </c>
      <c r="V233" s="14">
        <f t="shared" si="5"/>
        <v>0.74500475737392957</v>
      </c>
      <c r="W233" s="10"/>
      <c r="X233" s="10"/>
      <c r="Y233" s="10"/>
      <c r="Z233" s="10"/>
      <c r="AA233" s="11" t="e">
        <f t="shared" si="8"/>
        <v>#DIV/0!</v>
      </c>
      <c r="AB233" s="13">
        <v>8</v>
      </c>
      <c r="AC233" s="14" t="e">
        <f t="shared" si="9"/>
        <v>#DIV/0!</v>
      </c>
      <c r="AD233" s="13">
        <f ca="1">IFERROR(__xludf.DUMMYFUNCTION("IFERROR(
  AVERAGE(
    FILTER(
      $AA$2:$AA233,
      $A$2:$A233 &gt;= A233 - 30,
      $A$2:$A233 &lt;= A233,
      $AA$2:$AA233 &gt; 0
    )
  ),
"""")"),7.45783584867028)</f>
        <v>7.45783584867028</v>
      </c>
      <c r="AE233" s="14"/>
    </row>
    <row r="234" spans="1:31" x14ac:dyDescent="0.25">
      <c r="A234" s="9">
        <v>46133</v>
      </c>
      <c r="B234" s="10"/>
      <c r="C234" s="10">
        <v>3257</v>
      </c>
      <c r="D234" s="10">
        <v>72</v>
      </c>
      <c r="E234" s="11">
        <f t="shared" si="0"/>
        <v>2.2106232729505679</v>
      </c>
      <c r="F234" s="13">
        <v>6</v>
      </c>
      <c r="G234" s="14">
        <f t="shared" si="1"/>
        <v>3.7893767270494321</v>
      </c>
      <c r="H234" s="13">
        <f ca="1">IFERROR(__xludf.DUMMYFUNCTION("IFERROR(
  AVERAGE(
    FILTER(
      $E$2:$E234,
      $A$2:$A234&gt;=A234-30,
      $A$2:$A234&lt;=A234,
      $E$2:$E234&gt;0
    )
  ),
  """"
)"),3.625393705066)</f>
        <v>3.6253937050660001</v>
      </c>
      <c r="I234" s="14"/>
      <c r="J234" s="10"/>
      <c r="K234" s="10">
        <v>3260</v>
      </c>
      <c r="L234" s="10">
        <v>381</v>
      </c>
      <c r="M234" s="11">
        <f t="shared" si="2"/>
        <v>11.687116564417179</v>
      </c>
      <c r="N234" s="13">
        <v>8</v>
      </c>
      <c r="O234" s="14">
        <f t="shared" si="3"/>
        <v>-3.6871165644171793</v>
      </c>
      <c r="P234" s="13"/>
      <c r="Q234" s="10"/>
      <c r="R234" s="10">
        <v>5830</v>
      </c>
      <c r="S234" s="10">
        <v>559</v>
      </c>
      <c r="T234" s="11">
        <f t="shared" si="4"/>
        <v>9.5883361921097769</v>
      </c>
      <c r="U234" s="13">
        <v>8</v>
      </c>
      <c r="V234" s="14">
        <f t="shared" si="5"/>
        <v>-1.5883361921097769</v>
      </c>
      <c r="W234" s="10"/>
      <c r="X234" s="10"/>
      <c r="Y234" s="10"/>
      <c r="Z234" s="10"/>
      <c r="AA234" s="11" t="e">
        <f t="shared" si="8"/>
        <v>#DIV/0!</v>
      </c>
      <c r="AB234" s="13">
        <v>8</v>
      </c>
      <c r="AC234" s="14" t="e">
        <f t="shared" si="9"/>
        <v>#DIV/0!</v>
      </c>
      <c r="AD234" s="13">
        <f ca="1">IFERROR(__xludf.DUMMYFUNCTION("IFERROR(
  AVERAGE(
    FILTER(
      $AA$2:$AA234,
      $A$2:$A234 &gt;= A234 - 30,
      $A$2:$A234 &lt;= A234,
      $AA$2:$AA234 &gt; 0
    )
  ),
"""")"),7.51031236223456)</f>
        <v>7.5103123622345596</v>
      </c>
      <c r="AE234" s="14"/>
    </row>
    <row r="235" spans="1:31" x14ac:dyDescent="0.25">
      <c r="A235" s="9">
        <v>46134</v>
      </c>
      <c r="B235" s="10"/>
      <c r="C235" s="10">
        <v>2783</v>
      </c>
      <c r="D235" s="10">
        <v>63</v>
      </c>
      <c r="E235" s="11">
        <f t="shared" si="0"/>
        <v>2.2637441609773625</v>
      </c>
      <c r="F235" s="13">
        <v>6</v>
      </c>
      <c r="G235" s="14">
        <f t="shared" si="1"/>
        <v>3.7362558390226375</v>
      </c>
      <c r="H235" s="13">
        <f ca="1">IFERROR(__xludf.DUMMYFUNCTION("IFERROR(
  AVERAGE(
    FILTER(
      $E$2:$E235,
      $A$2:$A235&gt;=A235-30,
      $A$2:$A235&lt;=A235,
      $E$2:$E235&gt;0
    )
  ),
  """"
)"),3.5730225687549)</f>
        <v>3.5730225687549</v>
      </c>
      <c r="I235" s="14"/>
      <c r="J235" s="10"/>
      <c r="K235" s="10">
        <v>5200</v>
      </c>
      <c r="L235" s="10">
        <v>434</v>
      </c>
      <c r="M235" s="11">
        <f t="shared" si="2"/>
        <v>8.3461538461538467</v>
      </c>
      <c r="N235" s="13">
        <v>8</v>
      </c>
      <c r="O235" s="14">
        <f t="shared" si="3"/>
        <v>-0.3461538461538467</v>
      </c>
      <c r="P235" s="13"/>
      <c r="Q235" s="10"/>
      <c r="R235" s="10">
        <v>7848</v>
      </c>
      <c r="S235" s="10">
        <v>519</v>
      </c>
      <c r="T235" s="11">
        <f t="shared" si="4"/>
        <v>6.6131498470948014</v>
      </c>
      <c r="U235" s="13">
        <v>8</v>
      </c>
      <c r="V235" s="14">
        <f t="shared" si="5"/>
        <v>1.3868501529051986</v>
      </c>
      <c r="W235" s="10"/>
      <c r="X235" s="10"/>
      <c r="Y235" s="10"/>
      <c r="Z235" s="10"/>
      <c r="AA235" s="11" t="e">
        <f t="shared" si="8"/>
        <v>#DIV/0!</v>
      </c>
      <c r="AB235" s="13">
        <v>8</v>
      </c>
      <c r="AC235" s="14" t="e">
        <f t="shared" si="9"/>
        <v>#DIV/0!</v>
      </c>
      <c r="AD235" s="13">
        <f ca="1">IFERROR(__xludf.DUMMYFUNCTION("IFERROR(
  AVERAGE(
    FILTER(
      $AA$2:$AA235,
      $A$2:$A235 &gt;= A235 - 30,
      $A$2:$A235 &lt;= A235,
      $AA$2:$AA235 &gt; 0
    )
  ),
"""")"),7.78653252845872)</f>
        <v>7.7865325284587197</v>
      </c>
      <c r="AE235" s="14"/>
    </row>
    <row r="236" spans="1:31" x14ac:dyDescent="0.25">
      <c r="A236" s="9">
        <v>46135</v>
      </c>
      <c r="B236" s="10"/>
      <c r="C236" s="10">
        <v>3094</v>
      </c>
      <c r="D236" s="10">
        <v>65</v>
      </c>
      <c r="E236" s="11">
        <f t="shared" si="0"/>
        <v>2.1008403361344539</v>
      </c>
      <c r="F236" s="13">
        <v>6</v>
      </c>
      <c r="G236" s="14">
        <f t="shared" si="1"/>
        <v>3.8991596638655461</v>
      </c>
      <c r="H236" s="13">
        <f ca="1">IFERROR(__xludf.DUMMYFUNCTION("IFERROR(
  AVERAGE(
    FILTER(
      $E$2:$E236,
      $A$2:$A236&gt;=A236-30,
      $A$2:$A236&lt;=A236,
      $E$2:$E236&gt;0
    )
  ),
  """"
)"),3.5581919042593)</f>
        <v>3.5581919042593002</v>
      </c>
      <c r="I236" s="14"/>
      <c r="J236" s="10"/>
      <c r="K236" s="10">
        <v>6120</v>
      </c>
      <c r="L236" s="10">
        <v>371</v>
      </c>
      <c r="M236" s="11">
        <f t="shared" si="2"/>
        <v>6.0620915032679736</v>
      </c>
      <c r="N236" s="13">
        <v>8</v>
      </c>
      <c r="O236" s="14">
        <f t="shared" si="3"/>
        <v>1.9379084967320264</v>
      </c>
      <c r="P236" s="13"/>
      <c r="Q236" s="10"/>
      <c r="R236" s="10">
        <v>7640</v>
      </c>
      <c r="S236" s="10">
        <v>490</v>
      </c>
      <c r="T236" s="11">
        <f t="shared" si="4"/>
        <v>6.4136125654450264</v>
      </c>
      <c r="U236" s="13">
        <v>8</v>
      </c>
      <c r="V236" s="14">
        <f t="shared" si="5"/>
        <v>1.5863874345549736</v>
      </c>
      <c r="W236" s="10"/>
      <c r="X236" s="10"/>
      <c r="Y236" s="10"/>
      <c r="Z236" s="10"/>
      <c r="AA236" s="11" t="e">
        <f t="shared" si="8"/>
        <v>#DIV/0!</v>
      </c>
      <c r="AB236" s="13">
        <v>8</v>
      </c>
      <c r="AC236" s="14" t="e">
        <f t="shared" si="9"/>
        <v>#DIV/0!</v>
      </c>
      <c r="AD236" s="13">
        <f ca="1">IFERROR(__xludf.DUMMYFUNCTION("IFERROR(
  AVERAGE(
    FILTER(
      $AA$2:$AA236,
      $A$2:$A236 &gt;= A236 - 30,
      $A$2:$A236 &lt;= A236,
      $AA$2:$AA236 &gt; 0
    )
  ),
"""")"),7.84768641417751)</f>
        <v>7.8476864141775096</v>
      </c>
      <c r="AE236" s="14"/>
    </row>
    <row r="237" spans="1:31" x14ac:dyDescent="0.25">
      <c r="A237" s="9">
        <v>46136</v>
      </c>
      <c r="B237" s="10"/>
      <c r="C237" s="10">
        <v>3796.5</v>
      </c>
      <c r="D237" s="10">
        <v>91</v>
      </c>
      <c r="E237" s="11">
        <f t="shared" si="0"/>
        <v>2.3969445541946528</v>
      </c>
      <c r="F237" s="13">
        <v>6</v>
      </c>
      <c r="G237" s="14">
        <f t="shared" si="1"/>
        <v>3.6030554458053472</v>
      </c>
      <c r="H237" s="13">
        <f ca="1">IFERROR(__xludf.DUMMYFUNCTION("IFERROR(
  AVERAGE(
    FILTER(
      $E$2:$E237,
      $A$2:$A237&gt;=A237-30,
      $A$2:$A237&lt;=A237,
      $E$2:$E237&gt;0
    )
  ),
  """"
)"),3.50761146420907)</f>
        <v>3.5076114642090701</v>
      </c>
      <c r="I237" s="14"/>
      <c r="J237" s="10"/>
      <c r="K237" s="10">
        <v>2740</v>
      </c>
      <c r="L237" s="10">
        <v>189</v>
      </c>
      <c r="M237" s="11">
        <f t="shared" si="2"/>
        <v>6.8978102189781021</v>
      </c>
      <c r="N237" s="13">
        <v>8</v>
      </c>
      <c r="O237" s="14">
        <f t="shared" si="3"/>
        <v>1.1021897810218979</v>
      </c>
      <c r="P237" s="13"/>
      <c r="Q237" s="10"/>
      <c r="R237" s="10">
        <v>8699</v>
      </c>
      <c r="S237" s="10">
        <v>610</v>
      </c>
      <c r="T237" s="11">
        <f t="shared" si="4"/>
        <v>7.0123002643982062</v>
      </c>
      <c r="U237" s="13">
        <v>8</v>
      </c>
      <c r="V237" s="14">
        <f t="shared" si="5"/>
        <v>0.9876997356017938</v>
      </c>
      <c r="W237" s="10"/>
      <c r="X237" s="10"/>
      <c r="Y237" s="10"/>
      <c r="Z237" s="10"/>
      <c r="AA237" s="11" t="e">
        <f t="shared" si="8"/>
        <v>#DIV/0!</v>
      </c>
      <c r="AB237" s="13">
        <v>8</v>
      </c>
      <c r="AC237" s="14" t="e">
        <f t="shared" si="9"/>
        <v>#DIV/0!</v>
      </c>
      <c r="AD237" s="13"/>
      <c r="AE237" s="14"/>
    </row>
    <row r="238" spans="1:31" x14ac:dyDescent="0.25">
      <c r="A238" s="9">
        <v>46137</v>
      </c>
      <c r="B238" s="10"/>
      <c r="C238" s="10">
        <v>1848</v>
      </c>
      <c r="D238" s="10">
        <v>75</v>
      </c>
      <c r="E238" s="11">
        <f t="shared" si="0"/>
        <v>4.0584415584415581</v>
      </c>
      <c r="F238" s="13">
        <v>6</v>
      </c>
      <c r="G238" s="14">
        <f t="shared" si="1"/>
        <v>1.9415584415584419</v>
      </c>
      <c r="H238" s="13">
        <f ca="1">IFERROR(__xludf.DUMMYFUNCTION("IFERROR(
  AVERAGE(
    FILTER(
      $E$2:$E238,
      $A$2:$A238&gt;=A238-30,
      $A$2:$A238&lt;=A238,
      $E$2:$E238&gt;0
    )
  ),
  """"
)"),3.54336558738651)</f>
        <v>3.5433655873865102</v>
      </c>
      <c r="I238" s="14"/>
      <c r="J238" s="10"/>
      <c r="K238" s="10">
        <v>6128</v>
      </c>
      <c r="L238" s="10">
        <v>650</v>
      </c>
      <c r="M238" s="11">
        <f t="shared" si="2"/>
        <v>10.607049608355092</v>
      </c>
      <c r="N238" s="13">
        <v>8</v>
      </c>
      <c r="O238" s="14">
        <f t="shared" si="3"/>
        <v>-2.6070496083550925</v>
      </c>
      <c r="P238" s="13"/>
      <c r="Q238" s="10"/>
      <c r="R238" s="10">
        <v>7688</v>
      </c>
      <c r="S238" s="10">
        <v>670</v>
      </c>
      <c r="T238" s="11">
        <f t="shared" si="4"/>
        <v>8.714880332986473</v>
      </c>
      <c r="U238" s="13">
        <v>8</v>
      </c>
      <c r="V238" s="14">
        <f t="shared" si="5"/>
        <v>-0.71488033298647302</v>
      </c>
      <c r="W238" s="10"/>
      <c r="X238" s="10"/>
      <c r="Y238" s="10"/>
      <c r="Z238" s="10"/>
      <c r="AA238" s="11" t="e">
        <f t="shared" si="8"/>
        <v>#DIV/0!</v>
      </c>
      <c r="AB238" s="13">
        <v>8</v>
      </c>
      <c r="AC238" s="14" t="e">
        <f t="shared" si="9"/>
        <v>#DIV/0!</v>
      </c>
      <c r="AD238" s="13"/>
      <c r="AE238" s="14"/>
    </row>
    <row r="239" spans="1:31" x14ac:dyDescent="0.25">
      <c r="A239" s="9">
        <v>46138</v>
      </c>
      <c r="B239" s="10"/>
      <c r="C239" s="10">
        <v>0</v>
      </c>
      <c r="D239" s="10">
        <v>0</v>
      </c>
      <c r="E239" s="11" t="e">
        <f t="shared" si="0"/>
        <v>#DIV/0!</v>
      </c>
      <c r="F239" s="13">
        <v>6</v>
      </c>
      <c r="G239" s="14" t="e">
        <f t="shared" si="1"/>
        <v>#DIV/0!</v>
      </c>
      <c r="H239" s="13">
        <f ca="1">IFERROR(__xludf.DUMMYFUNCTION("IFERROR(
  AVERAGE(
    FILTER(
      $E$2:$E239,
      $A$2:$A239&gt;=A239-30,
      $A$2:$A239&lt;=A239,
      $E$2:$E239&gt;0
    )
  ),
  """"
)"),3.37029450502855)</f>
        <v>3.37029450502855</v>
      </c>
      <c r="I239" s="14"/>
      <c r="J239" s="10"/>
      <c r="K239" s="10">
        <v>0</v>
      </c>
      <c r="L239" s="10">
        <v>0</v>
      </c>
      <c r="M239" s="11" t="e">
        <f t="shared" si="2"/>
        <v>#DIV/0!</v>
      </c>
      <c r="N239" s="13">
        <v>8</v>
      </c>
      <c r="O239" s="14" t="e">
        <f t="shared" si="3"/>
        <v>#DIV/0!</v>
      </c>
      <c r="P239" s="13"/>
      <c r="Q239" s="10"/>
      <c r="R239" s="10">
        <v>0</v>
      </c>
      <c r="S239" s="10">
        <v>0</v>
      </c>
      <c r="T239" s="11" t="e">
        <f t="shared" si="4"/>
        <v>#DIV/0!</v>
      </c>
      <c r="U239" s="13">
        <v>8</v>
      </c>
      <c r="V239" s="14" t="e">
        <f t="shared" si="5"/>
        <v>#DIV/0!</v>
      </c>
      <c r="W239" s="10"/>
      <c r="X239" s="10"/>
      <c r="Y239" s="10"/>
      <c r="Z239" s="10"/>
      <c r="AA239" s="11" t="e">
        <f t="shared" si="8"/>
        <v>#DIV/0!</v>
      </c>
      <c r="AB239" s="13">
        <v>8</v>
      </c>
      <c r="AC239" s="14" t="e">
        <f t="shared" si="9"/>
        <v>#DIV/0!</v>
      </c>
      <c r="AD239" s="13"/>
      <c r="AE239" s="14"/>
    </row>
    <row r="240" spans="1:31" x14ac:dyDescent="0.25">
      <c r="A240" s="9">
        <v>46139</v>
      </c>
      <c r="B240" s="10"/>
      <c r="C240" s="10">
        <v>1797</v>
      </c>
      <c r="D240" s="10">
        <v>40</v>
      </c>
      <c r="E240" s="11">
        <f t="shared" si="0"/>
        <v>2.2259321090706732</v>
      </c>
      <c r="F240" s="13">
        <v>6</v>
      </c>
      <c r="G240" s="14">
        <f t="shared" si="1"/>
        <v>3.7740678909293268</v>
      </c>
      <c r="H240" s="13">
        <f ca="1">IFERROR(__xludf.DUMMYFUNCTION("IFERROR(
  AVERAGE(
    FILTER(
      $E$2:$E240,
      $A$2:$A240&gt;=A240-30,
      $A$2:$A240&lt;=A240,
      $E$2:$E240&gt;0
    )
  ),
  """"
)"),3.36206735170141)</f>
        <v>3.3620673517014099</v>
      </c>
      <c r="I240" s="14"/>
      <c r="J240" s="10"/>
      <c r="K240" s="10">
        <v>7060</v>
      </c>
      <c r="L240" s="10">
        <v>561</v>
      </c>
      <c r="M240" s="11">
        <f t="shared" si="2"/>
        <v>7.9461756373937682</v>
      </c>
      <c r="N240" s="13">
        <v>8</v>
      </c>
      <c r="O240" s="14">
        <f t="shared" si="3"/>
        <v>5.3824362606231801E-2</v>
      </c>
      <c r="P240" s="13"/>
      <c r="Q240" s="10"/>
      <c r="R240" s="10">
        <v>9152</v>
      </c>
      <c r="S240" s="10">
        <v>654</v>
      </c>
      <c r="T240" s="11">
        <f t="shared" si="4"/>
        <v>7.1459790209790208</v>
      </c>
      <c r="U240" s="13">
        <v>8</v>
      </c>
      <c r="V240" s="14">
        <f t="shared" si="5"/>
        <v>0.85402097902097918</v>
      </c>
      <c r="W240" s="10"/>
      <c r="X240" s="10"/>
      <c r="Y240" s="10"/>
      <c r="Z240" s="10"/>
      <c r="AA240" s="11" t="e">
        <f t="shared" si="8"/>
        <v>#DIV/0!</v>
      </c>
      <c r="AB240" s="13">
        <v>8</v>
      </c>
      <c r="AC240" s="14" t="e">
        <f t="shared" si="9"/>
        <v>#DIV/0!</v>
      </c>
      <c r="AD240" s="13"/>
      <c r="AE240" s="14"/>
    </row>
    <row r="241" spans="1:31" x14ac:dyDescent="0.25">
      <c r="A241" s="9">
        <v>46140</v>
      </c>
      <c r="B241" s="10"/>
      <c r="C241" s="10">
        <v>1639</v>
      </c>
      <c r="D241" s="10">
        <v>45</v>
      </c>
      <c r="E241" s="11">
        <f t="shared" si="0"/>
        <v>2.7455765710799267</v>
      </c>
      <c r="F241" s="13">
        <v>6</v>
      </c>
      <c r="G241" s="14">
        <f t="shared" si="1"/>
        <v>3.2544234289200733</v>
      </c>
      <c r="H241" s="13">
        <f ca="1">IFERROR(__xludf.DUMMYFUNCTION("IFERROR(
  AVERAGE(
    FILTER(
      $E$2:$E241,
      $A$2:$A241&gt;=A241-30,
      $A$2:$A241&lt;=A241,
      $E$2:$E241&gt;0
    )
  ),
  """"
)"),3.3596304440867)</f>
        <v>3.3596304440867</v>
      </c>
      <c r="I241" s="14"/>
      <c r="J241" s="10"/>
      <c r="K241" s="10">
        <v>10070</v>
      </c>
      <c r="L241" s="10">
        <v>597</v>
      </c>
      <c r="M241" s="11">
        <f t="shared" si="2"/>
        <v>5.9285004965243298</v>
      </c>
      <c r="N241" s="13">
        <v>8</v>
      </c>
      <c r="O241" s="14">
        <f t="shared" si="3"/>
        <v>2.0714995034756702</v>
      </c>
      <c r="P241" s="13"/>
      <c r="Q241" s="10"/>
      <c r="R241" s="10">
        <v>3427</v>
      </c>
      <c r="S241" s="10">
        <v>419</v>
      </c>
      <c r="T241" s="11">
        <f t="shared" si="4"/>
        <v>12.226437117011963</v>
      </c>
      <c r="U241" s="13">
        <v>8</v>
      </c>
      <c r="V241" s="14">
        <f t="shared" si="5"/>
        <v>-4.2264371170119635</v>
      </c>
      <c r="W241" s="10"/>
      <c r="X241" s="10"/>
      <c r="Y241" s="10"/>
      <c r="Z241" s="10"/>
      <c r="AA241" s="11" t="e">
        <f t="shared" si="8"/>
        <v>#DIV/0!</v>
      </c>
      <c r="AB241" s="13">
        <v>8</v>
      </c>
      <c r="AC241" s="14" t="e">
        <f t="shared" si="9"/>
        <v>#DIV/0!</v>
      </c>
      <c r="AD241" s="13"/>
      <c r="AE241" s="14"/>
    </row>
    <row r="242" spans="1:31" x14ac:dyDescent="0.25">
      <c r="A242" s="9">
        <v>46141</v>
      </c>
      <c r="B242" s="10"/>
      <c r="C242" s="10">
        <v>1534</v>
      </c>
      <c r="D242" s="10">
        <v>48</v>
      </c>
      <c r="E242" s="11">
        <f t="shared" si="0"/>
        <v>3.1290743155149938</v>
      </c>
      <c r="F242" s="13">
        <v>6</v>
      </c>
      <c r="G242" s="14">
        <f t="shared" si="1"/>
        <v>2.8709256844850062</v>
      </c>
      <c r="H242" s="13">
        <f ca="1">IFERROR(__xludf.DUMMYFUNCTION("IFERROR(
  AVERAGE(
    FILTER(
      $E$2:$E242,
      $A$2:$A242&gt;=A242-30,
      $A$2:$A242&lt;=A242,
      $E$2:$E242&gt;0
    )
  ),
  """"
)"),3.3507629006801)</f>
        <v>3.3507629006800999</v>
      </c>
      <c r="I242" s="14"/>
      <c r="J242" s="10"/>
      <c r="K242" s="10">
        <v>5120</v>
      </c>
      <c r="L242" s="10">
        <v>527</v>
      </c>
      <c r="M242" s="11">
        <f t="shared" si="2"/>
        <v>10.29296875</v>
      </c>
      <c r="N242" s="13">
        <v>8</v>
      </c>
      <c r="O242" s="14">
        <f t="shared" si="3"/>
        <v>-2.29296875</v>
      </c>
      <c r="P242" s="13"/>
      <c r="Q242" s="10"/>
      <c r="R242" s="10">
        <v>5229</v>
      </c>
      <c r="S242" s="10">
        <v>400</v>
      </c>
      <c r="T242" s="11">
        <f t="shared" si="4"/>
        <v>7.649646203863071</v>
      </c>
      <c r="U242" s="13">
        <v>8</v>
      </c>
      <c r="V242" s="14">
        <f t="shared" si="5"/>
        <v>0.35035379613692896</v>
      </c>
      <c r="W242" s="10"/>
      <c r="X242" s="10"/>
      <c r="Y242" s="10"/>
      <c r="Z242" s="10"/>
      <c r="AA242" s="11" t="e">
        <f t="shared" si="8"/>
        <v>#DIV/0!</v>
      </c>
      <c r="AB242" s="13">
        <v>8</v>
      </c>
      <c r="AC242" s="14" t="e">
        <f t="shared" si="9"/>
        <v>#DIV/0!</v>
      </c>
      <c r="AD242" s="13"/>
      <c r="AE242" s="14"/>
    </row>
    <row r="243" spans="1:31" x14ac:dyDescent="0.25">
      <c r="A243" s="9">
        <v>46142</v>
      </c>
      <c r="B243" s="10"/>
      <c r="C243" s="10">
        <v>1200</v>
      </c>
      <c r="D243" s="10">
        <v>45</v>
      </c>
      <c r="E243" s="11">
        <f t="shared" si="0"/>
        <v>3.75</v>
      </c>
      <c r="F243" s="13">
        <v>6</v>
      </c>
      <c r="G243" s="14">
        <f t="shared" si="1"/>
        <v>2.25</v>
      </c>
      <c r="H243" s="13">
        <f ca="1">IFERROR(__xludf.DUMMYFUNCTION("IFERROR(
  AVERAGE(
    FILTER(
      $E$2:$E243,
      $A$2:$A243&gt;=A243-30,
      $A$2:$A243&lt;=A243,
      $E$2:$E243&gt;0
    )
  ),
  """"
)"),3.39625377899494)</f>
        <v>3.3962537789949399</v>
      </c>
      <c r="I243" s="14"/>
      <c r="J243" s="10"/>
      <c r="K243" s="10">
        <v>3476</v>
      </c>
      <c r="L243" s="10">
        <v>218</v>
      </c>
      <c r="M243" s="11">
        <f t="shared" si="2"/>
        <v>6.2715765247410822</v>
      </c>
      <c r="N243" s="13">
        <v>8</v>
      </c>
      <c r="O243" s="14">
        <f t="shared" si="3"/>
        <v>1.7284234752589178</v>
      </c>
      <c r="P243" s="13"/>
      <c r="Q243" s="10"/>
      <c r="R243" s="10">
        <v>14711</v>
      </c>
      <c r="S243" s="10">
        <v>881</v>
      </c>
      <c r="T243" s="11">
        <f t="shared" si="4"/>
        <v>5.988715926857453</v>
      </c>
      <c r="U243" s="13">
        <v>8</v>
      </c>
      <c r="V243" s="14">
        <f t="shared" si="5"/>
        <v>2.011284073142547</v>
      </c>
      <c r="W243" s="10"/>
      <c r="X243" s="10"/>
      <c r="Y243" s="10"/>
      <c r="Z243" s="10"/>
      <c r="AA243" s="11"/>
      <c r="AB243" s="13"/>
      <c r="AC243" s="14"/>
      <c r="AD243" s="13"/>
      <c r="AE243" s="14"/>
    </row>
    <row r="244" spans="1:31" x14ac:dyDescent="0.25">
      <c r="A244" s="9">
        <v>46143</v>
      </c>
      <c r="B244" s="10"/>
      <c r="C244" s="10"/>
      <c r="D244" s="10"/>
      <c r="E244" s="11" t="e">
        <f t="shared" si="0"/>
        <v>#DIV/0!</v>
      </c>
      <c r="F244" s="13">
        <v>6</v>
      </c>
      <c r="G244" s="14" t="e">
        <f t="shared" si="1"/>
        <v>#DIV/0!</v>
      </c>
      <c r="H244" s="13">
        <f ca="1">IFERROR(__xludf.DUMMYFUNCTION("IFERROR(
  AVERAGE(
    FILTER(
      $E$2:$E244,
      $A$2:$A244&gt;=A244-30,
      $A$2:$A244&lt;=A244,
      $E$2:$E244&gt;0
    )
  ),
  """"
)"),3.33187639886919)</f>
        <v>3.33187639886919</v>
      </c>
      <c r="I244" s="14"/>
      <c r="J244" s="10"/>
      <c r="K244" s="10"/>
      <c r="L244" s="10"/>
      <c r="M244" s="11" t="e">
        <f t="shared" si="2"/>
        <v>#DIV/0!</v>
      </c>
      <c r="N244" s="13">
        <v>8</v>
      </c>
      <c r="O244" s="14" t="e">
        <f t="shared" si="3"/>
        <v>#DIV/0!</v>
      </c>
      <c r="P244" s="13"/>
      <c r="Q244" s="10"/>
      <c r="R244" s="10"/>
      <c r="S244" s="10"/>
      <c r="T244" s="11" t="e">
        <f t="shared" si="4"/>
        <v>#DIV/0!</v>
      </c>
      <c r="U244" s="13">
        <v>8</v>
      </c>
      <c r="V244" s="14" t="e">
        <f t="shared" si="5"/>
        <v>#DIV/0!</v>
      </c>
      <c r="W244" s="10"/>
      <c r="X244" s="10"/>
      <c r="Y244" s="10"/>
      <c r="Z244" s="10"/>
      <c r="AA244" s="11"/>
      <c r="AB244" s="13"/>
      <c r="AC244" s="14"/>
      <c r="AD244" s="13"/>
      <c r="AE244" s="14"/>
    </row>
    <row r="245" spans="1:31" x14ac:dyDescent="0.25">
      <c r="A245" s="9">
        <v>46144</v>
      </c>
      <c r="B245" s="10"/>
      <c r="C245" s="10"/>
      <c r="D245" s="10"/>
      <c r="E245" s="11" t="e">
        <f t="shared" si="0"/>
        <v>#DIV/0!</v>
      </c>
      <c r="F245" s="13">
        <v>6</v>
      </c>
      <c r="G245" s="14" t="e">
        <f t="shared" si="1"/>
        <v>#DIV/0!</v>
      </c>
      <c r="H245" s="13">
        <f ca="1">IFERROR(__xludf.DUMMYFUNCTION("IFERROR(
  AVERAGE(
    FILTER(
      $E$2:$E245,
      $A$2:$A245&gt;=A245-30,
      $A$2:$A245&lt;=A245,
      $E$2:$E245&gt;0
    )
  ),
  """"
)"),3.33237073647449)</f>
        <v>3.3323707364744899</v>
      </c>
      <c r="I245" s="14"/>
      <c r="J245" s="10"/>
      <c r="K245" s="10"/>
      <c r="L245" s="10"/>
      <c r="M245" s="11" t="e">
        <f t="shared" si="2"/>
        <v>#DIV/0!</v>
      </c>
      <c r="N245" s="13">
        <v>8</v>
      </c>
      <c r="O245" s="14" t="e">
        <f t="shared" si="3"/>
        <v>#DIV/0!</v>
      </c>
      <c r="P245" s="13"/>
      <c r="Q245" s="10"/>
      <c r="R245" s="10"/>
      <c r="S245" s="10"/>
      <c r="T245" s="11" t="e">
        <f t="shared" si="4"/>
        <v>#DIV/0!</v>
      </c>
      <c r="U245" s="13">
        <v>8</v>
      </c>
      <c r="V245" s="14" t="e">
        <f t="shared" si="5"/>
        <v>#DIV/0!</v>
      </c>
      <c r="W245" s="10"/>
      <c r="X245" s="10"/>
      <c r="Y245" s="10"/>
      <c r="Z245" s="10"/>
      <c r="AA245" s="11"/>
      <c r="AB245" s="13"/>
      <c r="AC245" s="14"/>
      <c r="AD245" s="13"/>
      <c r="AE245" s="14"/>
    </row>
    <row r="246" spans="1:31" x14ac:dyDescent="0.25">
      <c r="A246" s="9"/>
      <c r="B246" s="10"/>
      <c r="C246" s="10"/>
      <c r="D246" s="10"/>
      <c r="E246" s="11" t="e">
        <f t="shared" si="0"/>
        <v>#DIV/0!</v>
      </c>
      <c r="F246" s="13">
        <v>6</v>
      </c>
      <c r="G246" s="14" t="e">
        <f t="shared" si="1"/>
        <v>#DIV/0!</v>
      </c>
      <c r="H246" s="13" t="str">
        <f ca="1">IFERROR(__xludf.DUMMYFUNCTION("IFERROR(
  AVERAGE(
    FILTER(
      $E$2:$E246,
      $A$2:$A246&gt;=A246-30,
      $A$2:$A246&lt;=A246,
      $E$2:$E246&gt;0
    )
  ),
  """"
)"),"")</f>
        <v/>
      </c>
      <c r="I246" s="14"/>
      <c r="J246" s="10"/>
      <c r="K246" s="10"/>
      <c r="L246" s="10"/>
      <c r="M246" s="11" t="e">
        <f t="shared" si="2"/>
        <v>#DIV/0!</v>
      </c>
      <c r="N246" s="13">
        <v>8</v>
      </c>
      <c r="O246" s="14" t="e">
        <f t="shared" si="3"/>
        <v>#DIV/0!</v>
      </c>
      <c r="P246" s="13"/>
      <c r="Q246" s="10"/>
      <c r="R246" s="10"/>
      <c r="S246" s="10"/>
      <c r="T246" s="11" t="e">
        <f t="shared" si="4"/>
        <v>#DIV/0!</v>
      </c>
      <c r="U246" s="13">
        <v>8</v>
      </c>
      <c r="V246" s="14" t="e">
        <f t="shared" si="5"/>
        <v>#DIV/0!</v>
      </c>
      <c r="W246" s="10"/>
      <c r="X246" s="10"/>
      <c r="Y246" s="10"/>
      <c r="Z246" s="10"/>
      <c r="AA246" s="11"/>
      <c r="AB246" s="13"/>
      <c r="AC246" s="14"/>
      <c r="AD246" s="13"/>
      <c r="AE246" s="14"/>
    </row>
    <row r="247" spans="1:31" x14ac:dyDescent="0.25">
      <c r="A247" s="9"/>
      <c r="B247" s="10"/>
      <c r="C247" s="10"/>
      <c r="D247" s="10"/>
      <c r="E247" s="11" t="e">
        <f t="shared" si="0"/>
        <v>#DIV/0!</v>
      </c>
      <c r="F247" s="13">
        <v>6</v>
      </c>
      <c r="G247" s="14" t="e">
        <f t="shared" si="1"/>
        <v>#DIV/0!</v>
      </c>
      <c r="H247" s="13" t="str">
        <f ca="1">IFERROR(__xludf.DUMMYFUNCTION("IFERROR(
  AVERAGE(
    FILTER(
      $E$2:$E247,
      $A$2:$A247&gt;=A247-30,
      $A$2:$A247&lt;=A247,
      $E$2:$E247&gt;0
    )
  ),
  """"
)"),"")</f>
        <v/>
      </c>
      <c r="I247" s="14"/>
      <c r="J247" s="10"/>
      <c r="K247" s="10"/>
      <c r="L247" s="10"/>
      <c r="M247" s="11" t="e">
        <f t="shared" si="2"/>
        <v>#DIV/0!</v>
      </c>
      <c r="N247" s="13">
        <v>8</v>
      </c>
      <c r="O247" s="14" t="e">
        <f t="shared" si="3"/>
        <v>#DIV/0!</v>
      </c>
      <c r="P247" s="13"/>
      <c r="Q247" s="10"/>
      <c r="R247" s="10"/>
      <c r="S247" s="10"/>
      <c r="T247" s="11" t="e">
        <f t="shared" si="4"/>
        <v>#DIV/0!</v>
      </c>
      <c r="U247" s="13">
        <v>8</v>
      </c>
      <c r="V247" s="14" t="e">
        <f t="shared" si="5"/>
        <v>#DIV/0!</v>
      </c>
      <c r="W247" s="10"/>
      <c r="X247" s="10"/>
      <c r="Y247" s="10"/>
      <c r="Z247" s="10"/>
      <c r="AA247" s="11"/>
      <c r="AB247" s="13"/>
      <c r="AC247" s="14"/>
      <c r="AD247" s="13"/>
      <c r="AE247" s="14"/>
    </row>
    <row r="248" spans="1:31" x14ac:dyDescent="0.25">
      <c r="A248" s="9"/>
      <c r="B248" s="10"/>
      <c r="C248" s="10"/>
      <c r="D248" s="10"/>
      <c r="E248" s="11" t="e">
        <f t="shared" si="0"/>
        <v>#DIV/0!</v>
      </c>
      <c r="F248" s="13">
        <v>6</v>
      </c>
      <c r="G248" s="14" t="e">
        <f t="shared" si="1"/>
        <v>#DIV/0!</v>
      </c>
      <c r="H248" s="13" t="str">
        <f ca="1">IFERROR(__xludf.DUMMYFUNCTION("IFERROR(
  AVERAGE(
    FILTER(
      $E$2:$E248,
      $A$2:$A248&gt;=A248-30,
      $A$2:$A248&lt;=A248,
      $E$2:$E248&gt;0
    )
  ),
  """"
)"),"")</f>
        <v/>
      </c>
      <c r="I248" s="14"/>
      <c r="J248" s="10"/>
      <c r="K248" s="10"/>
      <c r="L248" s="10"/>
      <c r="M248" s="11" t="e">
        <f t="shared" si="2"/>
        <v>#DIV/0!</v>
      </c>
      <c r="N248" s="13">
        <v>8</v>
      </c>
      <c r="O248" s="14" t="e">
        <f t="shared" si="3"/>
        <v>#DIV/0!</v>
      </c>
      <c r="P248" s="13"/>
      <c r="Q248" s="10"/>
      <c r="R248" s="10"/>
      <c r="S248" s="10"/>
      <c r="T248" s="11" t="e">
        <f t="shared" si="4"/>
        <v>#DIV/0!</v>
      </c>
      <c r="U248" s="13">
        <v>8</v>
      </c>
      <c r="V248" s="14" t="e">
        <f t="shared" si="5"/>
        <v>#DIV/0!</v>
      </c>
      <c r="W248" s="10"/>
      <c r="X248" s="10"/>
      <c r="Y248" s="10"/>
      <c r="Z248" s="10"/>
      <c r="AA248" s="11"/>
      <c r="AB248" s="13"/>
      <c r="AC248" s="14"/>
      <c r="AD248" s="13"/>
      <c r="AE248" s="14"/>
    </row>
    <row r="249" spans="1:31" x14ac:dyDescent="0.25">
      <c r="A249" s="9"/>
      <c r="B249" s="10"/>
      <c r="C249" s="10"/>
      <c r="D249" s="10"/>
      <c r="E249" s="11" t="e">
        <f t="shared" si="0"/>
        <v>#DIV/0!</v>
      </c>
      <c r="F249" s="13">
        <v>6</v>
      </c>
      <c r="G249" s="14" t="e">
        <f t="shared" si="1"/>
        <v>#DIV/0!</v>
      </c>
      <c r="H249" s="13" t="str">
        <f ca="1">IFERROR(__xludf.DUMMYFUNCTION("IFERROR(
  AVERAGE(
    FILTER(
      $E$2:$E249,
      $A$2:$A249&gt;=A249-30,
      $A$2:$A249&lt;=A249,
      $E$2:$E249&gt;0
    )
  ),
  """"
)"),"")</f>
        <v/>
      </c>
      <c r="I249" s="14"/>
      <c r="J249" s="10"/>
      <c r="K249" s="10"/>
      <c r="L249" s="10"/>
      <c r="M249" s="11" t="e">
        <f t="shared" si="2"/>
        <v>#DIV/0!</v>
      </c>
      <c r="N249" s="13">
        <v>8</v>
      </c>
      <c r="O249" s="14" t="e">
        <f t="shared" si="3"/>
        <v>#DIV/0!</v>
      </c>
      <c r="P249" s="13"/>
      <c r="Q249" s="10"/>
      <c r="R249" s="10"/>
      <c r="S249" s="10"/>
      <c r="T249" s="11" t="e">
        <f t="shared" si="4"/>
        <v>#DIV/0!</v>
      </c>
      <c r="U249" s="13">
        <v>8</v>
      </c>
      <c r="V249" s="14" t="e">
        <f t="shared" si="5"/>
        <v>#DIV/0!</v>
      </c>
      <c r="W249" s="10"/>
      <c r="X249" s="10"/>
      <c r="Y249" s="10"/>
      <c r="Z249" s="10"/>
      <c r="AA249" s="11"/>
      <c r="AB249" s="13"/>
      <c r="AC249" s="14"/>
      <c r="AD249" s="13"/>
      <c r="AE249" s="14"/>
    </row>
    <row r="250" spans="1:31" x14ac:dyDescent="0.25">
      <c r="A250" s="9"/>
      <c r="B250" s="10"/>
      <c r="C250" s="10"/>
      <c r="D250" s="10"/>
      <c r="E250" s="11" t="e">
        <f t="shared" si="0"/>
        <v>#DIV/0!</v>
      </c>
      <c r="F250" s="13">
        <v>6</v>
      </c>
      <c r="G250" s="14" t="e">
        <f t="shared" si="1"/>
        <v>#DIV/0!</v>
      </c>
      <c r="H250" s="13" t="str">
        <f ca="1">IFERROR(__xludf.DUMMYFUNCTION("IFERROR(
  AVERAGE(
    FILTER(
      $E$2:$E250,
      $A$2:$A250&gt;=A250-30,
      $A$2:$A250&lt;=A250,
      $E$2:$E250&gt;0
    )
  ),
  """"
)"),"")</f>
        <v/>
      </c>
      <c r="I250" s="14"/>
      <c r="J250" s="10"/>
      <c r="K250" s="10"/>
      <c r="L250" s="10"/>
      <c r="M250" s="11" t="e">
        <f t="shared" si="2"/>
        <v>#DIV/0!</v>
      </c>
      <c r="N250" s="13">
        <v>8</v>
      </c>
      <c r="O250" s="14" t="e">
        <f t="shared" si="3"/>
        <v>#DIV/0!</v>
      </c>
      <c r="P250" s="13"/>
      <c r="Q250" s="10"/>
      <c r="R250" s="10"/>
      <c r="S250" s="10"/>
      <c r="T250" s="11" t="e">
        <f t="shared" si="4"/>
        <v>#DIV/0!</v>
      </c>
      <c r="U250" s="13">
        <v>8</v>
      </c>
      <c r="V250" s="14" t="e">
        <f t="shared" si="5"/>
        <v>#DIV/0!</v>
      </c>
      <c r="W250" s="10"/>
      <c r="X250" s="10"/>
      <c r="Y250" s="10"/>
      <c r="Z250" s="10"/>
      <c r="AA250" s="11"/>
      <c r="AB250" s="13"/>
      <c r="AC250" s="14"/>
      <c r="AD250" s="13"/>
      <c r="AE250" s="14"/>
    </row>
    <row r="251" spans="1:31" x14ac:dyDescent="0.25">
      <c r="A251" s="9"/>
      <c r="B251" s="10"/>
      <c r="C251" s="10"/>
      <c r="D251" s="10"/>
      <c r="E251" s="11" t="e">
        <f t="shared" si="0"/>
        <v>#DIV/0!</v>
      </c>
      <c r="F251" s="13">
        <v>6</v>
      </c>
      <c r="G251" s="14" t="e">
        <f t="shared" si="1"/>
        <v>#DIV/0!</v>
      </c>
      <c r="H251" s="13" t="str">
        <f ca="1">IFERROR(__xludf.DUMMYFUNCTION("IFERROR(
  AVERAGE(
    FILTER(
      $E$2:$E251,
      $A$2:$A251&gt;=A251-30,
      $A$2:$A251&lt;=A251,
      $E$2:$E251&gt;0
    )
  ),
  """"
)"),"")</f>
        <v/>
      </c>
      <c r="I251" s="14"/>
      <c r="J251" s="10"/>
      <c r="K251" s="10"/>
      <c r="L251" s="10"/>
      <c r="M251" s="11" t="e">
        <f t="shared" si="2"/>
        <v>#DIV/0!</v>
      </c>
      <c r="N251" s="13">
        <v>8</v>
      </c>
      <c r="O251" s="14" t="e">
        <f t="shared" si="3"/>
        <v>#DIV/0!</v>
      </c>
      <c r="P251" s="13"/>
      <c r="Q251" s="10"/>
      <c r="R251" s="10"/>
      <c r="S251" s="10"/>
      <c r="T251" s="11" t="e">
        <f t="shared" si="4"/>
        <v>#DIV/0!</v>
      </c>
      <c r="U251" s="13">
        <v>8</v>
      </c>
      <c r="V251" s="14" t="e">
        <f t="shared" si="5"/>
        <v>#DIV/0!</v>
      </c>
      <c r="W251" s="10"/>
      <c r="X251" s="10"/>
      <c r="Y251" s="10"/>
      <c r="Z251" s="10"/>
      <c r="AA251" s="11"/>
      <c r="AB251" s="13"/>
      <c r="AC251" s="14"/>
      <c r="AD251" s="13"/>
      <c r="AE251" s="14"/>
    </row>
    <row r="252" spans="1:31" x14ac:dyDescent="0.25">
      <c r="A252" s="9"/>
      <c r="B252" s="10"/>
      <c r="C252" s="10"/>
      <c r="D252" s="10"/>
      <c r="E252" s="11" t="e">
        <f t="shared" si="0"/>
        <v>#DIV/0!</v>
      </c>
      <c r="F252" s="13">
        <v>6</v>
      </c>
      <c r="G252" s="14" t="e">
        <f t="shared" si="1"/>
        <v>#DIV/0!</v>
      </c>
      <c r="H252" s="13" t="str">
        <f ca="1">IFERROR(__xludf.DUMMYFUNCTION("IFERROR(
  AVERAGE(
    FILTER(
      $E$2:$E252,
      $A$2:$A252&gt;=A252-30,
      $A$2:$A252&lt;=A252,
      $E$2:$E252&gt;0
    )
  ),
  """"
)"),"")</f>
        <v/>
      </c>
      <c r="I252" s="14"/>
      <c r="J252" s="10"/>
      <c r="K252" s="10"/>
      <c r="L252" s="10"/>
      <c r="M252" s="11" t="e">
        <f t="shared" si="2"/>
        <v>#DIV/0!</v>
      </c>
      <c r="N252" s="13">
        <v>8</v>
      </c>
      <c r="O252" s="14" t="e">
        <f t="shared" si="3"/>
        <v>#DIV/0!</v>
      </c>
      <c r="P252" s="13"/>
      <c r="Q252" s="10"/>
      <c r="R252" s="10"/>
      <c r="S252" s="10"/>
      <c r="T252" s="11" t="e">
        <f t="shared" si="4"/>
        <v>#DIV/0!</v>
      </c>
      <c r="U252" s="13">
        <v>8</v>
      </c>
      <c r="V252" s="14" t="e">
        <f t="shared" si="5"/>
        <v>#DIV/0!</v>
      </c>
      <c r="W252" s="10"/>
      <c r="X252" s="10"/>
      <c r="Y252" s="10"/>
      <c r="Z252" s="10"/>
      <c r="AA252" s="11"/>
      <c r="AB252" s="13"/>
      <c r="AC252" s="14"/>
      <c r="AD252" s="13"/>
      <c r="AE252" s="14"/>
    </row>
    <row r="253" spans="1:31" x14ac:dyDescent="0.25">
      <c r="A253" s="9"/>
      <c r="B253" s="10"/>
      <c r="C253" s="10"/>
      <c r="D253" s="10"/>
      <c r="E253" s="11" t="e">
        <f t="shared" si="0"/>
        <v>#DIV/0!</v>
      </c>
      <c r="F253" s="13">
        <v>6</v>
      </c>
      <c r="G253" s="14" t="e">
        <f t="shared" si="1"/>
        <v>#DIV/0!</v>
      </c>
      <c r="H253" s="13" t="str">
        <f ca="1">IFERROR(__xludf.DUMMYFUNCTION("IFERROR(
  AVERAGE(
    FILTER(
      $E$2:$E253,
      $A$2:$A253&gt;=A253-30,
      $A$2:$A253&lt;=A253,
      $E$2:$E253&gt;0
    )
  ),
  """"
)"),"")</f>
        <v/>
      </c>
      <c r="I253" s="14"/>
      <c r="J253" s="10"/>
      <c r="K253" s="10"/>
      <c r="L253" s="10"/>
      <c r="M253" s="11" t="e">
        <f t="shared" si="2"/>
        <v>#DIV/0!</v>
      </c>
      <c r="N253" s="13">
        <v>8</v>
      </c>
      <c r="O253" s="14" t="e">
        <f t="shared" si="3"/>
        <v>#DIV/0!</v>
      </c>
      <c r="P253" s="13"/>
      <c r="Q253" s="10"/>
      <c r="R253" s="10"/>
      <c r="S253" s="10"/>
      <c r="T253" s="11" t="e">
        <f t="shared" si="4"/>
        <v>#DIV/0!</v>
      </c>
      <c r="U253" s="13">
        <v>8</v>
      </c>
      <c r="V253" s="14" t="e">
        <f t="shared" si="5"/>
        <v>#DIV/0!</v>
      </c>
      <c r="W253" s="10"/>
      <c r="X253" s="10"/>
      <c r="Y253" s="10"/>
      <c r="Z253" s="10"/>
      <c r="AA253" s="11"/>
      <c r="AB253" s="13"/>
      <c r="AC253" s="14"/>
      <c r="AD253" s="13"/>
      <c r="AE253" s="14"/>
    </row>
    <row r="254" spans="1:31" x14ac:dyDescent="0.25">
      <c r="A254" s="9"/>
      <c r="B254" s="10"/>
      <c r="C254" s="10"/>
      <c r="D254" s="10"/>
      <c r="E254" s="11" t="e">
        <f t="shared" si="0"/>
        <v>#DIV/0!</v>
      </c>
      <c r="F254" s="13">
        <v>6</v>
      </c>
      <c r="G254" s="14" t="e">
        <f t="shared" si="1"/>
        <v>#DIV/0!</v>
      </c>
      <c r="H254" s="13" t="str">
        <f ca="1">IFERROR(__xludf.DUMMYFUNCTION("IFERROR(
  AVERAGE(
    FILTER(
      $E$2:$E254,
      $A$2:$A254&gt;=A254-30,
      $A$2:$A254&lt;=A254,
      $E$2:$E254&gt;0
    )
  ),
  """"
)"),"")</f>
        <v/>
      </c>
      <c r="I254" s="14"/>
      <c r="J254" s="10"/>
      <c r="K254" s="10"/>
      <c r="L254" s="10"/>
      <c r="M254" s="11" t="e">
        <f t="shared" si="2"/>
        <v>#DIV/0!</v>
      </c>
      <c r="N254" s="13">
        <v>8</v>
      </c>
      <c r="O254" s="14" t="e">
        <f t="shared" si="3"/>
        <v>#DIV/0!</v>
      </c>
      <c r="P254" s="13"/>
      <c r="Q254" s="10"/>
      <c r="R254" s="10"/>
      <c r="S254" s="10"/>
      <c r="T254" s="11" t="e">
        <f t="shared" si="4"/>
        <v>#DIV/0!</v>
      </c>
      <c r="U254" s="13">
        <v>8</v>
      </c>
      <c r="V254" s="14" t="e">
        <f t="shared" si="5"/>
        <v>#DIV/0!</v>
      </c>
      <c r="W254" s="10"/>
      <c r="X254" s="10"/>
      <c r="Y254" s="10"/>
      <c r="Z254" s="10"/>
      <c r="AA254" s="11"/>
      <c r="AB254" s="13"/>
      <c r="AC254" s="14"/>
      <c r="AD254" s="13"/>
      <c r="AE254" s="14"/>
    </row>
    <row r="255" spans="1:31" x14ac:dyDescent="0.25">
      <c r="A255" s="9"/>
      <c r="B255" s="10"/>
      <c r="C255" s="10"/>
      <c r="D255" s="10"/>
      <c r="E255" s="11" t="e">
        <f t="shared" si="0"/>
        <v>#DIV/0!</v>
      </c>
      <c r="F255" s="13">
        <v>6</v>
      </c>
      <c r="G255" s="14" t="e">
        <f t="shared" si="1"/>
        <v>#DIV/0!</v>
      </c>
      <c r="H255" s="13" t="str">
        <f ca="1">IFERROR(__xludf.DUMMYFUNCTION("IFERROR(
  AVERAGE(
    FILTER(
      $E$2:$E255,
      $A$2:$A255&gt;=A255-30,
      $A$2:$A255&lt;=A255,
      $E$2:$E255&gt;0
    )
  ),
  """"
)"),"")</f>
        <v/>
      </c>
      <c r="I255" s="14"/>
      <c r="J255" s="10"/>
      <c r="K255" s="10"/>
      <c r="L255" s="10"/>
      <c r="M255" s="11" t="e">
        <f t="shared" si="2"/>
        <v>#DIV/0!</v>
      </c>
      <c r="N255" s="13">
        <v>8</v>
      </c>
      <c r="O255" s="14" t="e">
        <f t="shared" si="3"/>
        <v>#DIV/0!</v>
      </c>
      <c r="P255" s="13"/>
      <c r="Q255" s="10"/>
      <c r="R255" s="10"/>
      <c r="S255" s="10"/>
      <c r="T255" s="11" t="e">
        <f t="shared" si="4"/>
        <v>#DIV/0!</v>
      </c>
      <c r="U255" s="13">
        <v>8</v>
      </c>
      <c r="V255" s="14" t="e">
        <f t="shared" si="5"/>
        <v>#DIV/0!</v>
      </c>
      <c r="W255" s="10"/>
      <c r="X255" s="10"/>
      <c r="Y255" s="10"/>
      <c r="Z255" s="10"/>
      <c r="AA255" s="11"/>
      <c r="AB255" s="13"/>
      <c r="AC255" s="14"/>
      <c r="AD255" s="13"/>
      <c r="AE255" s="14"/>
    </row>
    <row r="256" spans="1:31" x14ac:dyDescent="0.25">
      <c r="A256" s="9"/>
      <c r="B256" s="10"/>
      <c r="C256" s="10"/>
      <c r="D256" s="10"/>
      <c r="E256" s="11" t="e">
        <f t="shared" si="0"/>
        <v>#DIV/0!</v>
      </c>
      <c r="F256" s="13">
        <v>6</v>
      </c>
      <c r="G256" s="14" t="e">
        <f t="shared" si="1"/>
        <v>#DIV/0!</v>
      </c>
      <c r="H256" s="13" t="str">
        <f ca="1">IFERROR(__xludf.DUMMYFUNCTION("IFERROR(
  AVERAGE(
    FILTER(
      $E$2:$E256,
      $A$2:$A256&gt;=A256-30,
      $A$2:$A256&lt;=A256,
      $E$2:$E256&gt;0
    )
  ),
  """"
)"),"")</f>
        <v/>
      </c>
      <c r="I256" s="14"/>
      <c r="J256" s="10"/>
      <c r="K256" s="10"/>
      <c r="L256" s="10"/>
      <c r="M256" s="11" t="e">
        <f t="shared" si="2"/>
        <v>#DIV/0!</v>
      </c>
      <c r="N256" s="13">
        <v>8</v>
      </c>
      <c r="O256" s="14" t="e">
        <f t="shared" si="3"/>
        <v>#DIV/0!</v>
      </c>
      <c r="P256" s="13"/>
      <c r="Q256" s="10"/>
      <c r="R256" s="10"/>
      <c r="S256" s="10"/>
      <c r="T256" s="11" t="e">
        <f t="shared" si="4"/>
        <v>#DIV/0!</v>
      </c>
      <c r="U256" s="13">
        <v>8</v>
      </c>
      <c r="V256" s="14" t="e">
        <f t="shared" si="5"/>
        <v>#DIV/0!</v>
      </c>
      <c r="W256" s="10"/>
      <c r="X256" s="10"/>
      <c r="Y256" s="10"/>
      <c r="Z256" s="10"/>
      <c r="AA256" s="11"/>
      <c r="AB256" s="13"/>
      <c r="AC256" s="14"/>
      <c r="AD256" s="13"/>
      <c r="AE256" s="14"/>
    </row>
    <row r="257" spans="1:31" x14ac:dyDescent="0.25">
      <c r="A257" s="9"/>
      <c r="B257" s="10"/>
      <c r="C257" s="10"/>
      <c r="D257" s="10"/>
      <c r="E257" s="11" t="e">
        <f t="shared" ref="E257:E344" si="10">D257/C257*100</f>
        <v>#DIV/0!</v>
      </c>
      <c r="F257" s="13">
        <v>6</v>
      </c>
      <c r="G257" s="14" t="e">
        <f t="shared" ref="G257:G344" si="11">F257-E257</f>
        <v>#DIV/0!</v>
      </c>
      <c r="H257" s="13" t="str">
        <f ca="1">IFERROR(__xludf.DUMMYFUNCTION("IFERROR(
  AVERAGE(
    FILTER(
      $E$2:$E257,
      $A$2:$A257&gt;=A257-30,
      $A$2:$A257&lt;=A257,
      $E$2:$E257&gt;0
    )
  ),
  """"
)"),"")</f>
        <v/>
      </c>
      <c r="I257" s="14"/>
      <c r="J257" s="10"/>
      <c r="K257" s="10"/>
      <c r="L257" s="10"/>
      <c r="M257" s="11" t="e">
        <f t="shared" ref="M257:M346" si="12">L257/K257*100</f>
        <v>#DIV/0!</v>
      </c>
      <c r="N257" s="13">
        <v>8</v>
      </c>
      <c r="O257" s="14" t="e">
        <f t="shared" ref="O257:O346" si="13">N257-M257</f>
        <v>#DIV/0!</v>
      </c>
      <c r="P257" s="13"/>
      <c r="Q257" s="10"/>
      <c r="R257" s="10"/>
      <c r="S257" s="10"/>
      <c r="T257" s="11" t="e">
        <f t="shared" ref="T257:T346" si="14">S257/R257*100</f>
        <v>#DIV/0!</v>
      </c>
      <c r="U257" s="13">
        <v>8</v>
      </c>
      <c r="V257" s="14" t="e">
        <f t="shared" ref="V257:V346" si="15">U257-T257</f>
        <v>#DIV/0!</v>
      </c>
      <c r="W257" s="10"/>
      <c r="X257" s="10"/>
      <c r="Y257" s="10"/>
      <c r="Z257" s="10"/>
      <c r="AA257" s="11"/>
      <c r="AB257" s="13"/>
      <c r="AC257" s="14"/>
      <c r="AD257" s="13"/>
      <c r="AE257" s="14"/>
    </row>
    <row r="258" spans="1:31" x14ac:dyDescent="0.25">
      <c r="A258" s="9"/>
      <c r="B258" s="10"/>
      <c r="C258" s="10"/>
      <c r="D258" s="10"/>
      <c r="E258" s="11" t="e">
        <f t="shared" si="10"/>
        <v>#DIV/0!</v>
      </c>
      <c r="F258" s="13">
        <v>6</v>
      </c>
      <c r="G258" s="14" t="e">
        <f t="shared" si="11"/>
        <v>#DIV/0!</v>
      </c>
      <c r="H258" s="13" t="str">
        <f ca="1">IFERROR(__xludf.DUMMYFUNCTION("IFERROR(
  AVERAGE(
    FILTER(
      $E$2:$E258,
      $A$2:$A258&gt;=A258-30,
      $A$2:$A258&lt;=A258,
      $E$2:$E258&gt;0
    )
  ),
  """"
)"),"")</f>
        <v/>
      </c>
      <c r="I258" s="14"/>
      <c r="J258" s="10"/>
      <c r="K258" s="10"/>
      <c r="L258" s="10"/>
      <c r="M258" s="11" t="e">
        <f t="shared" si="12"/>
        <v>#DIV/0!</v>
      </c>
      <c r="N258" s="13">
        <v>8</v>
      </c>
      <c r="O258" s="14" t="e">
        <f t="shared" si="13"/>
        <v>#DIV/0!</v>
      </c>
      <c r="P258" s="13"/>
      <c r="Q258" s="10"/>
      <c r="R258" s="10"/>
      <c r="S258" s="10"/>
      <c r="T258" s="11" t="e">
        <f t="shared" si="14"/>
        <v>#DIV/0!</v>
      </c>
      <c r="U258" s="13">
        <v>8</v>
      </c>
      <c r="V258" s="14" t="e">
        <f t="shared" si="15"/>
        <v>#DIV/0!</v>
      </c>
      <c r="W258" s="10"/>
      <c r="X258" s="10"/>
      <c r="Y258" s="10"/>
      <c r="Z258" s="10"/>
      <c r="AA258" s="11"/>
      <c r="AB258" s="13"/>
      <c r="AC258" s="14"/>
      <c r="AD258" s="13"/>
      <c r="AE258" s="14"/>
    </row>
    <row r="259" spans="1:31" x14ac:dyDescent="0.25">
      <c r="A259" s="9"/>
      <c r="B259" s="10"/>
      <c r="C259" s="10"/>
      <c r="D259" s="10"/>
      <c r="E259" s="11" t="e">
        <f t="shared" si="10"/>
        <v>#DIV/0!</v>
      </c>
      <c r="F259" s="13">
        <v>6</v>
      </c>
      <c r="G259" s="14" t="e">
        <f t="shared" si="11"/>
        <v>#DIV/0!</v>
      </c>
      <c r="H259" s="13" t="str">
        <f ca="1">IFERROR(__xludf.DUMMYFUNCTION("IFERROR(
  AVERAGE(
    FILTER(
      $E$2:$E259,
      $A$2:$A259&gt;=A259-30,
      $A$2:$A259&lt;=A259,
      $E$2:$E259&gt;0
    )
  ),
  """"
)"),"")</f>
        <v/>
      </c>
      <c r="I259" s="14"/>
      <c r="J259" s="10"/>
      <c r="K259" s="10"/>
      <c r="L259" s="10"/>
      <c r="M259" s="11" t="e">
        <f t="shared" si="12"/>
        <v>#DIV/0!</v>
      </c>
      <c r="N259" s="13">
        <v>8</v>
      </c>
      <c r="O259" s="14" t="e">
        <f t="shared" si="13"/>
        <v>#DIV/0!</v>
      </c>
      <c r="P259" s="13"/>
      <c r="Q259" s="10"/>
      <c r="R259" s="10"/>
      <c r="S259" s="10"/>
      <c r="T259" s="11" t="e">
        <f t="shared" si="14"/>
        <v>#DIV/0!</v>
      </c>
      <c r="U259" s="13">
        <v>8</v>
      </c>
      <c r="V259" s="14" t="e">
        <f t="shared" si="15"/>
        <v>#DIV/0!</v>
      </c>
      <c r="W259" s="10"/>
      <c r="X259" s="10"/>
      <c r="Y259" s="10"/>
      <c r="Z259" s="10"/>
      <c r="AA259" s="11"/>
      <c r="AB259" s="13"/>
      <c r="AC259" s="14"/>
      <c r="AD259" s="13"/>
      <c r="AE259" s="14"/>
    </row>
    <row r="260" spans="1:31" x14ac:dyDescent="0.25">
      <c r="A260" s="9"/>
      <c r="B260" s="10"/>
      <c r="C260" s="10"/>
      <c r="D260" s="10"/>
      <c r="E260" s="11" t="e">
        <f t="shared" si="10"/>
        <v>#DIV/0!</v>
      </c>
      <c r="F260" s="13">
        <v>6</v>
      </c>
      <c r="G260" s="14" t="e">
        <f t="shared" si="11"/>
        <v>#DIV/0!</v>
      </c>
      <c r="H260" s="13" t="str">
        <f ca="1">IFERROR(__xludf.DUMMYFUNCTION("IFERROR(
  AVERAGE(
    FILTER(
      $E$2:$E260,
      $A$2:$A260&gt;=A260-30,
      $A$2:$A260&lt;=A260,
      $E$2:$E260&gt;0
    )
  ),
  """"
)"),"")</f>
        <v/>
      </c>
      <c r="I260" s="14"/>
      <c r="J260" s="10"/>
      <c r="K260" s="10"/>
      <c r="L260" s="10"/>
      <c r="M260" s="11" t="e">
        <f t="shared" si="12"/>
        <v>#DIV/0!</v>
      </c>
      <c r="N260" s="13">
        <v>8</v>
      </c>
      <c r="O260" s="14" t="e">
        <f t="shared" si="13"/>
        <v>#DIV/0!</v>
      </c>
      <c r="P260" s="13"/>
      <c r="Q260" s="10"/>
      <c r="R260" s="10"/>
      <c r="S260" s="10"/>
      <c r="T260" s="11" t="e">
        <f t="shared" si="14"/>
        <v>#DIV/0!</v>
      </c>
      <c r="U260" s="13">
        <v>8</v>
      </c>
      <c r="V260" s="14" t="e">
        <f t="shared" si="15"/>
        <v>#DIV/0!</v>
      </c>
      <c r="W260" s="10"/>
      <c r="X260" s="10"/>
      <c r="Y260" s="10"/>
      <c r="Z260" s="10"/>
      <c r="AA260" s="11"/>
      <c r="AB260" s="13"/>
      <c r="AC260" s="14"/>
      <c r="AD260" s="13"/>
      <c r="AE260" s="14"/>
    </row>
    <row r="261" spans="1:31" x14ac:dyDescent="0.25">
      <c r="A261" s="9"/>
      <c r="B261" s="10"/>
      <c r="C261" s="10"/>
      <c r="D261" s="10"/>
      <c r="E261" s="11" t="e">
        <f t="shared" si="10"/>
        <v>#DIV/0!</v>
      </c>
      <c r="F261" s="13">
        <v>6</v>
      </c>
      <c r="G261" s="14" t="e">
        <f t="shared" si="11"/>
        <v>#DIV/0!</v>
      </c>
      <c r="H261" s="13" t="str">
        <f ca="1">IFERROR(__xludf.DUMMYFUNCTION("IFERROR(
  AVERAGE(
    FILTER(
      $E$2:$E261,
      $A$2:$A261&gt;=A261-30,
      $A$2:$A261&lt;=A261,
      $E$2:$E261&gt;0
    )
  ),
  """"
)"),"")</f>
        <v/>
      </c>
      <c r="I261" s="14"/>
      <c r="J261" s="10"/>
      <c r="K261" s="10"/>
      <c r="L261" s="10"/>
      <c r="M261" s="11" t="e">
        <f t="shared" si="12"/>
        <v>#DIV/0!</v>
      </c>
      <c r="N261" s="13">
        <v>8</v>
      </c>
      <c r="O261" s="14" t="e">
        <f t="shared" si="13"/>
        <v>#DIV/0!</v>
      </c>
      <c r="P261" s="13"/>
      <c r="Q261" s="10"/>
      <c r="R261" s="10"/>
      <c r="S261" s="10"/>
      <c r="T261" s="11" t="e">
        <f t="shared" si="14"/>
        <v>#DIV/0!</v>
      </c>
      <c r="U261" s="13">
        <v>8</v>
      </c>
      <c r="V261" s="14" t="e">
        <f t="shared" si="15"/>
        <v>#DIV/0!</v>
      </c>
      <c r="W261" s="10"/>
      <c r="X261" s="10"/>
      <c r="Y261" s="10"/>
      <c r="Z261" s="10"/>
      <c r="AA261" s="11"/>
      <c r="AB261" s="13"/>
      <c r="AC261" s="14"/>
      <c r="AD261" s="13"/>
      <c r="AE261" s="14"/>
    </row>
    <row r="262" spans="1:31" x14ac:dyDescent="0.25">
      <c r="A262" s="9"/>
      <c r="B262" s="10"/>
      <c r="C262" s="10"/>
      <c r="D262" s="10"/>
      <c r="E262" s="11" t="e">
        <f t="shared" si="10"/>
        <v>#DIV/0!</v>
      </c>
      <c r="F262" s="13">
        <v>6</v>
      </c>
      <c r="G262" s="14" t="e">
        <f t="shared" si="11"/>
        <v>#DIV/0!</v>
      </c>
      <c r="H262" s="13" t="str">
        <f ca="1">IFERROR(__xludf.DUMMYFUNCTION("IFERROR(
  AVERAGE(
    FILTER(
      $E$2:$E262,
      $A$2:$A262&gt;=A262-30,
      $A$2:$A262&lt;=A262,
      $E$2:$E262&gt;0
    )
  ),
  """"
)"),"")</f>
        <v/>
      </c>
      <c r="I262" s="14"/>
      <c r="J262" s="10"/>
      <c r="K262" s="10"/>
      <c r="L262" s="10"/>
      <c r="M262" s="11" t="e">
        <f t="shared" si="12"/>
        <v>#DIV/0!</v>
      </c>
      <c r="N262" s="13">
        <v>8</v>
      </c>
      <c r="O262" s="14" t="e">
        <f t="shared" si="13"/>
        <v>#DIV/0!</v>
      </c>
      <c r="P262" s="13"/>
      <c r="Q262" s="10"/>
      <c r="R262" s="10"/>
      <c r="S262" s="10"/>
      <c r="T262" s="11" t="e">
        <f t="shared" si="14"/>
        <v>#DIV/0!</v>
      </c>
      <c r="U262" s="13">
        <v>8</v>
      </c>
      <c r="V262" s="14" t="e">
        <f t="shared" si="15"/>
        <v>#DIV/0!</v>
      </c>
      <c r="W262" s="10"/>
      <c r="X262" s="10"/>
      <c r="Y262" s="10"/>
      <c r="Z262" s="10"/>
      <c r="AA262" s="11"/>
      <c r="AB262" s="13"/>
      <c r="AC262" s="14"/>
      <c r="AD262" s="13"/>
      <c r="AE262" s="14"/>
    </row>
    <row r="263" spans="1:31" x14ac:dyDescent="0.25">
      <c r="A263" s="9"/>
      <c r="B263" s="10"/>
      <c r="C263" s="10"/>
      <c r="D263" s="10"/>
      <c r="E263" s="11" t="e">
        <f t="shared" si="10"/>
        <v>#DIV/0!</v>
      </c>
      <c r="F263" s="13">
        <v>6</v>
      </c>
      <c r="G263" s="14" t="e">
        <f t="shared" si="11"/>
        <v>#DIV/0!</v>
      </c>
      <c r="H263" s="13" t="str">
        <f ca="1">IFERROR(__xludf.DUMMYFUNCTION("IFERROR(
  AVERAGE(
    FILTER(
      $E$2:$E263,
      $A$2:$A263&gt;=A263-30,
      $A$2:$A263&lt;=A263,
      $E$2:$E263&gt;0
    )
  ),
  """"
)"),"")</f>
        <v/>
      </c>
      <c r="I263" s="14"/>
      <c r="J263" s="10"/>
      <c r="K263" s="10"/>
      <c r="L263" s="10"/>
      <c r="M263" s="11" t="e">
        <f t="shared" si="12"/>
        <v>#DIV/0!</v>
      </c>
      <c r="N263" s="13">
        <v>8</v>
      </c>
      <c r="O263" s="14" t="e">
        <f t="shared" si="13"/>
        <v>#DIV/0!</v>
      </c>
      <c r="P263" s="13"/>
      <c r="Q263" s="10"/>
      <c r="R263" s="10"/>
      <c r="S263" s="10"/>
      <c r="T263" s="11" t="e">
        <f t="shared" si="14"/>
        <v>#DIV/0!</v>
      </c>
      <c r="U263" s="13">
        <v>8</v>
      </c>
      <c r="V263" s="14" t="e">
        <f t="shared" si="15"/>
        <v>#DIV/0!</v>
      </c>
      <c r="W263" s="10"/>
      <c r="X263" s="10"/>
      <c r="Y263" s="10"/>
      <c r="Z263" s="10"/>
      <c r="AA263" s="11"/>
      <c r="AB263" s="13"/>
      <c r="AC263" s="14"/>
      <c r="AD263" s="13"/>
      <c r="AE263" s="14"/>
    </row>
    <row r="264" spans="1:31" x14ac:dyDescent="0.25">
      <c r="A264" s="9"/>
      <c r="B264" s="10"/>
      <c r="C264" s="10"/>
      <c r="D264" s="10"/>
      <c r="E264" s="11" t="e">
        <f t="shared" si="10"/>
        <v>#DIV/0!</v>
      </c>
      <c r="F264" s="13">
        <v>6</v>
      </c>
      <c r="G264" s="14" t="e">
        <f t="shared" si="11"/>
        <v>#DIV/0!</v>
      </c>
      <c r="H264" s="13" t="str">
        <f ca="1">IFERROR(__xludf.DUMMYFUNCTION("IFERROR(
  AVERAGE(
    FILTER(
      $E$2:$E264,
      $A$2:$A264&gt;=A264-30,
      $A$2:$A264&lt;=A264,
      $E$2:$E264&gt;0
    )
  ),
  """"
)"),"")</f>
        <v/>
      </c>
      <c r="I264" s="14"/>
      <c r="J264" s="10"/>
      <c r="K264" s="10"/>
      <c r="L264" s="10"/>
      <c r="M264" s="11" t="e">
        <f t="shared" si="12"/>
        <v>#DIV/0!</v>
      </c>
      <c r="N264" s="13">
        <v>8</v>
      </c>
      <c r="O264" s="14" t="e">
        <f t="shared" si="13"/>
        <v>#DIV/0!</v>
      </c>
      <c r="P264" s="13"/>
      <c r="Q264" s="10"/>
      <c r="R264" s="10"/>
      <c r="S264" s="10"/>
      <c r="T264" s="11" t="e">
        <f t="shared" si="14"/>
        <v>#DIV/0!</v>
      </c>
      <c r="U264" s="13">
        <v>8</v>
      </c>
      <c r="V264" s="14" t="e">
        <f t="shared" si="15"/>
        <v>#DIV/0!</v>
      </c>
      <c r="W264" s="10"/>
      <c r="X264" s="10"/>
      <c r="Y264" s="10"/>
      <c r="Z264" s="10"/>
      <c r="AA264" s="11"/>
      <c r="AB264" s="13"/>
      <c r="AC264" s="14"/>
      <c r="AD264" s="13"/>
      <c r="AE264" s="14"/>
    </row>
    <row r="265" spans="1:31" x14ac:dyDescent="0.25">
      <c r="A265" s="9"/>
      <c r="B265" s="10"/>
      <c r="C265" s="10"/>
      <c r="D265" s="10"/>
      <c r="E265" s="11" t="e">
        <f t="shared" si="10"/>
        <v>#DIV/0!</v>
      </c>
      <c r="F265" s="13">
        <v>6</v>
      </c>
      <c r="G265" s="14" t="e">
        <f t="shared" si="11"/>
        <v>#DIV/0!</v>
      </c>
      <c r="H265" s="13" t="str">
        <f ca="1">IFERROR(__xludf.DUMMYFUNCTION("IFERROR(
  AVERAGE(
    FILTER(
      $E$2:$E265,
      $A$2:$A265&gt;=A265-30,
      $A$2:$A265&lt;=A265,
      $E$2:$E265&gt;0
    )
  ),
  """"
)"),"")</f>
        <v/>
      </c>
      <c r="I265" s="14"/>
      <c r="J265" s="10"/>
      <c r="K265" s="10"/>
      <c r="L265" s="10"/>
      <c r="M265" s="11" t="e">
        <f t="shared" si="12"/>
        <v>#DIV/0!</v>
      </c>
      <c r="N265" s="13">
        <v>8</v>
      </c>
      <c r="O265" s="14" t="e">
        <f t="shared" si="13"/>
        <v>#DIV/0!</v>
      </c>
      <c r="P265" s="13"/>
      <c r="Q265" s="10"/>
      <c r="R265" s="10"/>
      <c r="S265" s="10"/>
      <c r="T265" s="11" t="e">
        <f t="shared" si="14"/>
        <v>#DIV/0!</v>
      </c>
      <c r="U265" s="13">
        <v>8</v>
      </c>
      <c r="V265" s="14" t="e">
        <f t="shared" si="15"/>
        <v>#DIV/0!</v>
      </c>
      <c r="W265" s="10"/>
      <c r="X265" s="10"/>
      <c r="Y265" s="10"/>
      <c r="Z265" s="10"/>
      <c r="AA265" s="11"/>
      <c r="AB265" s="13"/>
      <c r="AC265" s="14"/>
      <c r="AD265" s="13"/>
      <c r="AE265" s="14"/>
    </row>
    <row r="266" spans="1:31" x14ac:dyDescent="0.25">
      <c r="A266" s="9"/>
      <c r="B266" s="10"/>
      <c r="C266" s="10"/>
      <c r="D266" s="10"/>
      <c r="E266" s="11" t="e">
        <f t="shared" si="10"/>
        <v>#DIV/0!</v>
      </c>
      <c r="F266" s="13">
        <v>6</v>
      </c>
      <c r="G266" s="14" t="e">
        <f t="shared" si="11"/>
        <v>#DIV/0!</v>
      </c>
      <c r="H266" s="13" t="str">
        <f ca="1">IFERROR(__xludf.DUMMYFUNCTION("IFERROR(
  AVERAGE(
    FILTER(
      $E$2:$E266,
      $A$2:$A266&gt;=A266-30,
      $A$2:$A266&lt;=A266,
      $E$2:$E266&gt;0
    )
  ),
  """"
)"),"")</f>
        <v/>
      </c>
      <c r="I266" s="14"/>
      <c r="J266" s="10"/>
      <c r="K266" s="10"/>
      <c r="L266" s="10"/>
      <c r="M266" s="11" t="e">
        <f t="shared" si="12"/>
        <v>#DIV/0!</v>
      </c>
      <c r="N266" s="13">
        <v>8</v>
      </c>
      <c r="O266" s="14" t="e">
        <f t="shared" si="13"/>
        <v>#DIV/0!</v>
      </c>
      <c r="P266" s="13"/>
      <c r="Q266" s="10"/>
      <c r="R266" s="10"/>
      <c r="S266" s="10"/>
      <c r="T266" s="11" t="e">
        <f t="shared" si="14"/>
        <v>#DIV/0!</v>
      </c>
      <c r="U266" s="13">
        <v>8</v>
      </c>
      <c r="V266" s="14" t="e">
        <f t="shared" si="15"/>
        <v>#DIV/0!</v>
      </c>
      <c r="W266" s="10"/>
      <c r="X266" s="10"/>
      <c r="Y266" s="10"/>
      <c r="Z266" s="10"/>
      <c r="AA266" s="11"/>
      <c r="AB266" s="13"/>
      <c r="AC266" s="14"/>
      <c r="AD266" s="13"/>
      <c r="AE266" s="14"/>
    </row>
    <row r="267" spans="1:31" x14ac:dyDescent="0.25">
      <c r="A267" s="9"/>
      <c r="B267" s="10"/>
      <c r="C267" s="10"/>
      <c r="D267" s="10"/>
      <c r="E267" s="11" t="e">
        <f t="shared" si="10"/>
        <v>#DIV/0!</v>
      </c>
      <c r="F267" s="13">
        <v>6</v>
      </c>
      <c r="G267" s="14" t="e">
        <f t="shared" si="11"/>
        <v>#DIV/0!</v>
      </c>
      <c r="H267" s="13" t="str">
        <f ca="1">IFERROR(__xludf.DUMMYFUNCTION("IFERROR(
  AVERAGE(
    FILTER(
      $E$2:$E267,
      $A$2:$A267&gt;=A267-30,
      $A$2:$A267&lt;=A267,
      $E$2:$E267&gt;0
    )
  ),
  """"
)"),"")</f>
        <v/>
      </c>
      <c r="I267" s="14"/>
      <c r="J267" s="10"/>
      <c r="K267" s="10"/>
      <c r="L267" s="10"/>
      <c r="M267" s="11" t="e">
        <f t="shared" si="12"/>
        <v>#DIV/0!</v>
      </c>
      <c r="N267" s="13">
        <v>8</v>
      </c>
      <c r="O267" s="14" t="e">
        <f t="shared" si="13"/>
        <v>#DIV/0!</v>
      </c>
      <c r="P267" s="13"/>
      <c r="Q267" s="10"/>
      <c r="R267" s="10"/>
      <c r="S267" s="10"/>
      <c r="T267" s="11" t="e">
        <f t="shared" si="14"/>
        <v>#DIV/0!</v>
      </c>
      <c r="U267" s="13">
        <v>8</v>
      </c>
      <c r="V267" s="14" t="e">
        <f t="shared" si="15"/>
        <v>#DIV/0!</v>
      </c>
      <c r="W267" s="10"/>
      <c r="X267" s="10"/>
      <c r="Y267" s="10"/>
      <c r="Z267" s="10"/>
      <c r="AA267" s="11"/>
      <c r="AB267" s="13"/>
      <c r="AC267" s="14"/>
      <c r="AD267" s="13"/>
      <c r="AE267" s="14"/>
    </row>
    <row r="268" spans="1:31" x14ac:dyDescent="0.25">
      <c r="A268" s="9"/>
      <c r="B268" s="10"/>
      <c r="C268" s="10"/>
      <c r="D268" s="10"/>
      <c r="E268" s="11" t="e">
        <f t="shared" si="10"/>
        <v>#DIV/0!</v>
      </c>
      <c r="F268" s="13">
        <v>6</v>
      </c>
      <c r="G268" s="14" t="e">
        <f t="shared" si="11"/>
        <v>#DIV/0!</v>
      </c>
      <c r="H268" s="13" t="str">
        <f ca="1">IFERROR(__xludf.DUMMYFUNCTION("IFERROR(
  AVERAGE(
    FILTER(
      $E$2:$E268,
      $A$2:$A268&gt;=A268-30,
      $A$2:$A268&lt;=A268,
      $E$2:$E268&gt;0
    )
  ),
  """"
)"),"")</f>
        <v/>
      </c>
      <c r="I268" s="14"/>
      <c r="J268" s="10"/>
      <c r="K268" s="10"/>
      <c r="L268" s="10"/>
      <c r="M268" s="11" t="e">
        <f t="shared" si="12"/>
        <v>#DIV/0!</v>
      </c>
      <c r="N268" s="13">
        <v>8</v>
      </c>
      <c r="O268" s="14" t="e">
        <f t="shared" si="13"/>
        <v>#DIV/0!</v>
      </c>
      <c r="P268" s="13"/>
      <c r="Q268" s="10"/>
      <c r="R268" s="10"/>
      <c r="S268" s="10"/>
      <c r="T268" s="11" t="e">
        <f t="shared" si="14"/>
        <v>#DIV/0!</v>
      </c>
      <c r="U268" s="13">
        <v>8</v>
      </c>
      <c r="V268" s="14" t="e">
        <f t="shared" si="15"/>
        <v>#DIV/0!</v>
      </c>
      <c r="W268" s="10"/>
      <c r="X268" s="10"/>
      <c r="Y268" s="10"/>
      <c r="Z268" s="10"/>
      <c r="AA268" s="11"/>
      <c r="AB268" s="13"/>
      <c r="AC268" s="14"/>
      <c r="AD268" s="13"/>
      <c r="AE268" s="14"/>
    </row>
    <row r="269" spans="1:31" x14ac:dyDescent="0.25">
      <c r="A269" s="9"/>
      <c r="B269" s="10"/>
      <c r="C269" s="10"/>
      <c r="D269" s="10"/>
      <c r="E269" s="11" t="e">
        <f t="shared" si="10"/>
        <v>#DIV/0!</v>
      </c>
      <c r="F269" s="13">
        <v>6</v>
      </c>
      <c r="G269" s="14" t="e">
        <f t="shared" si="11"/>
        <v>#DIV/0!</v>
      </c>
      <c r="H269" s="13" t="str">
        <f ca="1">IFERROR(__xludf.DUMMYFUNCTION("IFERROR(
  AVERAGE(
    FILTER(
      $E$2:$E269,
      $A$2:$A269&gt;=A269-30,
      $A$2:$A269&lt;=A269,
      $E$2:$E269&gt;0
    )
  ),
  """"
)"),"")</f>
        <v/>
      </c>
      <c r="I269" s="14"/>
      <c r="J269" s="10"/>
      <c r="K269" s="10"/>
      <c r="L269" s="10"/>
      <c r="M269" s="11" t="e">
        <f t="shared" si="12"/>
        <v>#DIV/0!</v>
      </c>
      <c r="N269" s="13">
        <v>8</v>
      </c>
      <c r="O269" s="14" t="e">
        <f t="shared" si="13"/>
        <v>#DIV/0!</v>
      </c>
      <c r="P269" s="13"/>
      <c r="Q269" s="10"/>
      <c r="R269" s="10"/>
      <c r="S269" s="10"/>
      <c r="T269" s="11" t="e">
        <f t="shared" si="14"/>
        <v>#DIV/0!</v>
      </c>
      <c r="U269" s="13">
        <v>8</v>
      </c>
      <c r="V269" s="14" t="e">
        <f t="shared" si="15"/>
        <v>#DIV/0!</v>
      </c>
      <c r="W269" s="10"/>
      <c r="X269" s="10"/>
      <c r="Y269" s="10"/>
      <c r="Z269" s="10"/>
      <c r="AA269" s="11"/>
      <c r="AB269" s="13"/>
      <c r="AC269" s="14"/>
      <c r="AD269" s="13"/>
      <c r="AE269" s="14"/>
    </row>
    <row r="270" spans="1:31" x14ac:dyDescent="0.25">
      <c r="A270" s="9"/>
      <c r="B270" s="10"/>
      <c r="C270" s="10"/>
      <c r="D270" s="10"/>
      <c r="E270" s="11" t="e">
        <f t="shared" si="10"/>
        <v>#DIV/0!</v>
      </c>
      <c r="F270" s="13">
        <v>6</v>
      </c>
      <c r="G270" s="14" t="e">
        <f t="shared" si="11"/>
        <v>#DIV/0!</v>
      </c>
      <c r="H270" s="13" t="str">
        <f ca="1">IFERROR(__xludf.DUMMYFUNCTION("IFERROR(
  AVERAGE(
    FILTER(
      $E$2:$E270,
      $A$2:$A270&gt;=A270-30,
      $A$2:$A270&lt;=A270,
      $E$2:$E270&gt;0
    )
  ),
  """"
)"),"")</f>
        <v/>
      </c>
      <c r="I270" s="14"/>
      <c r="J270" s="10"/>
      <c r="K270" s="10"/>
      <c r="L270" s="10"/>
      <c r="M270" s="11" t="e">
        <f t="shared" si="12"/>
        <v>#DIV/0!</v>
      </c>
      <c r="N270" s="13">
        <v>8</v>
      </c>
      <c r="O270" s="14" t="e">
        <f t="shared" si="13"/>
        <v>#DIV/0!</v>
      </c>
      <c r="P270" s="13"/>
      <c r="Q270" s="10"/>
      <c r="R270" s="10"/>
      <c r="S270" s="10"/>
      <c r="T270" s="11" t="e">
        <f t="shared" si="14"/>
        <v>#DIV/0!</v>
      </c>
      <c r="U270" s="13">
        <v>8</v>
      </c>
      <c r="V270" s="14" t="e">
        <f t="shared" si="15"/>
        <v>#DIV/0!</v>
      </c>
      <c r="W270" s="10"/>
      <c r="X270" s="10"/>
      <c r="Y270" s="10"/>
      <c r="Z270" s="10"/>
      <c r="AA270" s="11"/>
      <c r="AB270" s="13"/>
      <c r="AC270" s="14"/>
      <c r="AD270" s="13"/>
      <c r="AE270" s="14"/>
    </row>
    <row r="271" spans="1:31" x14ac:dyDescent="0.25">
      <c r="A271" s="9"/>
      <c r="B271" s="10"/>
      <c r="C271" s="10"/>
      <c r="D271" s="10"/>
      <c r="E271" s="11" t="e">
        <f t="shared" si="10"/>
        <v>#DIV/0!</v>
      </c>
      <c r="F271" s="13">
        <v>6</v>
      </c>
      <c r="G271" s="14" t="e">
        <f t="shared" si="11"/>
        <v>#DIV/0!</v>
      </c>
      <c r="H271" s="13" t="str">
        <f ca="1">IFERROR(__xludf.DUMMYFUNCTION("IFERROR(
  AVERAGE(
    FILTER(
      $E$2:$E271,
      $A$2:$A271&gt;=A271-30,
      $A$2:$A271&lt;=A271,
      $E$2:$E271&gt;0
    )
  ),
  """"
)"),"")</f>
        <v/>
      </c>
      <c r="I271" s="14"/>
      <c r="J271" s="10"/>
      <c r="K271" s="10"/>
      <c r="L271" s="10"/>
      <c r="M271" s="11" t="e">
        <f t="shared" si="12"/>
        <v>#DIV/0!</v>
      </c>
      <c r="N271" s="13">
        <v>8</v>
      </c>
      <c r="O271" s="14" t="e">
        <f t="shared" si="13"/>
        <v>#DIV/0!</v>
      </c>
      <c r="P271" s="13"/>
      <c r="Q271" s="10"/>
      <c r="R271" s="10"/>
      <c r="S271" s="10"/>
      <c r="T271" s="11" t="e">
        <f t="shared" si="14"/>
        <v>#DIV/0!</v>
      </c>
      <c r="U271" s="13">
        <v>8</v>
      </c>
      <c r="V271" s="14" t="e">
        <f t="shared" si="15"/>
        <v>#DIV/0!</v>
      </c>
      <c r="W271" s="10"/>
      <c r="X271" s="10"/>
      <c r="Y271" s="10"/>
      <c r="Z271" s="10"/>
      <c r="AA271" s="11"/>
      <c r="AB271" s="13"/>
      <c r="AC271" s="14"/>
      <c r="AD271" s="13"/>
      <c r="AE271" s="14"/>
    </row>
    <row r="272" spans="1:31" x14ac:dyDescent="0.25">
      <c r="A272" s="9"/>
      <c r="B272" s="10"/>
      <c r="C272" s="10"/>
      <c r="D272" s="10"/>
      <c r="E272" s="11" t="e">
        <f t="shared" si="10"/>
        <v>#DIV/0!</v>
      </c>
      <c r="F272" s="13">
        <v>6</v>
      </c>
      <c r="G272" s="14" t="e">
        <f t="shared" si="11"/>
        <v>#DIV/0!</v>
      </c>
      <c r="H272" s="13" t="str">
        <f ca="1">IFERROR(__xludf.DUMMYFUNCTION("IFERROR(
  AVERAGE(
    FILTER(
      $E$2:$E272,
      $A$2:$A272&gt;=A272-30,
      $A$2:$A272&lt;=A272,
      $E$2:$E272&gt;0
    )
  ),
  """"
)"),"")</f>
        <v/>
      </c>
      <c r="I272" s="14"/>
      <c r="J272" s="10"/>
      <c r="K272" s="10"/>
      <c r="L272" s="10"/>
      <c r="M272" s="11" t="e">
        <f t="shared" si="12"/>
        <v>#DIV/0!</v>
      </c>
      <c r="N272" s="13">
        <v>8</v>
      </c>
      <c r="O272" s="14" t="e">
        <f t="shared" si="13"/>
        <v>#DIV/0!</v>
      </c>
      <c r="P272" s="13"/>
      <c r="Q272" s="10"/>
      <c r="R272" s="10"/>
      <c r="S272" s="10"/>
      <c r="T272" s="11" t="e">
        <f t="shared" si="14"/>
        <v>#DIV/0!</v>
      </c>
      <c r="U272" s="13">
        <v>8</v>
      </c>
      <c r="V272" s="14" t="e">
        <f t="shared" si="15"/>
        <v>#DIV/0!</v>
      </c>
      <c r="W272" s="10"/>
      <c r="X272" s="10"/>
      <c r="Y272" s="10"/>
      <c r="Z272" s="10"/>
      <c r="AA272" s="11"/>
      <c r="AB272" s="13"/>
      <c r="AC272" s="14"/>
      <c r="AD272" s="13"/>
      <c r="AE272" s="14"/>
    </row>
    <row r="273" spans="1:31" x14ac:dyDescent="0.25">
      <c r="A273" s="9"/>
      <c r="B273" s="10"/>
      <c r="C273" s="10"/>
      <c r="D273" s="10"/>
      <c r="E273" s="11" t="e">
        <f t="shared" si="10"/>
        <v>#DIV/0!</v>
      </c>
      <c r="F273" s="13">
        <v>6</v>
      </c>
      <c r="G273" s="14" t="e">
        <f t="shared" si="11"/>
        <v>#DIV/0!</v>
      </c>
      <c r="H273" s="13" t="str">
        <f ca="1">IFERROR(__xludf.DUMMYFUNCTION("IFERROR(
  AVERAGE(
    FILTER(
      $E$2:$E273,
      $A$2:$A273&gt;=A273-30,
      $A$2:$A273&lt;=A273,
      $E$2:$E273&gt;0
    )
  ),
  """"
)"),"")</f>
        <v/>
      </c>
      <c r="I273" s="14"/>
      <c r="J273" s="10"/>
      <c r="K273" s="10"/>
      <c r="L273" s="10"/>
      <c r="M273" s="11" t="e">
        <f t="shared" si="12"/>
        <v>#DIV/0!</v>
      </c>
      <c r="N273" s="13">
        <v>8</v>
      </c>
      <c r="O273" s="14" t="e">
        <f t="shared" si="13"/>
        <v>#DIV/0!</v>
      </c>
      <c r="P273" s="13"/>
      <c r="Q273" s="10"/>
      <c r="R273" s="10"/>
      <c r="S273" s="10"/>
      <c r="T273" s="11" t="e">
        <f t="shared" si="14"/>
        <v>#DIV/0!</v>
      </c>
      <c r="U273" s="13">
        <v>8</v>
      </c>
      <c r="V273" s="14" t="e">
        <f t="shared" si="15"/>
        <v>#DIV/0!</v>
      </c>
      <c r="W273" s="10"/>
      <c r="X273" s="10"/>
      <c r="Y273" s="10"/>
      <c r="Z273" s="10"/>
      <c r="AA273" s="11"/>
      <c r="AB273" s="13"/>
      <c r="AC273" s="14"/>
      <c r="AD273" s="13"/>
      <c r="AE273" s="14"/>
    </row>
    <row r="274" spans="1:31" x14ac:dyDescent="0.25">
      <c r="A274" s="9"/>
      <c r="B274" s="10"/>
      <c r="C274" s="10"/>
      <c r="D274" s="10"/>
      <c r="E274" s="11" t="e">
        <f t="shared" si="10"/>
        <v>#DIV/0!</v>
      </c>
      <c r="F274" s="13">
        <v>6</v>
      </c>
      <c r="G274" s="14" t="e">
        <f t="shared" si="11"/>
        <v>#DIV/0!</v>
      </c>
      <c r="H274" s="13" t="str">
        <f ca="1">IFERROR(__xludf.DUMMYFUNCTION("IFERROR(
  AVERAGE(
    FILTER(
      $E$2:$E274,
      $A$2:$A274&gt;=A274-30,
      $A$2:$A274&lt;=A274,
      $E$2:$E274&gt;0
    )
  ),
  """"
)"),"")</f>
        <v/>
      </c>
      <c r="I274" s="14"/>
      <c r="J274" s="10"/>
      <c r="K274" s="10"/>
      <c r="L274" s="10"/>
      <c r="M274" s="11" t="e">
        <f t="shared" si="12"/>
        <v>#DIV/0!</v>
      </c>
      <c r="N274" s="13">
        <v>8</v>
      </c>
      <c r="O274" s="14" t="e">
        <f t="shared" si="13"/>
        <v>#DIV/0!</v>
      </c>
      <c r="P274" s="13"/>
      <c r="Q274" s="10"/>
      <c r="R274" s="10"/>
      <c r="S274" s="10"/>
      <c r="T274" s="11" t="e">
        <f t="shared" si="14"/>
        <v>#DIV/0!</v>
      </c>
      <c r="U274" s="13">
        <v>8</v>
      </c>
      <c r="V274" s="14" t="e">
        <f t="shared" si="15"/>
        <v>#DIV/0!</v>
      </c>
      <c r="W274" s="10"/>
      <c r="X274" s="10"/>
      <c r="Y274" s="10"/>
      <c r="Z274" s="10"/>
      <c r="AA274" s="11"/>
      <c r="AB274" s="13"/>
      <c r="AC274" s="14"/>
      <c r="AD274" s="13"/>
      <c r="AE274" s="14"/>
    </row>
    <row r="275" spans="1:31" x14ac:dyDescent="0.25">
      <c r="A275" s="9"/>
      <c r="B275" s="10"/>
      <c r="C275" s="10"/>
      <c r="D275" s="10"/>
      <c r="E275" s="11" t="e">
        <f t="shared" si="10"/>
        <v>#DIV/0!</v>
      </c>
      <c r="F275" s="13">
        <v>6</v>
      </c>
      <c r="G275" s="14" t="e">
        <f t="shared" si="11"/>
        <v>#DIV/0!</v>
      </c>
      <c r="H275" s="13" t="str">
        <f ca="1">IFERROR(__xludf.DUMMYFUNCTION("IFERROR(
  AVERAGE(
    FILTER(
      $E$2:$E275,
      $A$2:$A275&gt;=A275-30,
      $A$2:$A275&lt;=A275,
      $E$2:$E275&gt;0
    )
  ),
  """"
)"),"")</f>
        <v/>
      </c>
      <c r="I275" s="14"/>
      <c r="J275" s="10"/>
      <c r="K275" s="10"/>
      <c r="L275" s="10"/>
      <c r="M275" s="11" t="e">
        <f t="shared" si="12"/>
        <v>#DIV/0!</v>
      </c>
      <c r="N275" s="13">
        <v>8</v>
      </c>
      <c r="O275" s="14" t="e">
        <f t="shared" si="13"/>
        <v>#DIV/0!</v>
      </c>
      <c r="P275" s="13"/>
      <c r="Q275" s="10"/>
      <c r="R275" s="10"/>
      <c r="S275" s="10"/>
      <c r="T275" s="11" t="e">
        <f t="shared" si="14"/>
        <v>#DIV/0!</v>
      </c>
      <c r="U275" s="13">
        <v>8</v>
      </c>
      <c r="V275" s="14" t="e">
        <f t="shared" si="15"/>
        <v>#DIV/0!</v>
      </c>
      <c r="W275" s="10"/>
      <c r="X275" s="10"/>
      <c r="Y275" s="10"/>
      <c r="Z275" s="10"/>
      <c r="AA275" s="11"/>
      <c r="AB275" s="13"/>
      <c r="AC275" s="14"/>
      <c r="AD275" s="13"/>
      <c r="AE275" s="14"/>
    </row>
    <row r="276" spans="1:31" x14ac:dyDescent="0.25">
      <c r="A276" s="9"/>
      <c r="B276" s="10"/>
      <c r="C276" s="10"/>
      <c r="D276" s="10"/>
      <c r="E276" s="11" t="e">
        <f t="shared" si="10"/>
        <v>#DIV/0!</v>
      </c>
      <c r="F276" s="13">
        <v>6</v>
      </c>
      <c r="G276" s="14" t="e">
        <f t="shared" si="11"/>
        <v>#DIV/0!</v>
      </c>
      <c r="H276" s="13" t="str">
        <f ca="1">IFERROR(__xludf.DUMMYFUNCTION("IFERROR(
  AVERAGE(
    FILTER(
      $E$2:$E276,
      $A$2:$A276&gt;=A276-30,
      $A$2:$A276&lt;=A276,
      $E$2:$E276&gt;0
    )
  ),
  """"
)"),"")</f>
        <v/>
      </c>
      <c r="I276" s="14"/>
      <c r="J276" s="10"/>
      <c r="K276" s="10"/>
      <c r="L276" s="10"/>
      <c r="M276" s="11" t="e">
        <f t="shared" si="12"/>
        <v>#DIV/0!</v>
      </c>
      <c r="N276" s="13">
        <v>8</v>
      </c>
      <c r="O276" s="14" t="e">
        <f t="shared" si="13"/>
        <v>#DIV/0!</v>
      </c>
      <c r="P276" s="13"/>
      <c r="Q276" s="10"/>
      <c r="R276" s="10"/>
      <c r="S276" s="10"/>
      <c r="T276" s="11" t="e">
        <f t="shared" si="14"/>
        <v>#DIV/0!</v>
      </c>
      <c r="U276" s="13">
        <v>8</v>
      </c>
      <c r="V276" s="14" t="e">
        <f t="shared" si="15"/>
        <v>#DIV/0!</v>
      </c>
      <c r="W276" s="10"/>
      <c r="X276" s="10"/>
      <c r="Y276" s="10"/>
      <c r="Z276" s="10"/>
      <c r="AA276" s="11"/>
      <c r="AB276" s="13"/>
      <c r="AC276" s="14"/>
      <c r="AD276" s="13"/>
      <c r="AE276" s="14"/>
    </row>
    <row r="277" spans="1:31" x14ac:dyDescent="0.25">
      <c r="A277" s="9"/>
      <c r="B277" s="10"/>
      <c r="C277" s="10"/>
      <c r="D277" s="10"/>
      <c r="E277" s="11" t="e">
        <f t="shared" si="10"/>
        <v>#DIV/0!</v>
      </c>
      <c r="F277" s="13">
        <v>6</v>
      </c>
      <c r="G277" s="14" t="e">
        <f t="shared" si="11"/>
        <v>#DIV/0!</v>
      </c>
      <c r="H277" s="13" t="str">
        <f ca="1">IFERROR(__xludf.DUMMYFUNCTION("IFERROR(
  AVERAGE(
    FILTER(
      $E$2:$E277,
      $A$2:$A277&gt;=A277-30,
      $A$2:$A277&lt;=A277,
      $E$2:$E277&gt;0
    )
  ),
  """"
)"),"")</f>
        <v/>
      </c>
      <c r="I277" s="14"/>
      <c r="J277" s="10"/>
      <c r="K277" s="10"/>
      <c r="L277" s="10"/>
      <c r="M277" s="11" t="e">
        <f t="shared" si="12"/>
        <v>#DIV/0!</v>
      </c>
      <c r="N277" s="13">
        <v>8</v>
      </c>
      <c r="O277" s="14" t="e">
        <f t="shared" si="13"/>
        <v>#DIV/0!</v>
      </c>
      <c r="P277" s="13"/>
      <c r="Q277" s="10"/>
      <c r="R277" s="10"/>
      <c r="S277" s="10"/>
      <c r="T277" s="11" t="e">
        <f t="shared" si="14"/>
        <v>#DIV/0!</v>
      </c>
      <c r="U277" s="13">
        <v>8</v>
      </c>
      <c r="V277" s="14" t="e">
        <f t="shared" si="15"/>
        <v>#DIV/0!</v>
      </c>
      <c r="W277" s="10"/>
      <c r="X277" s="10"/>
      <c r="Y277" s="10"/>
      <c r="Z277" s="10"/>
      <c r="AA277" s="11"/>
      <c r="AB277" s="13"/>
      <c r="AC277" s="14"/>
      <c r="AD277" s="13"/>
      <c r="AE277" s="14"/>
    </row>
    <row r="278" spans="1:31" x14ac:dyDescent="0.25">
      <c r="A278" s="9"/>
      <c r="B278" s="10"/>
      <c r="C278" s="10"/>
      <c r="D278" s="10"/>
      <c r="E278" s="11" t="e">
        <f t="shared" si="10"/>
        <v>#DIV/0!</v>
      </c>
      <c r="F278" s="13">
        <v>6</v>
      </c>
      <c r="G278" s="14" t="e">
        <f t="shared" si="11"/>
        <v>#DIV/0!</v>
      </c>
      <c r="H278" s="13" t="str">
        <f ca="1">IFERROR(__xludf.DUMMYFUNCTION("IFERROR(
  AVERAGE(
    FILTER(
      $E$2:$E278,
      $A$2:$A278&gt;=A278-30,
      $A$2:$A278&lt;=A278,
      $E$2:$E278&gt;0
    )
  ),
  """"
)"),"")</f>
        <v/>
      </c>
      <c r="I278" s="14"/>
      <c r="J278" s="10"/>
      <c r="K278" s="10"/>
      <c r="L278" s="10"/>
      <c r="M278" s="11" t="e">
        <f t="shared" si="12"/>
        <v>#DIV/0!</v>
      </c>
      <c r="N278" s="13">
        <v>8</v>
      </c>
      <c r="O278" s="14" t="e">
        <f t="shared" si="13"/>
        <v>#DIV/0!</v>
      </c>
      <c r="P278" s="13"/>
      <c r="Q278" s="10"/>
      <c r="R278" s="10"/>
      <c r="S278" s="10"/>
      <c r="T278" s="11" t="e">
        <f t="shared" si="14"/>
        <v>#DIV/0!</v>
      </c>
      <c r="U278" s="13">
        <v>8</v>
      </c>
      <c r="V278" s="14" t="e">
        <f t="shared" si="15"/>
        <v>#DIV/0!</v>
      </c>
      <c r="W278" s="10"/>
      <c r="X278" s="10"/>
      <c r="Y278" s="10"/>
      <c r="Z278" s="10"/>
      <c r="AA278" s="11"/>
      <c r="AB278" s="13"/>
      <c r="AC278" s="14"/>
      <c r="AD278" s="13"/>
      <c r="AE278" s="14"/>
    </row>
    <row r="279" spans="1:31" x14ac:dyDescent="0.25">
      <c r="A279" s="9"/>
      <c r="B279" s="10"/>
      <c r="C279" s="10"/>
      <c r="D279" s="10"/>
      <c r="E279" s="11" t="e">
        <f t="shared" si="10"/>
        <v>#DIV/0!</v>
      </c>
      <c r="F279" s="13">
        <v>6</v>
      </c>
      <c r="G279" s="14" t="e">
        <f t="shared" si="11"/>
        <v>#DIV/0!</v>
      </c>
      <c r="H279" s="13" t="str">
        <f ca="1">IFERROR(__xludf.DUMMYFUNCTION("IFERROR(
  AVERAGE(
    FILTER(
      $E$2:$E279,
      $A$2:$A279&gt;=A279-30,
      $A$2:$A279&lt;=A279,
      $E$2:$E279&gt;0
    )
  ),
  """"
)"),"")</f>
        <v/>
      </c>
      <c r="I279" s="14"/>
      <c r="J279" s="10"/>
      <c r="K279" s="10"/>
      <c r="L279" s="10"/>
      <c r="M279" s="11" t="e">
        <f t="shared" si="12"/>
        <v>#DIV/0!</v>
      </c>
      <c r="N279" s="13">
        <v>8</v>
      </c>
      <c r="O279" s="14" t="e">
        <f t="shared" si="13"/>
        <v>#DIV/0!</v>
      </c>
      <c r="P279" s="13"/>
      <c r="Q279" s="10"/>
      <c r="R279" s="10"/>
      <c r="S279" s="10"/>
      <c r="T279" s="11" t="e">
        <f t="shared" si="14"/>
        <v>#DIV/0!</v>
      </c>
      <c r="U279" s="13">
        <v>8</v>
      </c>
      <c r="V279" s="14" t="e">
        <f t="shared" si="15"/>
        <v>#DIV/0!</v>
      </c>
      <c r="W279" s="10"/>
      <c r="X279" s="10"/>
      <c r="Y279" s="10"/>
      <c r="Z279" s="10"/>
      <c r="AA279" s="11"/>
      <c r="AB279" s="13"/>
      <c r="AC279" s="14"/>
      <c r="AD279" s="13"/>
      <c r="AE279" s="14"/>
    </row>
    <row r="280" spans="1:31" x14ac:dyDescent="0.25">
      <c r="A280" s="9"/>
      <c r="B280" s="10"/>
      <c r="C280" s="10"/>
      <c r="D280" s="10"/>
      <c r="E280" s="11" t="e">
        <f t="shared" si="10"/>
        <v>#DIV/0!</v>
      </c>
      <c r="F280" s="13">
        <v>6</v>
      </c>
      <c r="G280" s="14" t="e">
        <f t="shared" si="11"/>
        <v>#DIV/0!</v>
      </c>
      <c r="H280" s="13" t="str">
        <f ca="1">IFERROR(__xludf.DUMMYFUNCTION("IFERROR(
  AVERAGE(
    FILTER(
      $E$2:$E280,
      $A$2:$A280&gt;=A280-30,
      $A$2:$A280&lt;=A280,
      $E$2:$E280&gt;0
    )
  ),
  """"
)"),"")</f>
        <v/>
      </c>
      <c r="I280" s="14"/>
      <c r="J280" s="10"/>
      <c r="K280" s="10"/>
      <c r="L280" s="10"/>
      <c r="M280" s="11" t="e">
        <f t="shared" si="12"/>
        <v>#DIV/0!</v>
      </c>
      <c r="N280" s="13">
        <v>8</v>
      </c>
      <c r="O280" s="14" t="e">
        <f t="shared" si="13"/>
        <v>#DIV/0!</v>
      </c>
      <c r="P280" s="13"/>
      <c r="Q280" s="10"/>
      <c r="R280" s="10"/>
      <c r="S280" s="10"/>
      <c r="T280" s="11" t="e">
        <f t="shared" si="14"/>
        <v>#DIV/0!</v>
      </c>
      <c r="U280" s="13">
        <v>8</v>
      </c>
      <c r="V280" s="14" t="e">
        <f t="shared" si="15"/>
        <v>#DIV/0!</v>
      </c>
      <c r="W280" s="10"/>
      <c r="X280" s="10"/>
      <c r="Y280" s="10"/>
      <c r="Z280" s="10"/>
      <c r="AA280" s="11"/>
      <c r="AB280" s="13"/>
      <c r="AC280" s="14"/>
      <c r="AD280" s="13"/>
      <c r="AE280" s="14"/>
    </row>
    <row r="281" spans="1:31" x14ac:dyDescent="0.25">
      <c r="A281" s="9"/>
      <c r="B281" s="10"/>
      <c r="C281" s="10"/>
      <c r="D281" s="10"/>
      <c r="E281" s="11" t="e">
        <f t="shared" si="10"/>
        <v>#DIV/0!</v>
      </c>
      <c r="F281" s="13">
        <v>6</v>
      </c>
      <c r="G281" s="14" t="e">
        <f t="shared" si="11"/>
        <v>#DIV/0!</v>
      </c>
      <c r="H281" s="13" t="str">
        <f ca="1">IFERROR(__xludf.DUMMYFUNCTION("IFERROR(
  AVERAGE(
    FILTER(
      $E$2:$E281,
      $A$2:$A281&gt;=A281-30,
      $A$2:$A281&lt;=A281,
      $E$2:$E281&gt;0
    )
  ),
  """"
)"),"")</f>
        <v/>
      </c>
      <c r="I281" s="14"/>
      <c r="J281" s="10"/>
      <c r="K281" s="10"/>
      <c r="L281" s="10"/>
      <c r="M281" s="11" t="e">
        <f t="shared" si="12"/>
        <v>#DIV/0!</v>
      </c>
      <c r="N281" s="13">
        <v>8</v>
      </c>
      <c r="O281" s="14" t="e">
        <f t="shared" si="13"/>
        <v>#DIV/0!</v>
      </c>
      <c r="P281" s="13"/>
      <c r="Q281" s="10"/>
      <c r="R281" s="10"/>
      <c r="S281" s="10"/>
      <c r="T281" s="11" t="e">
        <f t="shared" si="14"/>
        <v>#DIV/0!</v>
      </c>
      <c r="U281" s="13">
        <v>8</v>
      </c>
      <c r="V281" s="14" t="e">
        <f t="shared" si="15"/>
        <v>#DIV/0!</v>
      </c>
      <c r="W281" s="10"/>
      <c r="X281" s="10"/>
      <c r="Y281" s="10"/>
      <c r="Z281" s="10"/>
      <c r="AA281" s="11"/>
      <c r="AB281" s="13"/>
      <c r="AC281" s="14"/>
      <c r="AD281" s="13"/>
      <c r="AE281" s="14"/>
    </row>
    <row r="282" spans="1:31" x14ac:dyDescent="0.25">
      <c r="A282" s="9"/>
      <c r="B282" s="10"/>
      <c r="C282" s="10"/>
      <c r="D282" s="10"/>
      <c r="E282" s="11" t="e">
        <f t="shared" si="10"/>
        <v>#DIV/0!</v>
      </c>
      <c r="F282" s="13">
        <v>6</v>
      </c>
      <c r="G282" s="14" t="e">
        <f t="shared" si="11"/>
        <v>#DIV/0!</v>
      </c>
      <c r="H282" s="13" t="str">
        <f ca="1">IFERROR(__xludf.DUMMYFUNCTION("IFERROR(
  AVERAGE(
    FILTER(
      $E$2:$E282,
      $A$2:$A282&gt;=A282-30,
      $A$2:$A282&lt;=A282,
      $E$2:$E282&gt;0
    )
  ),
  """"
)"),"")</f>
        <v/>
      </c>
      <c r="I282" s="14"/>
      <c r="J282" s="10"/>
      <c r="K282" s="10"/>
      <c r="L282" s="10"/>
      <c r="M282" s="11" t="e">
        <f t="shared" si="12"/>
        <v>#DIV/0!</v>
      </c>
      <c r="N282" s="13">
        <v>8</v>
      </c>
      <c r="O282" s="14" t="e">
        <f t="shared" si="13"/>
        <v>#DIV/0!</v>
      </c>
      <c r="P282" s="13"/>
      <c r="Q282" s="10"/>
      <c r="R282" s="10"/>
      <c r="S282" s="10"/>
      <c r="T282" s="11" t="e">
        <f t="shared" si="14"/>
        <v>#DIV/0!</v>
      </c>
      <c r="U282" s="13">
        <v>8</v>
      </c>
      <c r="V282" s="14" t="e">
        <f t="shared" si="15"/>
        <v>#DIV/0!</v>
      </c>
      <c r="W282" s="10"/>
      <c r="X282" s="10"/>
      <c r="Y282" s="10"/>
      <c r="Z282" s="10"/>
      <c r="AA282" s="11"/>
      <c r="AB282" s="13"/>
      <c r="AC282" s="14"/>
      <c r="AD282" s="13"/>
      <c r="AE282" s="14"/>
    </row>
    <row r="283" spans="1:31" x14ac:dyDescent="0.25">
      <c r="A283" s="9"/>
      <c r="B283" s="10"/>
      <c r="C283" s="10"/>
      <c r="D283" s="10"/>
      <c r="E283" s="11" t="e">
        <f t="shared" si="10"/>
        <v>#DIV/0!</v>
      </c>
      <c r="F283" s="13">
        <v>6</v>
      </c>
      <c r="G283" s="14" t="e">
        <f t="shared" si="11"/>
        <v>#DIV/0!</v>
      </c>
      <c r="H283" s="13" t="str">
        <f ca="1">IFERROR(__xludf.DUMMYFUNCTION("IFERROR(
  AVERAGE(
    FILTER(
      $E$2:$E283,
      $A$2:$A283&gt;=A283-30,
      $A$2:$A283&lt;=A283,
      $E$2:$E283&gt;0
    )
  ),
  """"
)"),"")</f>
        <v/>
      </c>
      <c r="I283" s="14"/>
      <c r="J283" s="10"/>
      <c r="K283" s="10"/>
      <c r="L283" s="10"/>
      <c r="M283" s="11" t="e">
        <f t="shared" si="12"/>
        <v>#DIV/0!</v>
      </c>
      <c r="N283" s="13">
        <v>8</v>
      </c>
      <c r="O283" s="14" t="e">
        <f t="shared" si="13"/>
        <v>#DIV/0!</v>
      </c>
      <c r="P283" s="13"/>
      <c r="Q283" s="10"/>
      <c r="R283" s="10"/>
      <c r="S283" s="10"/>
      <c r="T283" s="11" t="e">
        <f t="shared" si="14"/>
        <v>#DIV/0!</v>
      </c>
      <c r="U283" s="13">
        <v>8</v>
      </c>
      <c r="V283" s="14" t="e">
        <f t="shared" si="15"/>
        <v>#DIV/0!</v>
      </c>
      <c r="W283" s="10"/>
      <c r="X283" s="10"/>
      <c r="Y283" s="10"/>
      <c r="Z283" s="10"/>
      <c r="AA283" s="11"/>
      <c r="AB283" s="13"/>
      <c r="AC283" s="14"/>
      <c r="AD283" s="13"/>
      <c r="AE283" s="14"/>
    </row>
    <row r="284" spans="1:31" x14ac:dyDescent="0.25">
      <c r="A284" s="9"/>
      <c r="B284" s="10"/>
      <c r="C284" s="10"/>
      <c r="D284" s="10"/>
      <c r="E284" s="11" t="e">
        <f t="shared" si="10"/>
        <v>#DIV/0!</v>
      </c>
      <c r="F284" s="13">
        <v>6</v>
      </c>
      <c r="G284" s="14" t="e">
        <f t="shared" si="11"/>
        <v>#DIV/0!</v>
      </c>
      <c r="H284" s="13" t="str">
        <f ca="1">IFERROR(__xludf.DUMMYFUNCTION("IFERROR(
  AVERAGE(
    FILTER(
      $E$2:$E284,
      $A$2:$A284&gt;=A284-30,
      $A$2:$A284&lt;=A284,
      $E$2:$E284&gt;0
    )
  ),
  """"
)"),"")</f>
        <v/>
      </c>
      <c r="I284" s="14"/>
      <c r="J284" s="10"/>
      <c r="K284" s="10"/>
      <c r="L284" s="10"/>
      <c r="M284" s="11" t="e">
        <f t="shared" si="12"/>
        <v>#DIV/0!</v>
      </c>
      <c r="N284" s="13">
        <v>8</v>
      </c>
      <c r="O284" s="14" t="e">
        <f t="shared" si="13"/>
        <v>#DIV/0!</v>
      </c>
      <c r="P284" s="13"/>
      <c r="Q284" s="10"/>
      <c r="R284" s="10"/>
      <c r="S284" s="10"/>
      <c r="T284" s="11" t="e">
        <f t="shared" si="14"/>
        <v>#DIV/0!</v>
      </c>
      <c r="U284" s="13">
        <v>8</v>
      </c>
      <c r="V284" s="14" t="e">
        <f t="shared" si="15"/>
        <v>#DIV/0!</v>
      </c>
      <c r="W284" s="10"/>
      <c r="X284" s="10"/>
      <c r="Y284" s="10"/>
      <c r="Z284" s="10"/>
      <c r="AA284" s="11"/>
      <c r="AB284" s="13"/>
      <c r="AC284" s="14"/>
      <c r="AD284" s="13"/>
      <c r="AE284" s="14"/>
    </row>
    <row r="285" spans="1:31" x14ac:dyDescent="0.25">
      <c r="A285" s="9"/>
      <c r="B285" s="10"/>
      <c r="C285" s="10"/>
      <c r="D285" s="10"/>
      <c r="E285" s="11" t="e">
        <f t="shared" si="10"/>
        <v>#DIV/0!</v>
      </c>
      <c r="F285" s="13">
        <v>6</v>
      </c>
      <c r="G285" s="14" t="e">
        <f t="shared" si="11"/>
        <v>#DIV/0!</v>
      </c>
      <c r="H285" s="13" t="str">
        <f ca="1">IFERROR(__xludf.DUMMYFUNCTION("IFERROR(
  AVERAGE(
    FILTER(
      $E$2:$E285,
      $A$2:$A285&gt;=A285-30,
      $A$2:$A285&lt;=A285,
      $E$2:$E285&gt;0
    )
  ),
  """"
)"),"")</f>
        <v/>
      </c>
      <c r="I285" s="14"/>
      <c r="J285" s="10"/>
      <c r="K285" s="10"/>
      <c r="L285" s="10"/>
      <c r="M285" s="11" t="e">
        <f t="shared" si="12"/>
        <v>#DIV/0!</v>
      </c>
      <c r="N285" s="13">
        <v>8</v>
      </c>
      <c r="O285" s="14" t="e">
        <f t="shared" si="13"/>
        <v>#DIV/0!</v>
      </c>
      <c r="P285" s="13"/>
      <c r="Q285" s="10"/>
      <c r="R285" s="10"/>
      <c r="S285" s="10"/>
      <c r="T285" s="11" t="e">
        <f t="shared" si="14"/>
        <v>#DIV/0!</v>
      </c>
      <c r="U285" s="13">
        <v>8</v>
      </c>
      <c r="V285" s="14" t="e">
        <f t="shared" si="15"/>
        <v>#DIV/0!</v>
      </c>
      <c r="W285" s="10"/>
      <c r="X285" s="10"/>
      <c r="Y285" s="10"/>
      <c r="Z285" s="10"/>
      <c r="AA285" s="11"/>
      <c r="AB285" s="13"/>
      <c r="AC285" s="14"/>
      <c r="AD285" s="13"/>
      <c r="AE285" s="14"/>
    </row>
    <row r="286" spans="1:31" x14ac:dyDescent="0.25">
      <c r="A286" s="9"/>
      <c r="B286" s="10"/>
      <c r="C286" s="10"/>
      <c r="D286" s="10"/>
      <c r="E286" s="11" t="e">
        <f t="shared" si="10"/>
        <v>#DIV/0!</v>
      </c>
      <c r="F286" s="13">
        <v>6</v>
      </c>
      <c r="G286" s="14" t="e">
        <f t="shared" si="11"/>
        <v>#DIV/0!</v>
      </c>
      <c r="H286" s="13" t="str">
        <f ca="1">IFERROR(__xludf.DUMMYFUNCTION("IFERROR(
  AVERAGE(
    FILTER(
      $E$2:$E286,
      $A$2:$A286&gt;=A286-30,
      $A$2:$A286&lt;=A286,
      $E$2:$E286&gt;0
    )
  ),
  """"
)"),"")</f>
        <v/>
      </c>
      <c r="I286" s="14"/>
      <c r="J286" s="10"/>
      <c r="K286" s="10"/>
      <c r="L286" s="10"/>
      <c r="M286" s="11" t="e">
        <f t="shared" si="12"/>
        <v>#DIV/0!</v>
      </c>
      <c r="N286" s="13">
        <v>8</v>
      </c>
      <c r="O286" s="14" t="e">
        <f t="shared" si="13"/>
        <v>#DIV/0!</v>
      </c>
      <c r="P286" s="13"/>
      <c r="Q286" s="10"/>
      <c r="R286" s="10"/>
      <c r="S286" s="10"/>
      <c r="T286" s="11" t="e">
        <f t="shared" si="14"/>
        <v>#DIV/0!</v>
      </c>
      <c r="U286" s="13">
        <v>8</v>
      </c>
      <c r="V286" s="14" t="e">
        <f t="shared" si="15"/>
        <v>#DIV/0!</v>
      </c>
      <c r="W286" s="10"/>
      <c r="X286" s="10"/>
      <c r="Y286" s="10"/>
      <c r="Z286" s="10"/>
      <c r="AA286" s="11"/>
      <c r="AB286" s="13"/>
      <c r="AC286" s="14"/>
      <c r="AD286" s="13"/>
      <c r="AE286" s="14"/>
    </row>
    <row r="287" spans="1:31" x14ac:dyDescent="0.25">
      <c r="A287" s="9"/>
      <c r="B287" s="10"/>
      <c r="C287" s="10"/>
      <c r="D287" s="10"/>
      <c r="E287" s="11" t="e">
        <f t="shared" si="10"/>
        <v>#DIV/0!</v>
      </c>
      <c r="F287" s="13">
        <v>6</v>
      </c>
      <c r="G287" s="14" t="e">
        <f t="shared" si="11"/>
        <v>#DIV/0!</v>
      </c>
      <c r="H287" s="13" t="str">
        <f ca="1">IFERROR(__xludf.DUMMYFUNCTION("IFERROR(
  AVERAGE(
    FILTER(
      $E$2:$E287,
      $A$2:$A287&gt;=A287-30,
      $A$2:$A287&lt;=A287,
      $E$2:$E287&gt;0
    )
  ),
  """"
)"),"")</f>
        <v/>
      </c>
      <c r="I287" s="14"/>
      <c r="J287" s="10"/>
      <c r="K287" s="10"/>
      <c r="L287" s="10"/>
      <c r="M287" s="11" t="e">
        <f t="shared" si="12"/>
        <v>#DIV/0!</v>
      </c>
      <c r="N287" s="13">
        <v>8</v>
      </c>
      <c r="O287" s="14" t="e">
        <f t="shared" si="13"/>
        <v>#DIV/0!</v>
      </c>
      <c r="P287" s="13"/>
      <c r="Q287" s="10"/>
      <c r="R287" s="10"/>
      <c r="S287" s="10"/>
      <c r="T287" s="11" t="e">
        <f t="shared" si="14"/>
        <v>#DIV/0!</v>
      </c>
      <c r="U287" s="13">
        <v>8</v>
      </c>
      <c r="V287" s="14" t="e">
        <f t="shared" si="15"/>
        <v>#DIV/0!</v>
      </c>
      <c r="W287" s="10"/>
      <c r="X287" s="10"/>
      <c r="Y287" s="10"/>
      <c r="Z287" s="10"/>
      <c r="AA287" s="11"/>
      <c r="AB287" s="13"/>
      <c r="AC287" s="14"/>
      <c r="AD287" s="13"/>
      <c r="AE287" s="14"/>
    </row>
    <row r="288" spans="1:31" x14ac:dyDescent="0.25">
      <c r="A288" s="9"/>
      <c r="B288" s="10"/>
      <c r="C288" s="10"/>
      <c r="D288" s="10"/>
      <c r="E288" s="11" t="e">
        <f t="shared" si="10"/>
        <v>#DIV/0!</v>
      </c>
      <c r="F288" s="13">
        <v>6</v>
      </c>
      <c r="G288" s="14" t="e">
        <f t="shared" si="11"/>
        <v>#DIV/0!</v>
      </c>
      <c r="H288" s="13" t="str">
        <f ca="1">IFERROR(__xludf.DUMMYFUNCTION("IFERROR(
  AVERAGE(
    FILTER(
      $E$2:$E288,
      $A$2:$A288&gt;=A288-30,
      $A$2:$A288&lt;=A288,
      $E$2:$E288&gt;0
    )
  ),
  """"
)"),"")</f>
        <v/>
      </c>
      <c r="I288" s="14"/>
      <c r="J288" s="10"/>
      <c r="K288" s="10"/>
      <c r="L288" s="10"/>
      <c r="M288" s="11" t="e">
        <f t="shared" si="12"/>
        <v>#DIV/0!</v>
      </c>
      <c r="N288" s="13">
        <v>8</v>
      </c>
      <c r="O288" s="14" t="e">
        <f t="shared" si="13"/>
        <v>#DIV/0!</v>
      </c>
      <c r="P288" s="13"/>
      <c r="Q288" s="10"/>
      <c r="R288" s="10"/>
      <c r="S288" s="10"/>
      <c r="T288" s="11" t="e">
        <f t="shared" si="14"/>
        <v>#DIV/0!</v>
      </c>
      <c r="U288" s="13">
        <v>8</v>
      </c>
      <c r="V288" s="14" t="e">
        <f t="shared" si="15"/>
        <v>#DIV/0!</v>
      </c>
      <c r="W288" s="10"/>
      <c r="X288" s="10"/>
      <c r="Y288" s="10"/>
      <c r="Z288" s="10"/>
      <c r="AA288" s="11"/>
      <c r="AB288" s="13"/>
      <c r="AC288" s="14"/>
      <c r="AD288" s="13"/>
      <c r="AE288" s="14"/>
    </row>
    <row r="289" spans="1:31" x14ac:dyDescent="0.25">
      <c r="A289" s="9"/>
      <c r="B289" s="10"/>
      <c r="C289" s="10"/>
      <c r="D289" s="10"/>
      <c r="E289" s="11" t="e">
        <f t="shared" si="10"/>
        <v>#DIV/0!</v>
      </c>
      <c r="F289" s="13">
        <v>6</v>
      </c>
      <c r="G289" s="14" t="e">
        <f t="shared" si="11"/>
        <v>#DIV/0!</v>
      </c>
      <c r="H289" s="13" t="str">
        <f ca="1">IFERROR(__xludf.DUMMYFUNCTION("IFERROR(
  AVERAGE(
    FILTER(
      $E$2:$E289,
      $A$2:$A289&gt;=A289-30,
      $A$2:$A289&lt;=A289,
      $E$2:$E289&gt;0
    )
  ),
  """"
)"),"")</f>
        <v/>
      </c>
      <c r="I289" s="14"/>
      <c r="J289" s="10"/>
      <c r="K289" s="10"/>
      <c r="L289" s="10"/>
      <c r="M289" s="11" t="e">
        <f t="shared" si="12"/>
        <v>#DIV/0!</v>
      </c>
      <c r="N289" s="13">
        <v>8</v>
      </c>
      <c r="O289" s="14" t="e">
        <f t="shared" si="13"/>
        <v>#DIV/0!</v>
      </c>
      <c r="P289" s="13"/>
      <c r="Q289" s="10"/>
      <c r="R289" s="10"/>
      <c r="S289" s="10"/>
      <c r="T289" s="11" t="e">
        <f t="shared" si="14"/>
        <v>#DIV/0!</v>
      </c>
      <c r="U289" s="13">
        <v>8</v>
      </c>
      <c r="V289" s="14" t="e">
        <f t="shared" si="15"/>
        <v>#DIV/0!</v>
      </c>
      <c r="W289" s="10"/>
      <c r="X289" s="10"/>
      <c r="Y289" s="10"/>
      <c r="Z289" s="10"/>
      <c r="AA289" s="11"/>
      <c r="AB289" s="13"/>
      <c r="AC289" s="14"/>
      <c r="AD289" s="13"/>
      <c r="AE289" s="14"/>
    </row>
    <row r="290" spans="1:31" x14ac:dyDescent="0.25">
      <c r="A290" s="9"/>
      <c r="B290" s="10"/>
      <c r="C290" s="10"/>
      <c r="D290" s="10"/>
      <c r="E290" s="11" t="e">
        <f t="shared" si="10"/>
        <v>#DIV/0!</v>
      </c>
      <c r="F290" s="13">
        <v>6</v>
      </c>
      <c r="G290" s="14" t="e">
        <f t="shared" si="11"/>
        <v>#DIV/0!</v>
      </c>
      <c r="H290" s="13" t="str">
        <f ca="1">IFERROR(__xludf.DUMMYFUNCTION("IFERROR(
  AVERAGE(
    FILTER(
      $E$2:$E290,
      $A$2:$A290&gt;=A290-30,
      $A$2:$A290&lt;=A290,
      $E$2:$E290&gt;0
    )
  ),
  """"
)"),"")</f>
        <v/>
      </c>
      <c r="I290" s="14"/>
      <c r="J290" s="10"/>
      <c r="K290" s="10"/>
      <c r="L290" s="10"/>
      <c r="M290" s="11" t="e">
        <f t="shared" si="12"/>
        <v>#DIV/0!</v>
      </c>
      <c r="N290" s="13">
        <v>8</v>
      </c>
      <c r="O290" s="14" t="e">
        <f t="shared" si="13"/>
        <v>#DIV/0!</v>
      </c>
      <c r="P290" s="13"/>
      <c r="Q290" s="10"/>
      <c r="R290" s="10"/>
      <c r="S290" s="10"/>
      <c r="T290" s="11" t="e">
        <f t="shared" si="14"/>
        <v>#DIV/0!</v>
      </c>
      <c r="U290" s="13">
        <v>8</v>
      </c>
      <c r="V290" s="14" t="e">
        <f t="shared" si="15"/>
        <v>#DIV/0!</v>
      </c>
      <c r="W290" s="10"/>
      <c r="X290" s="10"/>
      <c r="Y290" s="10"/>
      <c r="Z290" s="10"/>
      <c r="AA290" s="11"/>
      <c r="AB290" s="13"/>
      <c r="AC290" s="14"/>
      <c r="AD290" s="13"/>
      <c r="AE290" s="14"/>
    </row>
    <row r="291" spans="1:31" x14ac:dyDescent="0.25">
      <c r="A291" s="9"/>
      <c r="B291" s="10"/>
      <c r="C291" s="10"/>
      <c r="D291" s="10"/>
      <c r="E291" s="11" t="e">
        <f t="shared" si="10"/>
        <v>#DIV/0!</v>
      </c>
      <c r="F291" s="13">
        <v>6</v>
      </c>
      <c r="G291" s="14" t="e">
        <f t="shared" si="11"/>
        <v>#DIV/0!</v>
      </c>
      <c r="H291" s="13" t="str">
        <f ca="1">IFERROR(__xludf.DUMMYFUNCTION("IFERROR(
  AVERAGE(
    FILTER(
      $E$2:$E291,
      $A$2:$A291&gt;=A291-30,
      $A$2:$A291&lt;=A291,
      $E$2:$E291&gt;0
    )
  ),
  """"
)"),"")</f>
        <v/>
      </c>
      <c r="I291" s="14"/>
      <c r="J291" s="10"/>
      <c r="K291" s="10"/>
      <c r="L291" s="10"/>
      <c r="M291" s="11" t="e">
        <f t="shared" si="12"/>
        <v>#DIV/0!</v>
      </c>
      <c r="N291" s="13">
        <v>8</v>
      </c>
      <c r="O291" s="14" t="e">
        <f t="shared" si="13"/>
        <v>#DIV/0!</v>
      </c>
      <c r="P291" s="13"/>
      <c r="Q291" s="10"/>
      <c r="R291" s="10"/>
      <c r="S291" s="10"/>
      <c r="T291" s="11" t="e">
        <f t="shared" si="14"/>
        <v>#DIV/0!</v>
      </c>
      <c r="U291" s="13">
        <v>8</v>
      </c>
      <c r="V291" s="14" t="e">
        <f t="shared" si="15"/>
        <v>#DIV/0!</v>
      </c>
      <c r="W291" s="10"/>
      <c r="X291" s="10"/>
      <c r="Y291" s="10"/>
      <c r="Z291" s="10"/>
      <c r="AA291" s="11"/>
      <c r="AB291" s="13"/>
      <c r="AC291" s="14"/>
      <c r="AD291" s="13"/>
      <c r="AE291" s="14"/>
    </row>
    <row r="292" spans="1:31" x14ac:dyDescent="0.25">
      <c r="A292" s="9"/>
      <c r="B292" s="10"/>
      <c r="C292" s="10"/>
      <c r="D292" s="10"/>
      <c r="E292" s="11" t="e">
        <f t="shared" si="10"/>
        <v>#DIV/0!</v>
      </c>
      <c r="F292" s="13">
        <v>6</v>
      </c>
      <c r="G292" s="14" t="e">
        <f t="shared" si="11"/>
        <v>#DIV/0!</v>
      </c>
      <c r="H292" s="13" t="str">
        <f ca="1">IFERROR(__xludf.DUMMYFUNCTION("IFERROR(
  AVERAGE(
    FILTER(
      $E$2:$E292,
      $A$2:$A292&gt;=A292-30,
      $A$2:$A292&lt;=A292,
      $E$2:$E292&gt;0
    )
  ),
  """"
)"),"")</f>
        <v/>
      </c>
      <c r="I292" s="14"/>
      <c r="J292" s="10"/>
      <c r="K292" s="10"/>
      <c r="L292" s="10"/>
      <c r="M292" s="11" t="e">
        <f t="shared" si="12"/>
        <v>#DIV/0!</v>
      </c>
      <c r="N292" s="13">
        <v>8</v>
      </c>
      <c r="O292" s="14" t="e">
        <f t="shared" si="13"/>
        <v>#DIV/0!</v>
      </c>
      <c r="P292" s="13"/>
      <c r="Q292" s="10"/>
      <c r="R292" s="10"/>
      <c r="S292" s="10"/>
      <c r="T292" s="11" t="e">
        <f t="shared" si="14"/>
        <v>#DIV/0!</v>
      </c>
      <c r="U292" s="13">
        <v>8</v>
      </c>
      <c r="V292" s="14" t="e">
        <f t="shared" si="15"/>
        <v>#DIV/0!</v>
      </c>
      <c r="W292" s="10"/>
      <c r="X292" s="10"/>
      <c r="Y292" s="10"/>
      <c r="Z292" s="10"/>
      <c r="AA292" s="11"/>
      <c r="AB292" s="13"/>
      <c r="AC292" s="14"/>
      <c r="AD292" s="13"/>
      <c r="AE292" s="14"/>
    </row>
    <row r="293" spans="1:31" x14ac:dyDescent="0.25">
      <c r="A293" s="9"/>
      <c r="B293" s="10"/>
      <c r="C293" s="10"/>
      <c r="D293" s="10"/>
      <c r="E293" s="11" t="e">
        <f t="shared" si="10"/>
        <v>#DIV/0!</v>
      </c>
      <c r="F293" s="13">
        <v>6</v>
      </c>
      <c r="G293" s="14" t="e">
        <f t="shared" si="11"/>
        <v>#DIV/0!</v>
      </c>
      <c r="H293" s="13" t="str">
        <f ca="1">IFERROR(__xludf.DUMMYFUNCTION("IFERROR(
  AVERAGE(
    FILTER(
      $E$2:$E293,
      $A$2:$A293&gt;=A293-30,
      $A$2:$A293&lt;=A293,
      $E$2:$E293&gt;0
    )
  ),
  """"
)"),"")</f>
        <v/>
      </c>
      <c r="I293" s="14"/>
      <c r="J293" s="10"/>
      <c r="K293" s="10"/>
      <c r="L293" s="10"/>
      <c r="M293" s="11" t="e">
        <f t="shared" si="12"/>
        <v>#DIV/0!</v>
      </c>
      <c r="N293" s="13">
        <v>8</v>
      </c>
      <c r="O293" s="14" t="e">
        <f t="shared" si="13"/>
        <v>#DIV/0!</v>
      </c>
      <c r="P293" s="13"/>
      <c r="Q293" s="10"/>
      <c r="R293" s="10"/>
      <c r="S293" s="10"/>
      <c r="T293" s="11" t="e">
        <f t="shared" si="14"/>
        <v>#DIV/0!</v>
      </c>
      <c r="U293" s="13">
        <v>8</v>
      </c>
      <c r="V293" s="14" t="e">
        <f t="shared" si="15"/>
        <v>#DIV/0!</v>
      </c>
      <c r="W293" s="10"/>
      <c r="X293" s="10"/>
      <c r="Y293" s="10"/>
      <c r="Z293" s="10"/>
      <c r="AA293" s="11"/>
      <c r="AB293" s="13"/>
      <c r="AC293" s="14"/>
      <c r="AD293" s="13"/>
      <c r="AE293" s="14"/>
    </row>
    <row r="294" spans="1:31" x14ac:dyDescent="0.25">
      <c r="A294" s="9"/>
      <c r="B294" s="10"/>
      <c r="C294" s="10"/>
      <c r="D294" s="10"/>
      <c r="E294" s="11" t="e">
        <f t="shared" si="10"/>
        <v>#DIV/0!</v>
      </c>
      <c r="F294" s="13">
        <v>6</v>
      </c>
      <c r="G294" s="14" t="e">
        <f t="shared" si="11"/>
        <v>#DIV/0!</v>
      </c>
      <c r="H294" s="13" t="str">
        <f ca="1">IFERROR(__xludf.DUMMYFUNCTION("IFERROR(
  AVERAGE(
    FILTER(
      $E$2:$E294,
      $A$2:$A294&gt;=A294-30,
      $A$2:$A294&lt;=A294,
      $E$2:$E294&gt;0
    )
  ),
  """"
)"),"")</f>
        <v/>
      </c>
      <c r="I294" s="14"/>
      <c r="J294" s="10"/>
      <c r="K294" s="10"/>
      <c r="L294" s="10"/>
      <c r="M294" s="11" t="e">
        <f t="shared" si="12"/>
        <v>#DIV/0!</v>
      </c>
      <c r="N294" s="13">
        <v>8</v>
      </c>
      <c r="O294" s="14" t="e">
        <f t="shared" si="13"/>
        <v>#DIV/0!</v>
      </c>
      <c r="P294" s="13"/>
      <c r="Q294" s="10"/>
      <c r="R294" s="10"/>
      <c r="S294" s="10"/>
      <c r="T294" s="11" t="e">
        <f t="shared" si="14"/>
        <v>#DIV/0!</v>
      </c>
      <c r="U294" s="13">
        <v>8</v>
      </c>
      <c r="V294" s="14" t="e">
        <f t="shared" si="15"/>
        <v>#DIV/0!</v>
      </c>
      <c r="W294" s="10"/>
      <c r="X294" s="10"/>
      <c r="Y294" s="10"/>
      <c r="Z294" s="10"/>
      <c r="AA294" s="11"/>
      <c r="AB294" s="13"/>
      <c r="AC294" s="14"/>
      <c r="AD294" s="13"/>
      <c r="AE294" s="14"/>
    </row>
    <row r="295" spans="1:31" x14ac:dyDescent="0.25">
      <c r="A295" s="9"/>
      <c r="B295" s="10"/>
      <c r="C295" s="10"/>
      <c r="D295" s="10"/>
      <c r="E295" s="11" t="e">
        <f t="shared" si="10"/>
        <v>#DIV/0!</v>
      </c>
      <c r="F295" s="13">
        <v>6</v>
      </c>
      <c r="G295" s="14" t="e">
        <f t="shared" si="11"/>
        <v>#DIV/0!</v>
      </c>
      <c r="H295" s="13" t="str">
        <f ca="1">IFERROR(__xludf.DUMMYFUNCTION("IFERROR(
  AVERAGE(
    FILTER(
      $E$2:$E295,
      $A$2:$A295&gt;=A295-30,
      $A$2:$A295&lt;=A295,
      $E$2:$E295&gt;0
    )
  ),
  """"
)"),"")</f>
        <v/>
      </c>
      <c r="I295" s="14"/>
      <c r="J295" s="10"/>
      <c r="K295" s="10"/>
      <c r="L295" s="10"/>
      <c r="M295" s="11" t="e">
        <f t="shared" si="12"/>
        <v>#DIV/0!</v>
      </c>
      <c r="N295" s="13">
        <v>8</v>
      </c>
      <c r="O295" s="14" t="e">
        <f t="shared" si="13"/>
        <v>#DIV/0!</v>
      </c>
      <c r="P295" s="13"/>
      <c r="Q295" s="10"/>
      <c r="R295" s="10"/>
      <c r="S295" s="10"/>
      <c r="T295" s="11" t="e">
        <f t="shared" si="14"/>
        <v>#DIV/0!</v>
      </c>
      <c r="U295" s="13">
        <v>8</v>
      </c>
      <c r="V295" s="14" t="e">
        <f t="shared" si="15"/>
        <v>#DIV/0!</v>
      </c>
      <c r="W295" s="10"/>
      <c r="X295" s="10"/>
      <c r="Y295" s="10"/>
      <c r="Z295" s="10"/>
      <c r="AA295" s="11"/>
      <c r="AB295" s="13"/>
      <c r="AC295" s="14"/>
      <c r="AD295" s="13"/>
      <c r="AE295" s="14"/>
    </row>
    <row r="296" spans="1:31" x14ac:dyDescent="0.25">
      <c r="A296" s="9"/>
      <c r="B296" s="10"/>
      <c r="C296" s="10"/>
      <c r="D296" s="10"/>
      <c r="E296" s="11" t="e">
        <f t="shared" si="10"/>
        <v>#DIV/0!</v>
      </c>
      <c r="F296" s="13">
        <v>6</v>
      </c>
      <c r="G296" s="14" t="e">
        <f t="shared" si="11"/>
        <v>#DIV/0!</v>
      </c>
      <c r="H296" s="13" t="str">
        <f ca="1">IFERROR(__xludf.DUMMYFUNCTION("IFERROR(
  AVERAGE(
    FILTER(
      $E$2:$E296,
      $A$2:$A296&gt;=A296-30,
      $A$2:$A296&lt;=A296,
      $E$2:$E296&gt;0
    )
  ),
  """"
)"),"")</f>
        <v/>
      </c>
      <c r="I296" s="14"/>
      <c r="J296" s="10"/>
      <c r="K296" s="10"/>
      <c r="L296" s="10"/>
      <c r="M296" s="11" t="e">
        <f t="shared" si="12"/>
        <v>#DIV/0!</v>
      </c>
      <c r="N296" s="13">
        <v>8</v>
      </c>
      <c r="O296" s="14" t="e">
        <f t="shared" si="13"/>
        <v>#DIV/0!</v>
      </c>
      <c r="P296" s="13"/>
      <c r="Q296" s="10"/>
      <c r="R296" s="10"/>
      <c r="S296" s="10"/>
      <c r="T296" s="11" t="e">
        <f t="shared" si="14"/>
        <v>#DIV/0!</v>
      </c>
      <c r="U296" s="13">
        <v>8</v>
      </c>
      <c r="V296" s="14" t="e">
        <f t="shared" si="15"/>
        <v>#DIV/0!</v>
      </c>
      <c r="W296" s="10"/>
      <c r="X296" s="10"/>
      <c r="Y296" s="10"/>
      <c r="Z296" s="10"/>
      <c r="AA296" s="11"/>
      <c r="AB296" s="13"/>
      <c r="AC296" s="14"/>
      <c r="AD296" s="13"/>
      <c r="AE296" s="14"/>
    </row>
    <row r="297" spans="1:31" x14ac:dyDescent="0.25">
      <c r="A297" s="9"/>
      <c r="B297" s="10"/>
      <c r="C297" s="10"/>
      <c r="D297" s="10"/>
      <c r="E297" s="11" t="e">
        <f t="shared" si="10"/>
        <v>#DIV/0!</v>
      </c>
      <c r="F297" s="13">
        <v>6</v>
      </c>
      <c r="G297" s="14" t="e">
        <f t="shared" si="11"/>
        <v>#DIV/0!</v>
      </c>
      <c r="H297" s="13" t="str">
        <f ca="1">IFERROR(__xludf.DUMMYFUNCTION("IFERROR(
  AVERAGE(
    FILTER(
      $E$2:$E297,
      $A$2:$A297&gt;=A297-30,
      $A$2:$A297&lt;=A297,
      $E$2:$E297&gt;0
    )
  ),
  """"
)"),"")</f>
        <v/>
      </c>
      <c r="I297" s="14"/>
      <c r="J297" s="10"/>
      <c r="K297" s="10"/>
      <c r="L297" s="10"/>
      <c r="M297" s="11" t="e">
        <f t="shared" si="12"/>
        <v>#DIV/0!</v>
      </c>
      <c r="N297" s="13">
        <v>8</v>
      </c>
      <c r="O297" s="14" t="e">
        <f t="shared" si="13"/>
        <v>#DIV/0!</v>
      </c>
      <c r="P297" s="13"/>
      <c r="Q297" s="10"/>
      <c r="R297" s="10"/>
      <c r="S297" s="10"/>
      <c r="T297" s="11" t="e">
        <f t="shared" si="14"/>
        <v>#DIV/0!</v>
      </c>
      <c r="U297" s="13">
        <v>8</v>
      </c>
      <c r="V297" s="14" t="e">
        <f t="shared" si="15"/>
        <v>#DIV/0!</v>
      </c>
      <c r="W297" s="10"/>
      <c r="X297" s="10"/>
      <c r="Y297" s="10"/>
      <c r="Z297" s="10"/>
      <c r="AA297" s="11"/>
      <c r="AB297" s="13"/>
      <c r="AC297" s="14"/>
      <c r="AD297" s="13"/>
      <c r="AE297" s="14"/>
    </row>
    <row r="298" spans="1:31" x14ac:dyDescent="0.25">
      <c r="A298" s="9"/>
      <c r="B298" s="10"/>
      <c r="C298" s="10"/>
      <c r="D298" s="10"/>
      <c r="E298" s="11" t="e">
        <f t="shared" si="10"/>
        <v>#DIV/0!</v>
      </c>
      <c r="F298" s="13">
        <v>6</v>
      </c>
      <c r="G298" s="14" t="e">
        <f t="shared" si="11"/>
        <v>#DIV/0!</v>
      </c>
      <c r="H298" s="13" t="str">
        <f ca="1">IFERROR(__xludf.DUMMYFUNCTION("IFERROR(
  AVERAGE(
    FILTER(
      $E$2:$E298,
      $A$2:$A298&gt;=A298-30,
      $A$2:$A298&lt;=A298,
      $E$2:$E298&gt;0
    )
  ),
  """"
)"),"")</f>
        <v/>
      </c>
      <c r="I298" s="14"/>
      <c r="J298" s="10"/>
      <c r="K298" s="10"/>
      <c r="L298" s="10"/>
      <c r="M298" s="11" t="e">
        <f t="shared" si="12"/>
        <v>#DIV/0!</v>
      </c>
      <c r="N298" s="13">
        <v>8</v>
      </c>
      <c r="O298" s="14" t="e">
        <f t="shared" si="13"/>
        <v>#DIV/0!</v>
      </c>
      <c r="P298" s="13"/>
      <c r="Q298" s="10"/>
      <c r="R298" s="10"/>
      <c r="S298" s="10"/>
      <c r="T298" s="11" t="e">
        <f t="shared" si="14"/>
        <v>#DIV/0!</v>
      </c>
      <c r="U298" s="13">
        <v>8</v>
      </c>
      <c r="V298" s="14" t="e">
        <f t="shared" si="15"/>
        <v>#DIV/0!</v>
      </c>
      <c r="W298" s="10"/>
      <c r="X298" s="10"/>
      <c r="Y298" s="10"/>
      <c r="Z298" s="10"/>
      <c r="AA298" s="11"/>
      <c r="AB298" s="13"/>
      <c r="AC298" s="14"/>
      <c r="AD298" s="13"/>
      <c r="AE298" s="14"/>
    </row>
    <row r="299" spans="1:31" x14ac:dyDescent="0.25">
      <c r="A299" s="9"/>
      <c r="B299" s="10"/>
      <c r="C299" s="10"/>
      <c r="D299" s="10"/>
      <c r="E299" s="11" t="e">
        <f t="shared" si="10"/>
        <v>#DIV/0!</v>
      </c>
      <c r="F299" s="13">
        <v>6</v>
      </c>
      <c r="G299" s="14" t="e">
        <f t="shared" si="11"/>
        <v>#DIV/0!</v>
      </c>
      <c r="H299" s="13" t="str">
        <f ca="1">IFERROR(__xludf.DUMMYFUNCTION("IFERROR(
  AVERAGE(
    FILTER(
      $E$2:$E299,
      $A$2:$A299&gt;=A299-30,
      $A$2:$A299&lt;=A299,
      $E$2:$E299&gt;0
    )
  ),
  """"
)"),"")</f>
        <v/>
      </c>
      <c r="I299" s="14"/>
      <c r="J299" s="10"/>
      <c r="K299" s="10"/>
      <c r="L299" s="10"/>
      <c r="M299" s="11" t="e">
        <f t="shared" si="12"/>
        <v>#DIV/0!</v>
      </c>
      <c r="N299" s="13">
        <v>8</v>
      </c>
      <c r="O299" s="14" t="e">
        <f t="shared" si="13"/>
        <v>#DIV/0!</v>
      </c>
      <c r="P299" s="13"/>
      <c r="Q299" s="10"/>
      <c r="R299" s="10"/>
      <c r="S299" s="10"/>
      <c r="T299" s="11" t="e">
        <f t="shared" si="14"/>
        <v>#DIV/0!</v>
      </c>
      <c r="U299" s="13">
        <v>8</v>
      </c>
      <c r="V299" s="14" t="e">
        <f t="shared" si="15"/>
        <v>#DIV/0!</v>
      </c>
      <c r="W299" s="10"/>
      <c r="X299" s="10"/>
      <c r="Y299" s="10"/>
      <c r="Z299" s="10"/>
      <c r="AA299" s="11"/>
      <c r="AB299" s="13"/>
      <c r="AC299" s="14"/>
      <c r="AD299" s="13"/>
      <c r="AE299" s="14"/>
    </row>
    <row r="300" spans="1:31" x14ac:dyDescent="0.25">
      <c r="A300" s="9"/>
      <c r="B300" s="10"/>
      <c r="C300" s="10"/>
      <c r="D300" s="10"/>
      <c r="E300" s="11" t="e">
        <f t="shared" si="10"/>
        <v>#DIV/0!</v>
      </c>
      <c r="F300" s="13">
        <v>6</v>
      </c>
      <c r="G300" s="14" t="e">
        <f t="shared" si="11"/>
        <v>#DIV/0!</v>
      </c>
      <c r="H300" s="13" t="str">
        <f ca="1">IFERROR(__xludf.DUMMYFUNCTION("IFERROR(
  AVERAGE(
    FILTER(
      $E$2:$E300,
      $A$2:$A300&gt;=A300-30,
      $A$2:$A300&lt;=A300,
      $E$2:$E300&gt;0
    )
  ),
  """"
)"),"")</f>
        <v/>
      </c>
      <c r="I300" s="14"/>
      <c r="J300" s="10"/>
      <c r="K300" s="10"/>
      <c r="L300" s="10"/>
      <c r="M300" s="11" t="e">
        <f t="shared" si="12"/>
        <v>#DIV/0!</v>
      </c>
      <c r="N300" s="13">
        <v>8</v>
      </c>
      <c r="O300" s="14" t="e">
        <f t="shared" si="13"/>
        <v>#DIV/0!</v>
      </c>
      <c r="P300" s="13"/>
      <c r="Q300" s="10"/>
      <c r="R300" s="10"/>
      <c r="S300" s="10"/>
      <c r="T300" s="11" t="e">
        <f t="shared" si="14"/>
        <v>#DIV/0!</v>
      </c>
      <c r="U300" s="13">
        <v>8</v>
      </c>
      <c r="V300" s="14" t="e">
        <f t="shared" si="15"/>
        <v>#DIV/0!</v>
      </c>
      <c r="W300" s="10"/>
      <c r="X300" s="10"/>
      <c r="Y300" s="10"/>
      <c r="Z300" s="10"/>
      <c r="AA300" s="11"/>
      <c r="AB300" s="13"/>
      <c r="AC300" s="14"/>
      <c r="AD300" s="13"/>
      <c r="AE300" s="14"/>
    </row>
    <row r="301" spans="1:31" x14ac:dyDescent="0.25">
      <c r="A301" s="9"/>
      <c r="B301" s="10"/>
      <c r="C301" s="10"/>
      <c r="D301" s="10"/>
      <c r="E301" s="11" t="e">
        <f t="shared" si="10"/>
        <v>#DIV/0!</v>
      </c>
      <c r="F301" s="13">
        <v>6</v>
      </c>
      <c r="G301" s="14" t="e">
        <f t="shared" si="11"/>
        <v>#DIV/0!</v>
      </c>
      <c r="H301" s="13" t="str">
        <f ca="1">IFERROR(__xludf.DUMMYFUNCTION("IFERROR(
  AVERAGE(
    FILTER(
      $E$2:$E301,
      $A$2:$A301&gt;=A301-30,
      $A$2:$A301&lt;=A301,
      $E$2:$E301&gt;0
    )
  ),
  """"
)"),"")</f>
        <v/>
      </c>
      <c r="I301" s="14"/>
      <c r="J301" s="10"/>
      <c r="K301" s="10"/>
      <c r="L301" s="10"/>
      <c r="M301" s="11" t="e">
        <f t="shared" si="12"/>
        <v>#DIV/0!</v>
      </c>
      <c r="N301" s="13">
        <v>8</v>
      </c>
      <c r="O301" s="14" t="e">
        <f t="shared" si="13"/>
        <v>#DIV/0!</v>
      </c>
      <c r="P301" s="13"/>
      <c r="Q301" s="10"/>
      <c r="R301" s="10"/>
      <c r="S301" s="10"/>
      <c r="T301" s="11" t="e">
        <f t="shared" si="14"/>
        <v>#DIV/0!</v>
      </c>
      <c r="U301" s="13">
        <v>8</v>
      </c>
      <c r="V301" s="14" t="e">
        <f t="shared" si="15"/>
        <v>#DIV/0!</v>
      </c>
      <c r="W301" s="10"/>
      <c r="X301" s="10"/>
      <c r="Y301" s="10"/>
      <c r="Z301" s="10"/>
      <c r="AA301" s="11"/>
      <c r="AB301" s="13"/>
      <c r="AC301" s="14"/>
      <c r="AD301" s="13"/>
      <c r="AE301" s="14"/>
    </row>
    <row r="302" spans="1:31" x14ac:dyDescent="0.25">
      <c r="A302" s="9"/>
      <c r="B302" s="10"/>
      <c r="C302" s="10"/>
      <c r="D302" s="10"/>
      <c r="E302" s="11" t="e">
        <f t="shared" si="10"/>
        <v>#DIV/0!</v>
      </c>
      <c r="F302" s="13">
        <v>6</v>
      </c>
      <c r="G302" s="14" t="e">
        <f t="shared" si="11"/>
        <v>#DIV/0!</v>
      </c>
      <c r="H302" s="13" t="str">
        <f ca="1">IFERROR(__xludf.DUMMYFUNCTION("IFERROR(
  AVERAGE(
    FILTER(
      $E$2:$E302,
      $A$2:$A302&gt;=A302-30,
      $A$2:$A302&lt;=A302,
      $E$2:$E302&gt;0
    )
  ),
  """"
)"),"")</f>
        <v/>
      </c>
      <c r="I302" s="14"/>
      <c r="J302" s="10"/>
      <c r="K302" s="10"/>
      <c r="L302" s="10"/>
      <c r="M302" s="11" t="e">
        <f t="shared" si="12"/>
        <v>#DIV/0!</v>
      </c>
      <c r="N302" s="13">
        <v>8</v>
      </c>
      <c r="O302" s="14" t="e">
        <f t="shared" si="13"/>
        <v>#DIV/0!</v>
      </c>
      <c r="P302" s="13"/>
      <c r="Q302" s="10"/>
      <c r="R302" s="10"/>
      <c r="S302" s="10"/>
      <c r="T302" s="11" t="e">
        <f t="shared" si="14"/>
        <v>#DIV/0!</v>
      </c>
      <c r="U302" s="13">
        <v>8</v>
      </c>
      <c r="V302" s="14" t="e">
        <f t="shared" si="15"/>
        <v>#DIV/0!</v>
      </c>
      <c r="W302" s="10"/>
      <c r="X302" s="10"/>
      <c r="Y302" s="10"/>
      <c r="Z302" s="10"/>
      <c r="AA302" s="11"/>
      <c r="AB302" s="13"/>
      <c r="AC302" s="14"/>
      <c r="AD302" s="13"/>
      <c r="AE302" s="14"/>
    </row>
    <row r="303" spans="1:31" x14ac:dyDescent="0.25">
      <c r="A303" s="9"/>
      <c r="B303" s="10"/>
      <c r="C303" s="10"/>
      <c r="D303" s="10"/>
      <c r="E303" s="11" t="e">
        <f t="shared" si="10"/>
        <v>#DIV/0!</v>
      </c>
      <c r="F303" s="13">
        <v>6</v>
      </c>
      <c r="G303" s="14" t="e">
        <f t="shared" si="11"/>
        <v>#DIV/0!</v>
      </c>
      <c r="H303" s="13" t="str">
        <f ca="1">IFERROR(__xludf.DUMMYFUNCTION("IFERROR(
  AVERAGE(
    FILTER(
      $E$2:$E303,
      $A$2:$A303&gt;=A303-30,
      $A$2:$A303&lt;=A303,
      $E$2:$E303&gt;0
    )
  ),
  """"
)"),"")</f>
        <v/>
      </c>
      <c r="I303" s="14"/>
      <c r="J303" s="10"/>
      <c r="K303" s="10"/>
      <c r="L303" s="10"/>
      <c r="M303" s="11" t="e">
        <f t="shared" si="12"/>
        <v>#DIV/0!</v>
      </c>
      <c r="N303" s="13">
        <v>8</v>
      </c>
      <c r="O303" s="14" t="e">
        <f t="shared" si="13"/>
        <v>#DIV/0!</v>
      </c>
      <c r="P303" s="13"/>
      <c r="Q303" s="10"/>
      <c r="R303" s="10"/>
      <c r="S303" s="10"/>
      <c r="T303" s="11" t="e">
        <f t="shared" si="14"/>
        <v>#DIV/0!</v>
      </c>
      <c r="U303" s="13">
        <v>8</v>
      </c>
      <c r="V303" s="14" t="e">
        <f t="shared" si="15"/>
        <v>#DIV/0!</v>
      </c>
      <c r="W303" s="10"/>
      <c r="X303" s="10"/>
      <c r="Y303" s="10"/>
      <c r="Z303" s="10"/>
      <c r="AA303" s="11"/>
      <c r="AB303" s="13"/>
      <c r="AC303" s="14"/>
      <c r="AD303" s="13"/>
      <c r="AE303" s="14"/>
    </row>
    <row r="304" spans="1:31" x14ac:dyDescent="0.25">
      <c r="A304" s="9"/>
      <c r="B304" s="10"/>
      <c r="C304" s="10"/>
      <c r="D304" s="10"/>
      <c r="E304" s="11" t="e">
        <f t="shared" si="10"/>
        <v>#DIV/0!</v>
      </c>
      <c r="F304" s="13">
        <v>6</v>
      </c>
      <c r="G304" s="14" t="e">
        <f t="shared" si="11"/>
        <v>#DIV/0!</v>
      </c>
      <c r="H304" s="13" t="str">
        <f ca="1">IFERROR(__xludf.DUMMYFUNCTION("IFERROR(
  AVERAGE(
    FILTER(
      $E$2:$E304,
      $A$2:$A304&gt;=A304-30,
      $A$2:$A304&lt;=A304,
      $E$2:$E304&gt;0
    )
  ),
  """"
)"),"")</f>
        <v/>
      </c>
      <c r="I304" s="14"/>
      <c r="J304" s="10"/>
      <c r="K304" s="10"/>
      <c r="L304" s="10"/>
      <c r="M304" s="11" t="e">
        <f t="shared" si="12"/>
        <v>#DIV/0!</v>
      </c>
      <c r="N304" s="13">
        <v>8</v>
      </c>
      <c r="O304" s="14" t="e">
        <f t="shared" si="13"/>
        <v>#DIV/0!</v>
      </c>
      <c r="P304" s="13"/>
      <c r="Q304" s="10"/>
      <c r="R304" s="10"/>
      <c r="S304" s="10"/>
      <c r="T304" s="11" t="e">
        <f t="shared" si="14"/>
        <v>#DIV/0!</v>
      </c>
      <c r="U304" s="13">
        <v>8</v>
      </c>
      <c r="V304" s="14" t="e">
        <f t="shared" si="15"/>
        <v>#DIV/0!</v>
      </c>
      <c r="W304" s="10"/>
      <c r="X304" s="10"/>
      <c r="Y304" s="10"/>
      <c r="Z304" s="10"/>
      <c r="AA304" s="11"/>
      <c r="AB304" s="13"/>
      <c r="AC304" s="14"/>
      <c r="AD304" s="13"/>
      <c r="AE304" s="14"/>
    </row>
    <row r="305" spans="1:31" x14ac:dyDescent="0.25">
      <c r="A305" s="9"/>
      <c r="B305" s="10"/>
      <c r="C305" s="10"/>
      <c r="D305" s="10"/>
      <c r="E305" s="11" t="e">
        <f t="shared" si="10"/>
        <v>#DIV/0!</v>
      </c>
      <c r="F305" s="13">
        <v>6</v>
      </c>
      <c r="G305" s="14" t="e">
        <f t="shared" si="11"/>
        <v>#DIV/0!</v>
      </c>
      <c r="H305" s="13" t="str">
        <f ca="1">IFERROR(__xludf.DUMMYFUNCTION("IFERROR(
  AVERAGE(
    FILTER(
      $E$2:$E305,
      $A$2:$A305&gt;=A305-30,
      $A$2:$A305&lt;=A305,
      $E$2:$E305&gt;0
    )
  ),
  """"
)"),"")</f>
        <v/>
      </c>
      <c r="I305" s="14"/>
      <c r="J305" s="10"/>
      <c r="K305" s="10"/>
      <c r="L305" s="10"/>
      <c r="M305" s="11" t="e">
        <f t="shared" si="12"/>
        <v>#DIV/0!</v>
      </c>
      <c r="N305" s="13">
        <v>8</v>
      </c>
      <c r="O305" s="14" t="e">
        <f t="shared" si="13"/>
        <v>#DIV/0!</v>
      </c>
      <c r="P305" s="13"/>
      <c r="Q305" s="10"/>
      <c r="R305" s="10"/>
      <c r="S305" s="10"/>
      <c r="T305" s="11" t="e">
        <f t="shared" si="14"/>
        <v>#DIV/0!</v>
      </c>
      <c r="U305" s="13">
        <v>8</v>
      </c>
      <c r="V305" s="14" t="e">
        <f t="shared" si="15"/>
        <v>#DIV/0!</v>
      </c>
      <c r="W305" s="10"/>
      <c r="X305" s="10"/>
      <c r="Y305" s="10"/>
      <c r="Z305" s="10"/>
      <c r="AA305" s="11"/>
      <c r="AB305" s="13"/>
      <c r="AC305" s="14"/>
      <c r="AD305" s="13"/>
      <c r="AE305" s="14"/>
    </row>
    <row r="306" spans="1:31" x14ac:dyDescent="0.25">
      <c r="A306" s="9"/>
      <c r="B306" s="10"/>
      <c r="C306" s="10"/>
      <c r="D306" s="10"/>
      <c r="E306" s="11" t="e">
        <f t="shared" si="10"/>
        <v>#DIV/0!</v>
      </c>
      <c r="F306" s="13">
        <v>6</v>
      </c>
      <c r="G306" s="14" t="e">
        <f t="shared" si="11"/>
        <v>#DIV/0!</v>
      </c>
      <c r="H306" s="13" t="str">
        <f ca="1">IFERROR(__xludf.DUMMYFUNCTION("IFERROR(
  AVERAGE(
    FILTER(
      $E$2:$E306,
      $A$2:$A306&gt;=A306-30,
      $A$2:$A306&lt;=A306,
      $E$2:$E306&gt;0
    )
  ),
  """"
)"),"")</f>
        <v/>
      </c>
      <c r="I306" s="14"/>
      <c r="J306" s="10"/>
      <c r="K306" s="10"/>
      <c r="L306" s="10"/>
      <c r="M306" s="11" t="e">
        <f t="shared" si="12"/>
        <v>#DIV/0!</v>
      </c>
      <c r="N306" s="13">
        <v>8</v>
      </c>
      <c r="O306" s="14" t="e">
        <f t="shared" si="13"/>
        <v>#DIV/0!</v>
      </c>
      <c r="P306" s="13"/>
      <c r="Q306" s="10"/>
      <c r="R306" s="10"/>
      <c r="S306" s="10"/>
      <c r="T306" s="11" t="e">
        <f t="shared" si="14"/>
        <v>#DIV/0!</v>
      </c>
      <c r="U306" s="13">
        <v>8</v>
      </c>
      <c r="V306" s="14" t="e">
        <f t="shared" si="15"/>
        <v>#DIV/0!</v>
      </c>
      <c r="W306" s="10"/>
      <c r="X306" s="10"/>
      <c r="Y306" s="10"/>
      <c r="Z306" s="10"/>
      <c r="AA306" s="11"/>
      <c r="AB306" s="13"/>
      <c r="AC306" s="14"/>
      <c r="AD306" s="13"/>
      <c r="AE306" s="14"/>
    </row>
    <row r="307" spans="1:31" x14ac:dyDescent="0.25">
      <c r="A307" s="9"/>
      <c r="B307" s="10"/>
      <c r="C307" s="10"/>
      <c r="D307" s="10"/>
      <c r="E307" s="11" t="e">
        <f t="shared" si="10"/>
        <v>#DIV/0!</v>
      </c>
      <c r="F307" s="13">
        <v>6</v>
      </c>
      <c r="G307" s="14" t="e">
        <f t="shared" si="11"/>
        <v>#DIV/0!</v>
      </c>
      <c r="H307" s="13" t="str">
        <f ca="1">IFERROR(__xludf.DUMMYFUNCTION("IFERROR(
  AVERAGE(
    FILTER(
      $E$2:$E307,
      $A$2:$A307&gt;=A307-30,
      $A$2:$A307&lt;=A307,
      $E$2:$E307&gt;0
    )
  ),
  """"
)"),"")</f>
        <v/>
      </c>
      <c r="I307" s="14"/>
      <c r="J307" s="10"/>
      <c r="K307" s="10"/>
      <c r="L307" s="10"/>
      <c r="M307" s="11" t="e">
        <f t="shared" si="12"/>
        <v>#DIV/0!</v>
      </c>
      <c r="N307" s="13">
        <v>8</v>
      </c>
      <c r="O307" s="14" t="e">
        <f t="shared" si="13"/>
        <v>#DIV/0!</v>
      </c>
      <c r="P307" s="13"/>
      <c r="Q307" s="10"/>
      <c r="R307" s="10"/>
      <c r="S307" s="10"/>
      <c r="T307" s="11" t="e">
        <f t="shared" si="14"/>
        <v>#DIV/0!</v>
      </c>
      <c r="U307" s="13">
        <v>8</v>
      </c>
      <c r="V307" s="14" t="e">
        <f t="shared" si="15"/>
        <v>#DIV/0!</v>
      </c>
      <c r="W307" s="10"/>
      <c r="X307" s="10"/>
      <c r="Y307" s="10"/>
      <c r="Z307" s="10"/>
      <c r="AA307" s="11"/>
      <c r="AB307" s="13"/>
      <c r="AC307" s="14"/>
      <c r="AD307" s="13"/>
      <c r="AE307" s="14"/>
    </row>
    <row r="308" spans="1:31" x14ac:dyDescent="0.25">
      <c r="A308" s="9"/>
      <c r="B308" s="10"/>
      <c r="C308" s="10"/>
      <c r="D308" s="10"/>
      <c r="E308" s="11" t="e">
        <f t="shared" si="10"/>
        <v>#DIV/0!</v>
      </c>
      <c r="F308" s="13">
        <v>6</v>
      </c>
      <c r="G308" s="14" t="e">
        <f t="shared" si="11"/>
        <v>#DIV/0!</v>
      </c>
      <c r="H308" s="13" t="str">
        <f ca="1">IFERROR(__xludf.DUMMYFUNCTION("IFERROR(
  AVERAGE(
    FILTER(
      $E$2:$E308,
      $A$2:$A308&gt;=A308-30,
      $A$2:$A308&lt;=A308,
      $E$2:$E308&gt;0
    )
  ),
  """"
)"),"")</f>
        <v/>
      </c>
      <c r="I308" s="14"/>
      <c r="J308" s="10"/>
      <c r="K308" s="10"/>
      <c r="L308" s="10"/>
      <c r="M308" s="11" t="e">
        <f t="shared" si="12"/>
        <v>#DIV/0!</v>
      </c>
      <c r="N308" s="13">
        <v>8</v>
      </c>
      <c r="O308" s="14" t="e">
        <f t="shared" si="13"/>
        <v>#DIV/0!</v>
      </c>
      <c r="P308" s="13"/>
      <c r="Q308" s="10"/>
      <c r="R308" s="10"/>
      <c r="S308" s="10"/>
      <c r="T308" s="11" t="e">
        <f t="shared" si="14"/>
        <v>#DIV/0!</v>
      </c>
      <c r="U308" s="13">
        <v>8</v>
      </c>
      <c r="V308" s="14" t="e">
        <f t="shared" si="15"/>
        <v>#DIV/0!</v>
      </c>
      <c r="W308" s="10"/>
      <c r="X308" s="10"/>
      <c r="Y308" s="10"/>
      <c r="Z308" s="10"/>
      <c r="AA308" s="11"/>
      <c r="AB308" s="13"/>
      <c r="AC308" s="14"/>
      <c r="AD308" s="13"/>
      <c r="AE308" s="14"/>
    </row>
    <row r="309" spans="1:31" x14ac:dyDescent="0.25">
      <c r="A309" s="9"/>
      <c r="B309" s="10"/>
      <c r="C309" s="10"/>
      <c r="D309" s="10"/>
      <c r="E309" s="11" t="e">
        <f t="shared" si="10"/>
        <v>#DIV/0!</v>
      </c>
      <c r="F309" s="13">
        <v>6</v>
      </c>
      <c r="G309" s="14" t="e">
        <f t="shared" si="11"/>
        <v>#DIV/0!</v>
      </c>
      <c r="H309" s="13" t="str">
        <f ca="1">IFERROR(__xludf.DUMMYFUNCTION("IFERROR(
  AVERAGE(
    FILTER(
      $E$2:$E309,
      $A$2:$A309&gt;=A309-30,
      $A$2:$A309&lt;=A309,
      $E$2:$E309&gt;0
    )
  ),
  """"
)"),"")</f>
        <v/>
      </c>
      <c r="I309" s="14"/>
      <c r="J309" s="10"/>
      <c r="K309" s="10"/>
      <c r="L309" s="10"/>
      <c r="M309" s="11" t="e">
        <f t="shared" si="12"/>
        <v>#DIV/0!</v>
      </c>
      <c r="N309" s="13">
        <v>8</v>
      </c>
      <c r="O309" s="14" t="e">
        <f t="shared" si="13"/>
        <v>#DIV/0!</v>
      </c>
      <c r="P309" s="13"/>
      <c r="Q309" s="10"/>
      <c r="R309" s="10"/>
      <c r="S309" s="10"/>
      <c r="T309" s="11" t="e">
        <f t="shared" si="14"/>
        <v>#DIV/0!</v>
      </c>
      <c r="U309" s="13">
        <v>8</v>
      </c>
      <c r="V309" s="14" t="e">
        <f t="shared" si="15"/>
        <v>#DIV/0!</v>
      </c>
      <c r="W309" s="10"/>
      <c r="X309" s="10"/>
      <c r="Y309" s="10"/>
      <c r="Z309" s="10"/>
      <c r="AA309" s="11"/>
      <c r="AB309" s="13"/>
      <c r="AC309" s="14"/>
      <c r="AD309" s="13"/>
      <c r="AE309" s="14"/>
    </row>
    <row r="310" spans="1:31" x14ac:dyDescent="0.25">
      <c r="A310" s="9"/>
      <c r="B310" s="10"/>
      <c r="C310" s="10"/>
      <c r="D310" s="10"/>
      <c r="E310" s="11" t="e">
        <f t="shared" si="10"/>
        <v>#DIV/0!</v>
      </c>
      <c r="F310" s="13">
        <v>6</v>
      </c>
      <c r="G310" s="14" t="e">
        <f t="shared" si="11"/>
        <v>#DIV/0!</v>
      </c>
      <c r="H310" s="13" t="str">
        <f ca="1">IFERROR(__xludf.DUMMYFUNCTION("IFERROR(
  AVERAGE(
    FILTER(
      $E$2:$E310,
      $A$2:$A310&gt;=A310-30,
      $A$2:$A310&lt;=A310,
      $E$2:$E310&gt;0
    )
  ),
  """"
)"),"")</f>
        <v/>
      </c>
      <c r="I310" s="14"/>
      <c r="J310" s="10"/>
      <c r="K310" s="10"/>
      <c r="L310" s="10"/>
      <c r="M310" s="11" t="e">
        <f t="shared" si="12"/>
        <v>#DIV/0!</v>
      </c>
      <c r="N310" s="13">
        <v>8</v>
      </c>
      <c r="O310" s="14" t="e">
        <f t="shared" si="13"/>
        <v>#DIV/0!</v>
      </c>
      <c r="P310" s="13"/>
      <c r="Q310" s="10"/>
      <c r="R310" s="10"/>
      <c r="S310" s="10"/>
      <c r="T310" s="11" t="e">
        <f t="shared" si="14"/>
        <v>#DIV/0!</v>
      </c>
      <c r="U310" s="13">
        <v>8</v>
      </c>
      <c r="V310" s="14" t="e">
        <f t="shared" si="15"/>
        <v>#DIV/0!</v>
      </c>
      <c r="W310" s="10"/>
      <c r="X310" s="10"/>
      <c r="Y310" s="10"/>
      <c r="Z310" s="10"/>
      <c r="AA310" s="11"/>
      <c r="AB310" s="13"/>
      <c r="AC310" s="14"/>
      <c r="AD310" s="13"/>
      <c r="AE310" s="14"/>
    </row>
    <row r="311" spans="1:31" x14ac:dyDescent="0.25">
      <c r="A311" s="9"/>
      <c r="B311" s="10"/>
      <c r="C311" s="10"/>
      <c r="D311" s="10"/>
      <c r="E311" s="11" t="e">
        <f t="shared" si="10"/>
        <v>#DIV/0!</v>
      </c>
      <c r="F311" s="13">
        <v>6</v>
      </c>
      <c r="G311" s="14" t="e">
        <f t="shared" si="11"/>
        <v>#DIV/0!</v>
      </c>
      <c r="H311" s="13" t="str">
        <f ca="1">IFERROR(__xludf.DUMMYFUNCTION("IFERROR(
  AVERAGE(
    FILTER(
      $E$2:$E311,
      $A$2:$A311&gt;=A311-30,
      $A$2:$A311&lt;=A311,
      $E$2:$E311&gt;0
    )
  ),
  """"
)"),"")</f>
        <v/>
      </c>
      <c r="I311" s="14"/>
      <c r="J311" s="10"/>
      <c r="K311" s="10"/>
      <c r="L311" s="10"/>
      <c r="M311" s="11" t="e">
        <f t="shared" si="12"/>
        <v>#DIV/0!</v>
      </c>
      <c r="N311" s="13">
        <v>8</v>
      </c>
      <c r="O311" s="14" t="e">
        <f t="shared" si="13"/>
        <v>#DIV/0!</v>
      </c>
      <c r="P311" s="13"/>
      <c r="Q311" s="10"/>
      <c r="R311" s="10"/>
      <c r="S311" s="10"/>
      <c r="T311" s="11" t="e">
        <f t="shared" si="14"/>
        <v>#DIV/0!</v>
      </c>
      <c r="U311" s="13">
        <v>8</v>
      </c>
      <c r="V311" s="14" t="e">
        <f t="shared" si="15"/>
        <v>#DIV/0!</v>
      </c>
      <c r="W311" s="10"/>
      <c r="X311" s="10"/>
      <c r="Y311" s="10"/>
      <c r="Z311" s="10"/>
      <c r="AA311" s="11"/>
      <c r="AB311" s="13"/>
      <c r="AC311" s="14"/>
      <c r="AD311" s="13"/>
      <c r="AE311" s="14"/>
    </row>
    <row r="312" spans="1:31" x14ac:dyDescent="0.25">
      <c r="A312" s="9"/>
      <c r="B312" s="10"/>
      <c r="C312" s="10"/>
      <c r="D312" s="10"/>
      <c r="E312" s="11" t="e">
        <f t="shared" si="10"/>
        <v>#DIV/0!</v>
      </c>
      <c r="F312" s="13">
        <v>6</v>
      </c>
      <c r="G312" s="14" t="e">
        <f t="shared" si="11"/>
        <v>#DIV/0!</v>
      </c>
      <c r="H312" s="13" t="str">
        <f ca="1">IFERROR(__xludf.DUMMYFUNCTION("IFERROR(
  AVERAGE(
    FILTER(
      $E$2:$E312,
      $A$2:$A312&gt;=A312-30,
      $A$2:$A312&lt;=A312,
      $E$2:$E312&gt;0
    )
  ),
  """"
)"),"")</f>
        <v/>
      </c>
      <c r="I312" s="14"/>
      <c r="J312" s="10"/>
      <c r="K312" s="10"/>
      <c r="L312" s="10"/>
      <c r="M312" s="11" t="e">
        <f t="shared" si="12"/>
        <v>#DIV/0!</v>
      </c>
      <c r="N312" s="13">
        <v>8</v>
      </c>
      <c r="O312" s="14" t="e">
        <f t="shared" si="13"/>
        <v>#DIV/0!</v>
      </c>
      <c r="P312" s="13"/>
      <c r="Q312" s="10"/>
      <c r="R312" s="10"/>
      <c r="S312" s="10"/>
      <c r="T312" s="11" t="e">
        <f t="shared" si="14"/>
        <v>#DIV/0!</v>
      </c>
      <c r="U312" s="13">
        <v>8</v>
      </c>
      <c r="V312" s="14" t="e">
        <f t="shared" si="15"/>
        <v>#DIV/0!</v>
      </c>
      <c r="W312" s="10"/>
      <c r="X312" s="10"/>
      <c r="Y312" s="10"/>
      <c r="Z312" s="10"/>
      <c r="AA312" s="11"/>
      <c r="AB312" s="13"/>
      <c r="AC312" s="14"/>
      <c r="AD312" s="13"/>
      <c r="AE312" s="14"/>
    </row>
    <row r="313" spans="1:31" x14ac:dyDescent="0.25">
      <c r="A313" s="9"/>
      <c r="B313" s="10"/>
      <c r="C313" s="10"/>
      <c r="D313" s="10"/>
      <c r="E313" s="11" t="e">
        <f t="shared" si="10"/>
        <v>#DIV/0!</v>
      </c>
      <c r="F313" s="13">
        <v>6</v>
      </c>
      <c r="G313" s="14" t="e">
        <f t="shared" si="11"/>
        <v>#DIV/0!</v>
      </c>
      <c r="H313" s="13" t="str">
        <f ca="1">IFERROR(__xludf.DUMMYFUNCTION("IFERROR(
  AVERAGE(
    FILTER(
      $E$2:$E313,
      $A$2:$A313&gt;=A313-30,
      $A$2:$A313&lt;=A313,
      $E$2:$E313&gt;0
    )
  ),
  """"
)"),"")</f>
        <v/>
      </c>
      <c r="I313" s="14"/>
      <c r="J313" s="10"/>
      <c r="K313" s="10"/>
      <c r="L313" s="10"/>
      <c r="M313" s="11" t="e">
        <f t="shared" si="12"/>
        <v>#DIV/0!</v>
      </c>
      <c r="N313" s="13">
        <v>8</v>
      </c>
      <c r="O313" s="14" t="e">
        <f t="shared" si="13"/>
        <v>#DIV/0!</v>
      </c>
      <c r="P313" s="13"/>
      <c r="Q313" s="10"/>
      <c r="R313" s="10"/>
      <c r="S313" s="10"/>
      <c r="T313" s="11" t="e">
        <f t="shared" si="14"/>
        <v>#DIV/0!</v>
      </c>
      <c r="U313" s="13">
        <v>8</v>
      </c>
      <c r="V313" s="14" t="e">
        <f t="shared" si="15"/>
        <v>#DIV/0!</v>
      </c>
      <c r="W313" s="10"/>
      <c r="X313" s="10"/>
      <c r="Y313" s="10"/>
      <c r="Z313" s="10"/>
      <c r="AA313" s="11"/>
      <c r="AB313" s="13"/>
      <c r="AC313" s="14"/>
      <c r="AD313" s="13"/>
      <c r="AE313" s="14"/>
    </row>
    <row r="314" spans="1:31" x14ac:dyDescent="0.25">
      <c r="A314" s="9"/>
      <c r="B314" s="10"/>
      <c r="C314" s="10"/>
      <c r="D314" s="10"/>
      <c r="E314" s="11" t="e">
        <f t="shared" si="10"/>
        <v>#DIV/0!</v>
      </c>
      <c r="F314" s="13">
        <v>6</v>
      </c>
      <c r="G314" s="14" t="e">
        <f t="shared" si="11"/>
        <v>#DIV/0!</v>
      </c>
      <c r="H314" s="13" t="str">
        <f ca="1">IFERROR(__xludf.DUMMYFUNCTION("IFERROR(
  AVERAGE(
    FILTER(
      $E$2:$E314,
      $A$2:$A314&gt;=A314-30,
      $A$2:$A314&lt;=A314,
      $E$2:$E314&gt;0
    )
  ),
  """"
)"),"")</f>
        <v/>
      </c>
      <c r="I314" s="14"/>
      <c r="J314" s="10"/>
      <c r="K314" s="10"/>
      <c r="L314" s="10"/>
      <c r="M314" s="11" t="e">
        <f t="shared" si="12"/>
        <v>#DIV/0!</v>
      </c>
      <c r="N314" s="13">
        <v>8</v>
      </c>
      <c r="O314" s="14" t="e">
        <f t="shared" si="13"/>
        <v>#DIV/0!</v>
      </c>
      <c r="P314" s="13"/>
      <c r="Q314" s="10"/>
      <c r="R314" s="10"/>
      <c r="S314" s="10"/>
      <c r="T314" s="11" t="e">
        <f t="shared" si="14"/>
        <v>#DIV/0!</v>
      </c>
      <c r="U314" s="13">
        <v>8</v>
      </c>
      <c r="V314" s="14" t="e">
        <f t="shared" si="15"/>
        <v>#DIV/0!</v>
      </c>
      <c r="W314" s="10"/>
      <c r="X314" s="10"/>
      <c r="Y314" s="10"/>
      <c r="Z314" s="10"/>
      <c r="AA314" s="11"/>
      <c r="AB314" s="13"/>
      <c r="AC314" s="14"/>
      <c r="AD314" s="13"/>
      <c r="AE314" s="14"/>
    </row>
    <row r="315" spans="1:31" x14ac:dyDescent="0.25">
      <c r="A315" s="9"/>
      <c r="B315" s="10"/>
      <c r="C315" s="10"/>
      <c r="D315" s="10"/>
      <c r="E315" s="11" t="e">
        <f t="shared" si="10"/>
        <v>#DIV/0!</v>
      </c>
      <c r="F315" s="13">
        <v>6</v>
      </c>
      <c r="G315" s="14" t="e">
        <f t="shared" si="11"/>
        <v>#DIV/0!</v>
      </c>
      <c r="H315" s="13" t="str">
        <f ca="1">IFERROR(__xludf.DUMMYFUNCTION("IFERROR(
  AVERAGE(
    FILTER(
      $E$2:$E315,
      $A$2:$A315&gt;=A315-30,
      $A$2:$A315&lt;=A315,
      $E$2:$E315&gt;0
    )
  ),
  """"
)"),"")</f>
        <v/>
      </c>
      <c r="I315" s="14"/>
      <c r="J315" s="10"/>
      <c r="K315" s="10"/>
      <c r="L315" s="10"/>
      <c r="M315" s="11" t="e">
        <f t="shared" si="12"/>
        <v>#DIV/0!</v>
      </c>
      <c r="N315" s="13">
        <v>8</v>
      </c>
      <c r="O315" s="14" t="e">
        <f t="shared" si="13"/>
        <v>#DIV/0!</v>
      </c>
      <c r="P315" s="13"/>
      <c r="Q315" s="10"/>
      <c r="R315" s="10"/>
      <c r="S315" s="10"/>
      <c r="T315" s="11" t="e">
        <f t="shared" si="14"/>
        <v>#DIV/0!</v>
      </c>
      <c r="U315" s="13">
        <v>8</v>
      </c>
      <c r="V315" s="14" t="e">
        <f t="shared" si="15"/>
        <v>#DIV/0!</v>
      </c>
      <c r="W315" s="10"/>
      <c r="X315" s="10"/>
      <c r="Y315" s="10"/>
      <c r="Z315" s="10"/>
      <c r="AA315" s="11"/>
      <c r="AB315" s="13"/>
      <c r="AC315" s="14"/>
      <c r="AD315" s="13"/>
      <c r="AE315" s="14"/>
    </row>
    <row r="316" spans="1:31" x14ac:dyDescent="0.25">
      <c r="A316" s="9"/>
      <c r="B316" s="10"/>
      <c r="C316" s="10"/>
      <c r="D316" s="10"/>
      <c r="E316" s="11" t="e">
        <f t="shared" si="10"/>
        <v>#DIV/0!</v>
      </c>
      <c r="F316" s="13">
        <v>6</v>
      </c>
      <c r="G316" s="14" t="e">
        <f t="shared" si="11"/>
        <v>#DIV/0!</v>
      </c>
      <c r="H316" s="13" t="str">
        <f ca="1">IFERROR(__xludf.DUMMYFUNCTION("IFERROR(
  AVERAGE(
    FILTER(
      $E$2:$E316,
      $A$2:$A316&gt;=A316-30,
      $A$2:$A316&lt;=A316,
      $E$2:$E316&gt;0
    )
  ),
  """"
)"),"")</f>
        <v/>
      </c>
      <c r="I316" s="14"/>
      <c r="J316" s="10"/>
      <c r="K316" s="10"/>
      <c r="L316" s="10"/>
      <c r="M316" s="11" t="e">
        <f t="shared" si="12"/>
        <v>#DIV/0!</v>
      </c>
      <c r="N316" s="13">
        <v>8</v>
      </c>
      <c r="O316" s="14" t="e">
        <f t="shared" si="13"/>
        <v>#DIV/0!</v>
      </c>
      <c r="P316" s="13"/>
      <c r="Q316" s="10"/>
      <c r="R316" s="10"/>
      <c r="S316" s="10"/>
      <c r="T316" s="11" t="e">
        <f t="shared" si="14"/>
        <v>#DIV/0!</v>
      </c>
      <c r="U316" s="13">
        <v>8</v>
      </c>
      <c r="V316" s="14" t="e">
        <f t="shared" si="15"/>
        <v>#DIV/0!</v>
      </c>
      <c r="W316" s="10"/>
      <c r="X316" s="10"/>
      <c r="Y316" s="10"/>
      <c r="Z316" s="10"/>
      <c r="AA316" s="11"/>
      <c r="AB316" s="13"/>
      <c r="AC316" s="14"/>
      <c r="AD316" s="13"/>
      <c r="AE316" s="14"/>
    </row>
    <row r="317" spans="1:31" x14ac:dyDescent="0.25">
      <c r="A317" s="9"/>
      <c r="B317" s="10"/>
      <c r="C317" s="10"/>
      <c r="D317" s="10"/>
      <c r="E317" s="11" t="e">
        <f t="shared" si="10"/>
        <v>#DIV/0!</v>
      </c>
      <c r="F317" s="13">
        <v>6</v>
      </c>
      <c r="G317" s="14" t="e">
        <f t="shared" si="11"/>
        <v>#DIV/0!</v>
      </c>
      <c r="H317" s="13" t="str">
        <f ca="1">IFERROR(__xludf.DUMMYFUNCTION("IFERROR(
  AVERAGE(
    FILTER(
      $E$2:$E317,
      $A$2:$A317&gt;=A317-30,
      $A$2:$A317&lt;=A317,
      $E$2:$E317&gt;0
    )
  ),
  """"
)"),"")</f>
        <v/>
      </c>
      <c r="I317" s="14"/>
      <c r="J317" s="10"/>
      <c r="K317" s="10"/>
      <c r="L317" s="10"/>
      <c r="M317" s="11" t="e">
        <f t="shared" si="12"/>
        <v>#DIV/0!</v>
      </c>
      <c r="N317" s="13">
        <v>8</v>
      </c>
      <c r="O317" s="14" t="e">
        <f t="shared" si="13"/>
        <v>#DIV/0!</v>
      </c>
      <c r="P317" s="13"/>
      <c r="Q317" s="10"/>
      <c r="R317" s="10"/>
      <c r="S317" s="10"/>
      <c r="T317" s="11" t="e">
        <f t="shared" si="14"/>
        <v>#DIV/0!</v>
      </c>
      <c r="U317" s="13">
        <v>8</v>
      </c>
      <c r="V317" s="14" t="e">
        <f t="shared" si="15"/>
        <v>#DIV/0!</v>
      </c>
      <c r="W317" s="10"/>
      <c r="X317" s="10"/>
      <c r="Y317" s="10"/>
      <c r="Z317" s="10"/>
      <c r="AA317" s="11"/>
      <c r="AB317" s="13"/>
      <c r="AC317" s="14"/>
      <c r="AD317" s="13"/>
      <c r="AE317" s="14"/>
    </row>
    <row r="318" spans="1:31" x14ac:dyDescent="0.25">
      <c r="A318" s="9"/>
      <c r="B318" s="10"/>
      <c r="C318" s="10"/>
      <c r="D318" s="10"/>
      <c r="E318" s="11" t="e">
        <f t="shared" si="10"/>
        <v>#DIV/0!</v>
      </c>
      <c r="F318" s="13">
        <v>6</v>
      </c>
      <c r="G318" s="14" t="e">
        <f t="shared" si="11"/>
        <v>#DIV/0!</v>
      </c>
      <c r="H318" s="13" t="str">
        <f ca="1">IFERROR(__xludf.DUMMYFUNCTION("IFERROR(
  AVERAGE(
    FILTER(
      $E$2:$E318,
      $A$2:$A318&gt;=A318-30,
      $A$2:$A318&lt;=A318,
      $E$2:$E318&gt;0
    )
  ),
  """"
)"),"")</f>
        <v/>
      </c>
      <c r="I318" s="14"/>
      <c r="J318" s="10"/>
      <c r="K318" s="10"/>
      <c r="L318" s="10"/>
      <c r="M318" s="11" t="e">
        <f t="shared" si="12"/>
        <v>#DIV/0!</v>
      </c>
      <c r="N318" s="13">
        <v>8</v>
      </c>
      <c r="O318" s="14" t="e">
        <f t="shared" si="13"/>
        <v>#DIV/0!</v>
      </c>
      <c r="P318" s="13"/>
      <c r="Q318" s="10"/>
      <c r="R318" s="10"/>
      <c r="S318" s="10"/>
      <c r="T318" s="11" t="e">
        <f t="shared" si="14"/>
        <v>#DIV/0!</v>
      </c>
      <c r="U318" s="13">
        <v>8</v>
      </c>
      <c r="V318" s="14" t="e">
        <f t="shared" si="15"/>
        <v>#DIV/0!</v>
      </c>
      <c r="W318" s="10"/>
      <c r="X318" s="10"/>
      <c r="Y318" s="10"/>
      <c r="Z318" s="10"/>
      <c r="AA318" s="11"/>
      <c r="AB318" s="13"/>
      <c r="AC318" s="14"/>
      <c r="AD318" s="13"/>
      <c r="AE318" s="14"/>
    </row>
    <row r="319" spans="1:31" x14ac:dyDescent="0.25">
      <c r="A319" s="9"/>
      <c r="B319" s="10"/>
      <c r="C319" s="10"/>
      <c r="D319" s="10"/>
      <c r="E319" s="11" t="e">
        <f t="shared" si="10"/>
        <v>#DIV/0!</v>
      </c>
      <c r="F319" s="13">
        <v>6</v>
      </c>
      <c r="G319" s="14" t="e">
        <f t="shared" si="11"/>
        <v>#DIV/0!</v>
      </c>
      <c r="H319" s="13" t="str">
        <f ca="1">IFERROR(__xludf.DUMMYFUNCTION("IFERROR(
  AVERAGE(
    FILTER(
      $E$2:$E319,
      $A$2:$A319&gt;=A319-30,
      $A$2:$A319&lt;=A319,
      $E$2:$E319&gt;0
    )
  ),
  """"
)"),"")</f>
        <v/>
      </c>
      <c r="I319" s="14"/>
      <c r="J319" s="10"/>
      <c r="K319" s="10"/>
      <c r="L319" s="10"/>
      <c r="M319" s="11" t="e">
        <f t="shared" si="12"/>
        <v>#DIV/0!</v>
      </c>
      <c r="N319" s="13">
        <v>8</v>
      </c>
      <c r="O319" s="14" t="e">
        <f t="shared" si="13"/>
        <v>#DIV/0!</v>
      </c>
      <c r="P319" s="13"/>
      <c r="Q319" s="10"/>
      <c r="R319" s="10"/>
      <c r="S319" s="10"/>
      <c r="T319" s="11" t="e">
        <f t="shared" si="14"/>
        <v>#DIV/0!</v>
      </c>
      <c r="U319" s="13">
        <v>8</v>
      </c>
      <c r="V319" s="14" t="e">
        <f t="shared" si="15"/>
        <v>#DIV/0!</v>
      </c>
      <c r="W319" s="10"/>
      <c r="X319" s="10"/>
      <c r="Y319" s="10"/>
      <c r="Z319" s="10"/>
      <c r="AA319" s="11"/>
      <c r="AB319" s="13"/>
      <c r="AC319" s="14"/>
      <c r="AD319" s="13"/>
      <c r="AE319" s="14"/>
    </row>
    <row r="320" spans="1:31" x14ac:dyDescent="0.25">
      <c r="A320" s="9"/>
      <c r="B320" s="10"/>
      <c r="C320" s="10"/>
      <c r="D320" s="10"/>
      <c r="E320" s="11" t="e">
        <f t="shared" si="10"/>
        <v>#DIV/0!</v>
      </c>
      <c r="F320" s="13">
        <v>6</v>
      </c>
      <c r="G320" s="14" t="e">
        <f t="shared" si="11"/>
        <v>#DIV/0!</v>
      </c>
      <c r="H320" s="13" t="str">
        <f ca="1">IFERROR(__xludf.DUMMYFUNCTION("IFERROR(
  AVERAGE(
    FILTER(
      $E$2:$E320,
      $A$2:$A320&gt;=A320-30,
      $A$2:$A320&lt;=A320,
      $E$2:$E320&gt;0
    )
  ),
  """"
)"),"")</f>
        <v/>
      </c>
      <c r="I320" s="14"/>
      <c r="J320" s="10"/>
      <c r="K320" s="10"/>
      <c r="L320" s="10"/>
      <c r="M320" s="11" t="e">
        <f t="shared" si="12"/>
        <v>#DIV/0!</v>
      </c>
      <c r="N320" s="13">
        <v>8</v>
      </c>
      <c r="O320" s="14" t="e">
        <f t="shared" si="13"/>
        <v>#DIV/0!</v>
      </c>
      <c r="P320" s="13"/>
      <c r="Q320" s="10"/>
      <c r="R320" s="10"/>
      <c r="S320" s="10"/>
      <c r="T320" s="11" t="e">
        <f t="shared" si="14"/>
        <v>#DIV/0!</v>
      </c>
      <c r="U320" s="13">
        <v>8</v>
      </c>
      <c r="V320" s="14" t="e">
        <f t="shared" si="15"/>
        <v>#DIV/0!</v>
      </c>
      <c r="W320" s="10"/>
      <c r="X320" s="10"/>
      <c r="Y320" s="10"/>
      <c r="Z320" s="10"/>
      <c r="AA320" s="11"/>
      <c r="AB320" s="13"/>
      <c r="AC320" s="14"/>
      <c r="AD320" s="13"/>
      <c r="AE320" s="14"/>
    </row>
    <row r="321" spans="1:31" x14ac:dyDescent="0.25">
      <c r="A321" s="9"/>
      <c r="B321" s="10"/>
      <c r="C321" s="10"/>
      <c r="D321" s="10"/>
      <c r="E321" s="11" t="e">
        <f t="shared" si="10"/>
        <v>#DIV/0!</v>
      </c>
      <c r="F321" s="13">
        <v>6</v>
      </c>
      <c r="G321" s="14" t="e">
        <f t="shared" si="11"/>
        <v>#DIV/0!</v>
      </c>
      <c r="H321" s="13" t="str">
        <f ca="1">IFERROR(__xludf.DUMMYFUNCTION("IFERROR(
  AVERAGE(
    FILTER(
      $E$2:$E321,
      $A$2:$A321&gt;=A321-30,
      $A$2:$A321&lt;=A321,
      $E$2:$E321&gt;0
    )
  ),
  """"
)"),"")</f>
        <v/>
      </c>
      <c r="I321" s="14"/>
      <c r="J321" s="10"/>
      <c r="K321" s="10"/>
      <c r="L321" s="10"/>
      <c r="M321" s="11" t="e">
        <f t="shared" si="12"/>
        <v>#DIV/0!</v>
      </c>
      <c r="N321" s="13">
        <v>8</v>
      </c>
      <c r="O321" s="14" t="e">
        <f t="shared" si="13"/>
        <v>#DIV/0!</v>
      </c>
      <c r="P321" s="13"/>
      <c r="Q321" s="10"/>
      <c r="R321" s="10"/>
      <c r="S321" s="10"/>
      <c r="T321" s="11" t="e">
        <f t="shared" si="14"/>
        <v>#DIV/0!</v>
      </c>
      <c r="U321" s="13">
        <v>8</v>
      </c>
      <c r="V321" s="14" t="e">
        <f t="shared" si="15"/>
        <v>#DIV/0!</v>
      </c>
      <c r="W321" s="10"/>
      <c r="X321" s="10"/>
      <c r="Y321" s="10"/>
      <c r="Z321" s="10"/>
      <c r="AA321" s="11"/>
      <c r="AB321" s="13"/>
      <c r="AC321" s="14"/>
      <c r="AD321" s="13"/>
      <c r="AE321" s="14"/>
    </row>
    <row r="322" spans="1:31" x14ac:dyDescent="0.25">
      <c r="A322" s="9"/>
      <c r="B322" s="10"/>
      <c r="C322" s="10"/>
      <c r="D322" s="10"/>
      <c r="E322" s="11" t="e">
        <f t="shared" si="10"/>
        <v>#DIV/0!</v>
      </c>
      <c r="F322" s="13">
        <v>6</v>
      </c>
      <c r="G322" s="14" t="e">
        <f t="shared" si="11"/>
        <v>#DIV/0!</v>
      </c>
      <c r="H322" s="13" t="str">
        <f ca="1">IFERROR(__xludf.DUMMYFUNCTION("IFERROR(
  AVERAGE(
    FILTER(
      $E$2:$E322,
      $A$2:$A322&gt;=A322-30,
      $A$2:$A322&lt;=A322,
      $E$2:$E322&gt;0
    )
  ),
  """"
)"),"")</f>
        <v/>
      </c>
      <c r="I322" s="14"/>
      <c r="J322" s="10"/>
      <c r="K322" s="10"/>
      <c r="L322" s="10"/>
      <c r="M322" s="11" t="e">
        <f t="shared" si="12"/>
        <v>#DIV/0!</v>
      </c>
      <c r="N322" s="13">
        <v>8</v>
      </c>
      <c r="O322" s="14" t="e">
        <f t="shared" si="13"/>
        <v>#DIV/0!</v>
      </c>
      <c r="P322" s="13"/>
      <c r="Q322" s="10"/>
      <c r="R322" s="10"/>
      <c r="S322" s="10"/>
      <c r="T322" s="11" t="e">
        <f t="shared" si="14"/>
        <v>#DIV/0!</v>
      </c>
      <c r="U322" s="13">
        <v>8</v>
      </c>
      <c r="V322" s="14" t="e">
        <f t="shared" si="15"/>
        <v>#DIV/0!</v>
      </c>
      <c r="W322" s="10"/>
      <c r="X322" s="10"/>
      <c r="Y322" s="10"/>
      <c r="Z322" s="10"/>
      <c r="AA322" s="11"/>
      <c r="AB322" s="13"/>
      <c r="AC322" s="14"/>
      <c r="AD322" s="13"/>
      <c r="AE322" s="14"/>
    </row>
    <row r="323" spans="1:31" x14ac:dyDescent="0.25">
      <c r="A323" s="9"/>
      <c r="B323" s="10"/>
      <c r="C323" s="10"/>
      <c r="D323" s="10"/>
      <c r="E323" s="11" t="e">
        <f t="shared" si="10"/>
        <v>#DIV/0!</v>
      </c>
      <c r="F323" s="13">
        <v>6</v>
      </c>
      <c r="G323" s="14" t="e">
        <f t="shared" si="11"/>
        <v>#DIV/0!</v>
      </c>
      <c r="H323" s="13" t="str">
        <f ca="1">IFERROR(__xludf.DUMMYFUNCTION("IFERROR(
  AVERAGE(
    FILTER(
      $E$2:$E323,
      $A$2:$A323&gt;=A323-30,
      $A$2:$A323&lt;=A323,
      $E$2:$E323&gt;0
    )
  ),
  """"
)"),"")</f>
        <v/>
      </c>
      <c r="I323" s="14"/>
      <c r="J323" s="10"/>
      <c r="K323" s="10"/>
      <c r="L323" s="10"/>
      <c r="M323" s="11" t="e">
        <f t="shared" si="12"/>
        <v>#DIV/0!</v>
      </c>
      <c r="N323" s="13">
        <v>8</v>
      </c>
      <c r="O323" s="14" t="e">
        <f t="shared" si="13"/>
        <v>#DIV/0!</v>
      </c>
      <c r="P323" s="13"/>
      <c r="Q323" s="10"/>
      <c r="R323" s="10"/>
      <c r="S323" s="10"/>
      <c r="T323" s="11" t="e">
        <f t="shared" si="14"/>
        <v>#DIV/0!</v>
      </c>
      <c r="U323" s="13">
        <v>8</v>
      </c>
      <c r="V323" s="14" t="e">
        <f t="shared" si="15"/>
        <v>#DIV/0!</v>
      </c>
      <c r="W323" s="10"/>
      <c r="X323" s="10"/>
      <c r="Y323" s="10"/>
      <c r="Z323" s="10"/>
      <c r="AA323" s="11"/>
      <c r="AB323" s="13"/>
      <c r="AC323" s="14"/>
      <c r="AD323" s="13"/>
      <c r="AE323" s="14"/>
    </row>
    <row r="324" spans="1:31" x14ac:dyDescent="0.25">
      <c r="A324" s="9"/>
      <c r="B324" s="10"/>
      <c r="C324" s="10"/>
      <c r="D324" s="10"/>
      <c r="E324" s="11" t="e">
        <f t="shared" si="10"/>
        <v>#DIV/0!</v>
      </c>
      <c r="F324" s="13">
        <v>6</v>
      </c>
      <c r="G324" s="14" t="e">
        <f t="shared" si="11"/>
        <v>#DIV/0!</v>
      </c>
      <c r="H324" s="13" t="str">
        <f ca="1">IFERROR(__xludf.DUMMYFUNCTION("IFERROR(
  AVERAGE(
    FILTER(
      $E$2:$E324,
      $A$2:$A324&gt;=A324-30,
      $A$2:$A324&lt;=A324,
      $E$2:$E324&gt;0
    )
  ),
  """"
)"),"")</f>
        <v/>
      </c>
      <c r="I324" s="14"/>
      <c r="J324" s="10"/>
      <c r="K324" s="10"/>
      <c r="L324" s="10"/>
      <c r="M324" s="11" t="e">
        <f t="shared" si="12"/>
        <v>#DIV/0!</v>
      </c>
      <c r="N324" s="13">
        <v>8</v>
      </c>
      <c r="O324" s="14" t="e">
        <f t="shared" si="13"/>
        <v>#DIV/0!</v>
      </c>
      <c r="P324" s="13"/>
      <c r="Q324" s="10"/>
      <c r="R324" s="10"/>
      <c r="S324" s="10"/>
      <c r="T324" s="11" t="e">
        <f t="shared" si="14"/>
        <v>#DIV/0!</v>
      </c>
      <c r="U324" s="13">
        <v>8</v>
      </c>
      <c r="V324" s="14" t="e">
        <f t="shared" si="15"/>
        <v>#DIV/0!</v>
      </c>
      <c r="W324" s="10"/>
      <c r="X324" s="10"/>
      <c r="Y324" s="10"/>
      <c r="Z324" s="10"/>
      <c r="AA324" s="11"/>
      <c r="AB324" s="13"/>
      <c r="AC324" s="14"/>
      <c r="AD324" s="13"/>
      <c r="AE324" s="14"/>
    </row>
    <row r="325" spans="1:31" x14ac:dyDescent="0.25">
      <c r="A325" s="9"/>
      <c r="B325" s="10"/>
      <c r="C325" s="10"/>
      <c r="D325" s="10"/>
      <c r="E325" s="11" t="e">
        <f t="shared" si="10"/>
        <v>#DIV/0!</v>
      </c>
      <c r="F325" s="13">
        <v>6</v>
      </c>
      <c r="G325" s="14" t="e">
        <f t="shared" si="11"/>
        <v>#DIV/0!</v>
      </c>
      <c r="H325" s="13" t="str">
        <f ca="1">IFERROR(__xludf.DUMMYFUNCTION("IFERROR(
  AVERAGE(
    FILTER(
      $E$2:$E325,
      $A$2:$A325&gt;=A325-30,
      $A$2:$A325&lt;=A325,
      $E$2:$E325&gt;0
    )
  ),
  """"
)"),"")</f>
        <v/>
      </c>
      <c r="I325" s="14"/>
      <c r="J325" s="10"/>
      <c r="K325" s="10"/>
      <c r="L325" s="10"/>
      <c r="M325" s="11" t="e">
        <f t="shared" si="12"/>
        <v>#DIV/0!</v>
      </c>
      <c r="N325" s="13">
        <v>8</v>
      </c>
      <c r="O325" s="14" t="e">
        <f t="shared" si="13"/>
        <v>#DIV/0!</v>
      </c>
      <c r="P325" s="13"/>
      <c r="Q325" s="10"/>
      <c r="R325" s="10"/>
      <c r="S325" s="10"/>
      <c r="T325" s="11" t="e">
        <f t="shared" si="14"/>
        <v>#DIV/0!</v>
      </c>
      <c r="U325" s="13">
        <v>8</v>
      </c>
      <c r="V325" s="14" t="e">
        <f t="shared" si="15"/>
        <v>#DIV/0!</v>
      </c>
      <c r="W325" s="10"/>
      <c r="X325" s="10"/>
      <c r="Y325" s="10"/>
      <c r="Z325" s="10"/>
      <c r="AA325" s="11"/>
      <c r="AB325" s="13"/>
      <c r="AC325" s="14"/>
      <c r="AD325" s="13"/>
      <c r="AE325" s="14"/>
    </row>
    <row r="326" spans="1:31" x14ac:dyDescent="0.25">
      <c r="A326" s="9"/>
      <c r="B326" s="10"/>
      <c r="C326" s="10"/>
      <c r="D326" s="10"/>
      <c r="E326" s="11" t="e">
        <f t="shared" si="10"/>
        <v>#DIV/0!</v>
      </c>
      <c r="F326" s="13">
        <v>6</v>
      </c>
      <c r="G326" s="14" t="e">
        <f t="shared" si="11"/>
        <v>#DIV/0!</v>
      </c>
      <c r="H326" s="13" t="str">
        <f ca="1">IFERROR(__xludf.DUMMYFUNCTION("IFERROR(
  AVERAGE(
    FILTER(
      $E$2:$E326,
      $A$2:$A326&gt;=A326-30,
      $A$2:$A326&lt;=A326,
      $E$2:$E326&gt;0
    )
  ),
  """"
)"),"")</f>
        <v/>
      </c>
      <c r="I326" s="14"/>
      <c r="J326" s="10"/>
      <c r="K326" s="10"/>
      <c r="L326" s="10"/>
      <c r="M326" s="11" t="e">
        <f t="shared" si="12"/>
        <v>#DIV/0!</v>
      </c>
      <c r="N326" s="13">
        <v>8</v>
      </c>
      <c r="O326" s="14" t="e">
        <f t="shared" si="13"/>
        <v>#DIV/0!</v>
      </c>
      <c r="P326" s="13"/>
      <c r="Q326" s="10"/>
      <c r="R326" s="10"/>
      <c r="S326" s="10"/>
      <c r="T326" s="11" t="e">
        <f t="shared" si="14"/>
        <v>#DIV/0!</v>
      </c>
      <c r="U326" s="13">
        <v>8</v>
      </c>
      <c r="V326" s="14" t="e">
        <f t="shared" si="15"/>
        <v>#DIV/0!</v>
      </c>
      <c r="W326" s="10"/>
      <c r="X326" s="10"/>
      <c r="Y326" s="10"/>
      <c r="Z326" s="10"/>
      <c r="AA326" s="11"/>
      <c r="AB326" s="13"/>
      <c r="AC326" s="14"/>
      <c r="AD326" s="13"/>
      <c r="AE326" s="14"/>
    </row>
    <row r="327" spans="1:31" x14ac:dyDescent="0.25">
      <c r="A327" s="9"/>
      <c r="B327" s="10"/>
      <c r="C327" s="10"/>
      <c r="D327" s="10"/>
      <c r="E327" s="11" t="e">
        <f t="shared" si="10"/>
        <v>#DIV/0!</v>
      </c>
      <c r="F327" s="13">
        <v>6</v>
      </c>
      <c r="G327" s="14" t="e">
        <f t="shared" si="11"/>
        <v>#DIV/0!</v>
      </c>
      <c r="H327" s="13" t="str">
        <f ca="1">IFERROR(__xludf.DUMMYFUNCTION("IFERROR(
  AVERAGE(
    FILTER(
      $E$2:$E327,
      $A$2:$A327&gt;=A327-30,
      $A$2:$A327&lt;=A327,
      $E$2:$E327&gt;0
    )
  ),
  """"
)"),"")</f>
        <v/>
      </c>
      <c r="I327" s="14"/>
      <c r="J327" s="10"/>
      <c r="K327" s="10"/>
      <c r="L327" s="10"/>
      <c r="M327" s="11" t="e">
        <f t="shared" si="12"/>
        <v>#DIV/0!</v>
      </c>
      <c r="N327" s="13">
        <v>8</v>
      </c>
      <c r="O327" s="14" t="e">
        <f t="shared" si="13"/>
        <v>#DIV/0!</v>
      </c>
      <c r="P327" s="13"/>
      <c r="Q327" s="10"/>
      <c r="R327" s="10"/>
      <c r="S327" s="10"/>
      <c r="T327" s="11" t="e">
        <f t="shared" si="14"/>
        <v>#DIV/0!</v>
      </c>
      <c r="U327" s="13">
        <v>8</v>
      </c>
      <c r="V327" s="14" t="e">
        <f t="shared" si="15"/>
        <v>#DIV/0!</v>
      </c>
      <c r="W327" s="10"/>
      <c r="X327" s="10"/>
      <c r="Y327" s="10"/>
      <c r="Z327" s="10"/>
      <c r="AA327" s="11"/>
      <c r="AB327" s="13"/>
      <c r="AC327" s="14"/>
      <c r="AD327" s="13"/>
      <c r="AE327" s="14"/>
    </row>
    <row r="328" spans="1:31" x14ac:dyDescent="0.25">
      <c r="A328" s="9"/>
      <c r="B328" s="10"/>
      <c r="C328" s="10"/>
      <c r="D328" s="10"/>
      <c r="E328" s="11" t="e">
        <f t="shared" si="10"/>
        <v>#DIV/0!</v>
      </c>
      <c r="F328" s="13">
        <v>6</v>
      </c>
      <c r="G328" s="14" t="e">
        <f t="shared" si="11"/>
        <v>#DIV/0!</v>
      </c>
      <c r="H328" s="13" t="str">
        <f ca="1">IFERROR(__xludf.DUMMYFUNCTION("IFERROR(
  AVERAGE(
    FILTER(
      $E$2:$E328,
      $A$2:$A328&gt;=A328-30,
      $A$2:$A328&lt;=A328,
      $E$2:$E328&gt;0
    )
  ),
  """"
)"),"")</f>
        <v/>
      </c>
      <c r="I328" s="14"/>
      <c r="J328" s="10"/>
      <c r="K328" s="10"/>
      <c r="L328" s="10"/>
      <c r="M328" s="11" t="e">
        <f t="shared" si="12"/>
        <v>#DIV/0!</v>
      </c>
      <c r="N328" s="13">
        <v>8</v>
      </c>
      <c r="O328" s="14" t="e">
        <f t="shared" si="13"/>
        <v>#DIV/0!</v>
      </c>
      <c r="P328" s="13"/>
      <c r="Q328" s="10"/>
      <c r="R328" s="10"/>
      <c r="S328" s="10"/>
      <c r="T328" s="11" t="e">
        <f t="shared" si="14"/>
        <v>#DIV/0!</v>
      </c>
      <c r="U328" s="13">
        <v>8</v>
      </c>
      <c r="V328" s="14" t="e">
        <f t="shared" si="15"/>
        <v>#DIV/0!</v>
      </c>
      <c r="W328" s="10"/>
      <c r="X328" s="10"/>
      <c r="Y328" s="10"/>
      <c r="Z328" s="10"/>
      <c r="AA328" s="11"/>
      <c r="AB328" s="13"/>
      <c r="AC328" s="14"/>
      <c r="AD328" s="13"/>
      <c r="AE328" s="14"/>
    </row>
    <row r="329" spans="1:31" x14ac:dyDescent="0.25">
      <c r="A329" s="9"/>
      <c r="B329" s="10"/>
      <c r="C329" s="10"/>
      <c r="D329" s="10"/>
      <c r="E329" s="11" t="e">
        <f t="shared" si="10"/>
        <v>#DIV/0!</v>
      </c>
      <c r="F329" s="13">
        <v>6</v>
      </c>
      <c r="G329" s="14" t="e">
        <f t="shared" si="11"/>
        <v>#DIV/0!</v>
      </c>
      <c r="H329" s="13" t="str">
        <f ca="1">IFERROR(__xludf.DUMMYFUNCTION("IFERROR(
  AVERAGE(
    FILTER(
      $E$2:$E329,
      $A$2:$A329&gt;=A329-30,
      $A$2:$A329&lt;=A329,
      $E$2:$E329&gt;0
    )
  ),
  """"
)"),"")</f>
        <v/>
      </c>
      <c r="I329" s="14"/>
      <c r="J329" s="10"/>
      <c r="K329" s="10"/>
      <c r="L329" s="10"/>
      <c r="M329" s="11" t="e">
        <f t="shared" si="12"/>
        <v>#DIV/0!</v>
      </c>
      <c r="N329" s="13">
        <v>8</v>
      </c>
      <c r="O329" s="14" t="e">
        <f t="shared" si="13"/>
        <v>#DIV/0!</v>
      </c>
      <c r="P329" s="13"/>
      <c r="Q329" s="10"/>
      <c r="R329" s="10"/>
      <c r="S329" s="10"/>
      <c r="T329" s="11" t="e">
        <f t="shared" si="14"/>
        <v>#DIV/0!</v>
      </c>
      <c r="U329" s="13">
        <v>8</v>
      </c>
      <c r="V329" s="14" t="e">
        <f t="shared" si="15"/>
        <v>#DIV/0!</v>
      </c>
      <c r="W329" s="10"/>
      <c r="X329" s="10"/>
      <c r="Y329" s="10"/>
      <c r="Z329" s="10"/>
      <c r="AA329" s="11"/>
      <c r="AB329" s="13"/>
      <c r="AC329" s="14"/>
      <c r="AD329" s="13"/>
      <c r="AE329" s="14"/>
    </row>
    <row r="330" spans="1:31" x14ac:dyDescent="0.25">
      <c r="A330" s="9"/>
      <c r="B330" s="10"/>
      <c r="C330" s="10"/>
      <c r="D330" s="10"/>
      <c r="E330" s="11" t="e">
        <f t="shared" si="10"/>
        <v>#DIV/0!</v>
      </c>
      <c r="F330" s="13">
        <v>6</v>
      </c>
      <c r="G330" s="14" t="e">
        <f t="shared" si="11"/>
        <v>#DIV/0!</v>
      </c>
      <c r="H330" s="13" t="str">
        <f ca="1">IFERROR(__xludf.DUMMYFUNCTION("IFERROR(
  AVERAGE(
    FILTER(
      $E$2:$E330,
      $A$2:$A330&gt;=A330-30,
      $A$2:$A330&lt;=A330,
      $E$2:$E330&gt;0
    )
  ),
  """"
)"),"")</f>
        <v/>
      </c>
      <c r="I330" s="14"/>
      <c r="J330" s="10"/>
      <c r="K330" s="10"/>
      <c r="L330" s="10"/>
      <c r="M330" s="11" t="e">
        <f t="shared" si="12"/>
        <v>#DIV/0!</v>
      </c>
      <c r="N330" s="13">
        <v>8</v>
      </c>
      <c r="O330" s="14" t="e">
        <f t="shared" si="13"/>
        <v>#DIV/0!</v>
      </c>
      <c r="P330" s="13"/>
      <c r="Q330" s="10"/>
      <c r="R330" s="10"/>
      <c r="S330" s="10"/>
      <c r="T330" s="11" t="e">
        <f t="shared" si="14"/>
        <v>#DIV/0!</v>
      </c>
      <c r="U330" s="13">
        <v>8</v>
      </c>
      <c r="V330" s="14" t="e">
        <f t="shared" si="15"/>
        <v>#DIV/0!</v>
      </c>
      <c r="W330" s="10"/>
      <c r="X330" s="10"/>
      <c r="Y330" s="10"/>
      <c r="Z330" s="10"/>
      <c r="AA330" s="11"/>
      <c r="AB330" s="13"/>
      <c r="AC330" s="14"/>
      <c r="AD330" s="13"/>
      <c r="AE330" s="14"/>
    </row>
    <row r="331" spans="1:31" x14ac:dyDescent="0.25">
      <c r="A331" s="9"/>
      <c r="B331" s="10"/>
      <c r="C331" s="10"/>
      <c r="D331" s="10"/>
      <c r="E331" s="11" t="e">
        <f t="shared" si="10"/>
        <v>#DIV/0!</v>
      </c>
      <c r="F331" s="13">
        <v>6</v>
      </c>
      <c r="G331" s="14" t="e">
        <f t="shared" si="11"/>
        <v>#DIV/0!</v>
      </c>
      <c r="H331" s="13" t="str">
        <f ca="1">IFERROR(__xludf.DUMMYFUNCTION("IFERROR(
  AVERAGE(
    FILTER(
      $E$2:$E331,
      $A$2:$A331&gt;=A331-30,
      $A$2:$A331&lt;=A331,
      $E$2:$E331&gt;0
    )
  ),
  """"
)"),"")</f>
        <v/>
      </c>
      <c r="I331" s="14"/>
      <c r="J331" s="10"/>
      <c r="K331" s="10"/>
      <c r="L331" s="10"/>
      <c r="M331" s="11" t="e">
        <f t="shared" si="12"/>
        <v>#DIV/0!</v>
      </c>
      <c r="N331" s="13">
        <v>8</v>
      </c>
      <c r="O331" s="14" t="e">
        <f t="shared" si="13"/>
        <v>#DIV/0!</v>
      </c>
      <c r="P331" s="13"/>
      <c r="Q331" s="10"/>
      <c r="R331" s="10"/>
      <c r="S331" s="10"/>
      <c r="T331" s="11" t="e">
        <f t="shared" si="14"/>
        <v>#DIV/0!</v>
      </c>
      <c r="U331" s="13">
        <v>8</v>
      </c>
      <c r="V331" s="14" t="e">
        <f t="shared" si="15"/>
        <v>#DIV/0!</v>
      </c>
      <c r="W331" s="10"/>
      <c r="X331" s="10"/>
      <c r="Y331" s="10"/>
      <c r="Z331" s="10"/>
      <c r="AA331" s="11"/>
      <c r="AB331" s="13"/>
      <c r="AC331" s="14"/>
      <c r="AD331" s="13"/>
      <c r="AE331" s="14"/>
    </row>
    <row r="332" spans="1:31" x14ac:dyDescent="0.25">
      <c r="A332" s="9"/>
      <c r="B332" s="10"/>
      <c r="C332" s="10"/>
      <c r="D332" s="10"/>
      <c r="E332" s="11" t="e">
        <f t="shared" si="10"/>
        <v>#DIV/0!</v>
      </c>
      <c r="F332" s="13">
        <v>6</v>
      </c>
      <c r="G332" s="14" t="e">
        <f t="shared" si="11"/>
        <v>#DIV/0!</v>
      </c>
      <c r="H332" s="13" t="str">
        <f ca="1">IFERROR(__xludf.DUMMYFUNCTION("IFERROR(
  AVERAGE(
    FILTER(
      $E$2:$E332,
      $A$2:$A332&gt;=A332-30,
      $A$2:$A332&lt;=A332,
      $E$2:$E332&gt;0
    )
  ),
  """"
)"),"")</f>
        <v/>
      </c>
      <c r="I332" s="14"/>
      <c r="J332" s="10"/>
      <c r="K332" s="10"/>
      <c r="L332" s="10"/>
      <c r="M332" s="11" t="e">
        <f t="shared" si="12"/>
        <v>#DIV/0!</v>
      </c>
      <c r="N332" s="13">
        <v>8</v>
      </c>
      <c r="O332" s="14" t="e">
        <f t="shared" si="13"/>
        <v>#DIV/0!</v>
      </c>
      <c r="P332" s="13"/>
      <c r="Q332" s="10"/>
      <c r="R332" s="10"/>
      <c r="S332" s="10"/>
      <c r="T332" s="11" t="e">
        <f t="shared" si="14"/>
        <v>#DIV/0!</v>
      </c>
      <c r="U332" s="13">
        <v>8</v>
      </c>
      <c r="V332" s="14" t="e">
        <f t="shared" si="15"/>
        <v>#DIV/0!</v>
      </c>
      <c r="W332" s="10"/>
      <c r="X332" s="10"/>
      <c r="Y332" s="10"/>
      <c r="Z332" s="10"/>
      <c r="AA332" s="11"/>
      <c r="AB332" s="13"/>
      <c r="AC332" s="14"/>
      <c r="AD332" s="13"/>
      <c r="AE332" s="14"/>
    </row>
    <row r="333" spans="1:31" x14ac:dyDescent="0.25">
      <c r="A333" s="9"/>
      <c r="B333" s="10"/>
      <c r="C333" s="10"/>
      <c r="D333" s="10"/>
      <c r="E333" s="11" t="e">
        <f t="shared" si="10"/>
        <v>#DIV/0!</v>
      </c>
      <c r="F333" s="13">
        <v>6</v>
      </c>
      <c r="G333" s="14" t="e">
        <f t="shared" si="11"/>
        <v>#DIV/0!</v>
      </c>
      <c r="H333" s="13" t="str">
        <f ca="1">IFERROR(__xludf.DUMMYFUNCTION("IFERROR(
  AVERAGE(
    FILTER(
      $E$2:$E333,
      $A$2:$A333&gt;=A333-30,
      $A$2:$A333&lt;=A333,
      $E$2:$E333&gt;0
    )
  ),
  """"
)"),"")</f>
        <v/>
      </c>
      <c r="I333" s="14"/>
      <c r="J333" s="10"/>
      <c r="K333" s="10"/>
      <c r="L333" s="10"/>
      <c r="M333" s="11" t="e">
        <f t="shared" si="12"/>
        <v>#DIV/0!</v>
      </c>
      <c r="N333" s="13">
        <v>8</v>
      </c>
      <c r="O333" s="14" t="e">
        <f t="shared" si="13"/>
        <v>#DIV/0!</v>
      </c>
      <c r="P333" s="13"/>
      <c r="Q333" s="10"/>
      <c r="R333" s="10"/>
      <c r="S333" s="10"/>
      <c r="T333" s="11" t="e">
        <f t="shared" si="14"/>
        <v>#DIV/0!</v>
      </c>
      <c r="U333" s="13">
        <v>8</v>
      </c>
      <c r="V333" s="14" t="e">
        <f t="shared" si="15"/>
        <v>#DIV/0!</v>
      </c>
      <c r="W333" s="10"/>
      <c r="X333" s="10"/>
      <c r="Y333" s="10"/>
      <c r="Z333" s="10"/>
      <c r="AA333" s="11"/>
      <c r="AB333" s="13"/>
      <c r="AC333" s="14"/>
      <c r="AD333" s="13"/>
      <c r="AE333" s="14"/>
    </row>
    <row r="334" spans="1:31" x14ac:dyDescent="0.25">
      <c r="A334" s="9"/>
      <c r="B334" s="10"/>
      <c r="C334" s="10"/>
      <c r="D334" s="10"/>
      <c r="E334" s="11" t="e">
        <f t="shared" si="10"/>
        <v>#DIV/0!</v>
      </c>
      <c r="F334" s="13">
        <v>6</v>
      </c>
      <c r="G334" s="14" t="e">
        <f t="shared" si="11"/>
        <v>#DIV/0!</v>
      </c>
      <c r="H334" s="13" t="str">
        <f ca="1">IFERROR(__xludf.DUMMYFUNCTION("IFERROR(
  AVERAGE(
    FILTER(
      $E$2:$E334,
      $A$2:$A334&gt;=A334-30,
      $A$2:$A334&lt;=A334,
      $E$2:$E334&gt;0
    )
  ),
  """"
)"),"")</f>
        <v/>
      </c>
      <c r="I334" s="14"/>
      <c r="J334" s="10"/>
      <c r="K334" s="10"/>
      <c r="L334" s="10"/>
      <c r="M334" s="11" t="e">
        <f t="shared" si="12"/>
        <v>#DIV/0!</v>
      </c>
      <c r="N334" s="13">
        <v>8</v>
      </c>
      <c r="O334" s="14" t="e">
        <f t="shared" si="13"/>
        <v>#DIV/0!</v>
      </c>
      <c r="P334" s="13"/>
      <c r="Q334" s="10"/>
      <c r="R334" s="10"/>
      <c r="S334" s="10"/>
      <c r="T334" s="11" t="e">
        <f t="shared" si="14"/>
        <v>#DIV/0!</v>
      </c>
      <c r="U334" s="13">
        <v>8</v>
      </c>
      <c r="V334" s="14" t="e">
        <f t="shared" si="15"/>
        <v>#DIV/0!</v>
      </c>
      <c r="W334" s="10"/>
      <c r="X334" s="10"/>
      <c r="Y334" s="10"/>
      <c r="Z334" s="10"/>
      <c r="AA334" s="11"/>
      <c r="AB334" s="13"/>
      <c r="AC334" s="14"/>
      <c r="AD334" s="13"/>
      <c r="AE334" s="14"/>
    </row>
    <row r="335" spans="1:31" x14ac:dyDescent="0.25">
      <c r="A335" s="9"/>
      <c r="B335" s="10"/>
      <c r="C335" s="10"/>
      <c r="D335" s="10"/>
      <c r="E335" s="11" t="e">
        <f t="shared" si="10"/>
        <v>#DIV/0!</v>
      </c>
      <c r="F335" s="13">
        <v>6</v>
      </c>
      <c r="G335" s="14" t="e">
        <f t="shared" si="11"/>
        <v>#DIV/0!</v>
      </c>
      <c r="H335" s="13" t="str">
        <f ca="1">IFERROR(__xludf.DUMMYFUNCTION("IFERROR(
  AVERAGE(
    FILTER(
      $E$2:$E335,
      $A$2:$A335&gt;=A335-30,
      $A$2:$A335&lt;=A335,
      $E$2:$E335&gt;0
    )
  ),
  """"
)"),"")</f>
        <v/>
      </c>
      <c r="I335" s="14"/>
      <c r="J335" s="10"/>
      <c r="K335" s="10"/>
      <c r="L335" s="10"/>
      <c r="M335" s="11" t="e">
        <f t="shared" si="12"/>
        <v>#DIV/0!</v>
      </c>
      <c r="N335" s="13">
        <v>8</v>
      </c>
      <c r="O335" s="14" t="e">
        <f t="shared" si="13"/>
        <v>#DIV/0!</v>
      </c>
      <c r="P335" s="13"/>
      <c r="Q335" s="10"/>
      <c r="R335" s="10"/>
      <c r="S335" s="10"/>
      <c r="T335" s="11" t="e">
        <f t="shared" si="14"/>
        <v>#DIV/0!</v>
      </c>
      <c r="U335" s="13">
        <v>8</v>
      </c>
      <c r="V335" s="14" t="e">
        <f t="shared" si="15"/>
        <v>#DIV/0!</v>
      </c>
      <c r="W335" s="10"/>
      <c r="X335" s="10"/>
      <c r="Y335" s="10"/>
      <c r="Z335" s="10"/>
      <c r="AA335" s="11"/>
      <c r="AB335" s="13"/>
      <c r="AC335" s="14"/>
      <c r="AD335" s="13"/>
      <c r="AE335" s="14"/>
    </row>
    <row r="336" spans="1:31" x14ac:dyDescent="0.25">
      <c r="A336" s="9"/>
      <c r="B336" s="10"/>
      <c r="C336" s="10"/>
      <c r="D336" s="10"/>
      <c r="E336" s="11" t="e">
        <f t="shared" si="10"/>
        <v>#DIV/0!</v>
      </c>
      <c r="F336" s="13">
        <v>6</v>
      </c>
      <c r="G336" s="14" t="e">
        <f t="shared" si="11"/>
        <v>#DIV/0!</v>
      </c>
      <c r="H336" s="13" t="str">
        <f ca="1">IFERROR(__xludf.DUMMYFUNCTION("IFERROR(
  AVERAGE(
    FILTER(
      $E$2:$E336,
      $A$2:$A336&gt;=A336-30,
      $A$2:$A336&lt;=A336,
      $E$2:$E336&gt;0
    )
  ),
  """"
)"),"")</f>
        <v/>
      </c>
      <c r="I336" s="14"/>
      <c r="J336" s="10"/>
      <c r="K336" s="10"/>
      <c r="L336" s="10"/>
      <c r="M336" s="11" t="e">
        <f t="shared" si="12"/>
        <v>#DIV/0!</v>
      </c>
      <c r="N336" s="13">
        <v>8</v>
      </c>
      <c r="O336" s="14" t="e">
        <f t="shared" si="13"/>
        <v>#DIV/0!</v>
      </c>
      <c r="P336" s="13"/>
      <c r="Q336" s="10"/>
      <c r="R336" s="10"/>
      <c r="S336" s="10"/>
      <c r="T336" s="11" t="e">
        <f t="shared" si="14"/>
        <v>#DIV/0!</v>
      </c>
      <c r="U336" s="13">
        <v>8</v>
      </c>
      <c r="V336" s="14" t="e">
        <f t="shared" si="15"/>
        <v>#DIV/0!</v>
      </c>
      <c r="W336" s="10"/>
      <c r="X336" s="10"/>
      <c r="Y336" s="10"/>
      <c r="Z336" s="10"/>
      <c r="AA336" s="11"/>
      <c r="AB336" s="13"/>
      <c r="AC336" s="14"/>
      <c r="AD336" s="13"/>
      <c r="AE336" s="14"/>
    </row>
    <row r="337" spans="1:31" x14ac:dyDescent="0.25">
      <c r="A337" s="9"/>
      <c r="B337" s="10"/>
      <c r="C337" s="10"/>
      <c r="D337" s="10"/>
      <c r="E337" s="11" t="e">
        <f t="shared" si="10"/>
        <v>#DIV/0!</v>
      </c>
      <c r="F337" s="13">
        <v>6</v>
      </c>
      <c r="G337" s="14" t="e">
        <f t="shared" si="11"/>
        <v>#DIV/0!</v>
      </c>
      <c r="H337" s="13" t="str">
        <f ca="1">IFERROR(__xludf.DUMMYFUNCTION("IFERROR(
  AVERAGE(
    FILTER(
      $E$2:$E337,
      $A$2:$A337&gt;=A337-30,
      $A$2:$A337&lt;=A337,
      $E$2:$E337&gt;0
    )
  ),
  """"
)"),"")</f>
        <v/>
      </c>
      <c r="I337" s="14"/>
      <c r="J337" s="10"/>
      <c r="K337" s="10"/>
      <c r="L337" s="10"/>
      <c r="M337" s="11" t="e">
        <f t="shared" si="12"/>
        <v>#DIV/0!</v>
      </c>
      <c r="N337" s="13">
        <v>8</v>
      </c>
      <c r="O337" s="14" t="e">
        <f t="shared" si="13"/>
        <v>#DIV/0!</v>
      </c>
      <c r="P337" s="13"/>
      <c r="Q337" s="10"/>
      <c r="R337" s="10"/>
      <c r="S337" s="10"/>
      <c r="T337" s="11" t="e">
        <f t="shared" si="14"/>
        <v>#DIV/0!</v>
      </c>
      <c r="U337" s="13">
        <v>8</v>
      </c>
      <c r="V337" s="14" t="e">
        <f t="shared" si="15"/>
        <v>#DIV/0!</v>
      </c>
      <c r="W337" s="10"/>
      <c r="X337" s="10"/>
      <c r="Y337" s="10"/>
      <c r="Z337" s="10"/>
      <c r="AA337" s="11"/>
      <c r="AB337" s="13"/>
      <c r="AC337" s="14"/>
      <c r="AD337" s="13"/>
      <c r="AE337" s="14"/>
    </row>
    <row r="338" spans="1:31" x14ac:dyDescent="0.25">
      <c r="A338" s="9"/>
      <c r="B338" s="10"/>
      <c r="C338" s="10"/>
      <c r="D338" s="10"/>
      <c r="E338" s="11" t="e">
        <f t="shared" si="10"/>
        <v>#DIV/0!</v>
      </c>
      <c r="F338" s="13">
        <v>6</v>
      </c>
      <c r="G338" s="14" t="e">
        <f t="shared" si="11"/>
        <v>#DIV/0!</v>
      </c>
      <c r="H338" s="13" t="str">
        <f ca="1">IFERROR(__xludf.DUMMYFUNCTION("IFERROR(
  AVERAGE(
    FILTER(
      $E$2:$E338,
      $A$2:$A338&gt;=A338-30,
      $A$2:$A338&lt;=A338,
      $E$2:$E338&gt;0
    )
  ),
  """"
)"),"")</f>
        <v/>
      </c>
      <c r="I338" s="14"/>
      <c r="J338" s="10"/>
      <c r="K338" s="10"/>
      <c r="L338" s="10"/>
      <c r="M338" s="11" t="e">
        <f t="shared" si="12"/>
        <v>#DIV/0!</v>
      </c>
      <c r="N338" s="13">
        <v>8</v>
      </c>
      <c r="O338" s="14" t="e">
        <f t="shared" si="13"/>
        <v>#DIV/0!</v>
      </c>
      <c r="P338" s="13"/>
      <c r="Q338" s="10"/>
      <c r="R338" s="10"/>
      <c r="S338" s="10"/>
      <c r="T338" s="11" t="e">
        <f t="shared" si="14"/>
        <v>#DIV/0!</v>
      </c>
      <c r="U338" s="13">
        <v>8</v>
      </c>
      <c r="V338" s="14" t="e">
        <f t="shared" si="15"/>
        <v>#DIV/0!</v>
      </c>
      <c r="W338" s="10"/>
      <c r="X338" s="10"/>
      <c r="Y338" s="10"/>
      <c r="Z338" s="10"/>
      <c r="AA338" s="11"/>
      <c r="AB338" s="13"/>
      <c r="AC338" s="14"/>
      <c r="AD338" s="13"/>
      <c r="AE338" s="14"/>
    </row>
    <row r="339" spans="1:31" x14ac:dyDescent="0.25">
      <c r="A339" s="9"/>
      <c r="B339" s="10"/>
      <c r="C339" s="10"/>
      <c r="D339" s="10"/>
      <c r="E339" s="11" t="e">
        <f t="shared" si="10"/>
        <v>#DIV/0!</v>
      </c>
      <c r="F339" s="13">
        <v>6</v>
      </c>
      <c r="G339" s="14" t="e">
        <f t="shared" si="11"/>
        <v>#DIV/0!</v>
      </c>
      <c r="H339" s="13" t="str">
        <f ca="1">IFERROR(__xludf.DUMMYFUNCTION("IFERROR(
  AVERAGE(
    FILTER(
      $E$2:$E339,
      $A$2:$A339&gt;=A339-30,
      $A$2:$A339&lt;=A339,
      $E$2:$E339&gt;0
    )
  ),
  """"
)"),"")</f>
        <v/>
      </c>
      <c r="I339" s="14"/>
      <c r="J339" s="10"/>
      <c r="K339" s="10"/>
      <c r="L339" s="10"/>
      <c r="M339" s="11" t="e">
        <f t="shared" si="12"/>
        <v>#DIV/0!</v>
      </c>
      <c r="N339" s="13">
        <v>8</v>
      </c>
      <c r="O339" s="14" t="e">
        <f t="shared" si="13"/>
        <v>#DIV/0!</v>
      </c>
      <c r="P339" s="13"/>
      <c r="Q339" s="10"/>
      <c r="R339" s="10"/>
      <c r="S339" s="10"/>
      <c r="T339" s="11" t="e">
        <f t="shared" si="14"/>
        <v>#DIV/0!</v>
      </c>
      <c r="U339" s="13">
        <v>8</v>
      </c>
      <c r="V339" s="14" t="e">
        <f t="shared" si="15"/>
        <v>#DIV/0!</v>
      </c>
      <c r="W339" s="10"/>
      <c r="X339" s="10"/>
      <c r="Y339" s="10"/>
      <c r="Z339" s="10"/>
      <c r="AA339" s="11"/>
      <c r="AB339" s="13"/>
      <c r="AC339" s="14"/>
      <c r="AD339" s="13"/>
      <c r="AE339" s="14"/>
    </row>
    <row r="340" spans="1:31" x14ac:dyDescent="0.25">
      <c r="A340" s="9"/>
      <c r="B340" s="10"/>
      <c r="C340" s="10"/>
      <c r="D340" s="10"/>
      <c r="E340" s="11" t="e">
        <f t="shared" si="10"/>
        <v>#DIV/0!</v>
      </c>
      <c r="F340" s="13">
        <v>6</v>
      </c>
      <c r="G340" s="14" t="e">
        <f t="shared" si="11"/>
        <v>#DIV/0!</v>
      </c>
      <c r="H340" s="13" t="str">
        <f ca="1">IFERROR(__xludf.DUMMYFUNCTION("IFERROR(
  AVERAGE(
    FILTER(
      $E$2:$E340,
      $A$2:$A340&gt;=A340-30,
      $A$2:$A340&lt;=A340,
      $E$2:$E340&gt;0
    )
  ),
  """"
)"),"")</f>
        <v/>
      </c>
      <c r="I340" s="14"/>
      <c r="J340" s="10"/>
      <c r="K340" s="10"/>
      <c r="L340" s="10"/>
      <c r="M340" s="11" t="e">
        <f t="shared" si="12"/>
        <v>#DIV/0!</v>
      </c>
      <c r="N340" s="13">
        <v>8</v>
      </c>
      <c r="O340" s="14" t="e">
        <f t="shared" si="13"/>
        <v>#DIV/0!</v>
      </c>
      <c r="P340" s="13"/>
      <c r="Q340" s="10"/>
      <c r="R340" s="10"/>
      <c r="S340" s="10"/>
      <c r="T340" s="11" t="e">
        <f t="shared" si="14"/>
        <v>#DIV/0!</v>
      </c>
      <c r="U340" s="13">
        <v>8</v>
      </c>
      <c r="V340" s="14" t="e">
        <f t="shared" si="15"/>
        <v>#DIV/0!</v>
      </c>
      <c r="W340" s="10"/>
      <c r="X340" s="10"/>
      <c r="Y340" s="10"/>
      <c r="Z340" s="10"/>
      <c r="AA340" s="11"/>
      <c r="AB340" s="13"/>
      <c r="AC340" s="14"/>
      <c r="AD340" s="13"/>
      <c r="AE340" s="14"/>
    </row>
    <row r="341" spans="1:31" x14ac:dyDescent="0.25">
      <c r="A341" s="9"/>
      <c r="B341" s="10"/>
      <c r="C341" s="10"/>
      <c r="D341" s="10"/>
      <c r="E341" s="11" t="e">
        <f t="shared" si="10"/>
        <v>#DIV/0!</v>
      </c>
      <c r="F341" s="13">
        <v>6</v>
      </c>
      <c r="G341" s="14" t="e">
        <f t="shared" si="11"/>
        <v>#DIV/0!</v>
      </c>
      <c r="H341" s="13" t="str">
        <f ca="1">IFERROR(__xludf.DUMMYFUNCTION("IFERROR(
  AVERAGE(
    FILTER(
      $E$2:$E341,
      $A$2:$A341&gt;=A341-30,
      $A$2:$A341&lt;=A341,
      $E$2:$E341&gt;0
    )
  ),
  """"
)"),"")</f>
        <v/>
      </c>
      <c r="I341" s="14"/>
      <c r="J341" s="10"/>
      <c r="K341" s="10"/>
      <c r="L341" s="10"/>
      <c r="M341" s="11" t="e">
        <f t="shared" si="12"/>
        <v>#DIV/0!</v>
      </c>
      <c r="N341" s="13">
        <v>8</v>
      </c>
      <c r="O341" s="14" t="e">
        <f t="shared" si="13"/>
        <v>#DIV/0!</v>
      </c>
      <c r="P341" s="13"/>
      <c r="Q341" s="10"/>
      <c r="R341" s="10"/>
      <c r="S341" s="10"/>
      <c r="T341" s="11" t="e">
        <f t="shared" si="14"/>
        <v>#DIV/0!</v>
      </c>
      <c r="U341" s="13">
        <v>8</v>
      </c>
      <c r="V341" s="14" t="e">
        <f t="shared" si="15"/>
        <v>#DIV/0!</v>
      </c>
      <c r="W341" s="10"/>
      <c r="X341" s="10"/>
      <c r="Y341" s="10"/>
      <c r="Z341" s="10"/>
      <c r="AA341" s="11"/>
      <c r="AB341" s="13"/>
      <c r="AC341" s="14"/>
      <c r="AD341" s="13"/>
      <c r="AE341" s="14"/>
    </row>
    <row r="342" spans="1:31" x14ac:dyDescent="0.25">
      <c r="A342" s="9"/>
      <c r="B342" s="10"/>
      <c r="C342" s="10"/>
      <c r="D342" s="10"/>
      <c r="E342" s="11" t="e">
        <f t="shared" si="10"/>
        <v>#DIV/0!</v>
      </c>
      <c r="F342" s="13">
        <v>6</v>
      </c>
      <c r="G342" s="14" t="e">
        <f t="shared" si="11"/>
        <v>#DIV/0!</v>
      </c>
      <c r="H342" s="13" t="str">
        <f ca="1">IFERROR(__xludf.DUMMYFUNCTION("IFERROR(
  AVERAGE(
    FILTER(
      $E$2:$E342,
      $A$2:$A342&gt;=A342-30,
      $A$2:$A342&lt;=A342,
      $E$2:$E342&gt;0
    )
  ),
  """"
)"),"")</f>
        <v/>
      </c>
      <c r="I342" s="14"/>
      <c r="J342" s="10"/>
      <c r="K342" s="10"/>
      <c r="L342" s="10"/>
      <c r="M342" s="11" t="e">
        <f t="shared" si="12"/>
        <v>#DIV/0!</v>
      </c>
      <c r="N342" s="13">
        <v>8</v>
      </c>
      <c r="O342" s="14" t="e">
        <f t="shared" si="13"/>
        <v>#DIV/0!</v>
      </c>
      <c r="P342" s="13"/>
      <c r="Q342" s="10"/>
      <c r="R342" s="10"/>
      <c r="S342" s="10"/>
      <c r="T342" s="11" t="e">
        <f t="shared" si="14"/>
        <v>#DIV/0!</v>
      </c>
      <c r="U342" s="13">
        <v>8</v>
      </c>
      <c r="V342" s="14" t="e">
        <f t="shared" si="15"/>
        <v>#DIV/0!</v>
      </c>
      <c r="W342" s="10"/>
      <c r="X342" s="10"/>
      <c r="Y342" s="10"/>
      <c r="Z342" s="10"/>
      <c r="AA342" s="11"/>
      <c r="AB342" s="13"/>
      <c r="AC342" s="14"/>
      <c r="AD342" s="13"/>
      <c r="AE342" s="14"/>
    </row>
    <row r="343" spans="1:31" x14ac:dyDescent="0.25">
      <c r="A343" s="9"/>
      <c r="B343" s="10"/>
      <c r="C343" s="10"/>
      <c r="D343" s="10"/>
      <c r="E343" s="11" t="e">
        <f t="shared" si="10"/>
        <v>#DIV/0!</v>
      </c>
      <c r="F343" s="13">
        <v>6</v>
      </c>
      <c r="G343" s="14" t="e">
        <f t="shared" si="11"/>
        <v>#DIV/0!</v>
      </c>
      <c r="H343" s="13" t="str">
        <f ca="1">IFERROR(__xludf.DUMMYFUNCTION("IFERROR(
  AVERAGE(
    FILTER(
      $E$2:$E343,
      $A$2:$A343&gt;=A343-30,
      $A$2:$A343&lt;=A343,
      $E$2:$E343&gt;0
    )
  ),
  """"
)"),"")</f>
        <v/>
      </c>
      <c r="I343" s="14"/>
      <c r="J343" s="10"/>
      <c r="K343" s="10"/>
      <c r="L343" s="10"/>
      <c r="M343" s="11" t="e">
        <f t="shared" si="12"/>
        <v>#DIV/0!</v>
      </c>
      <c r="N343" s="13">
        <v>8</v>
      </c>
      <c r="O343" s="14" t="e">
        <f t="shared" si="13"/>
        <v>#DIV/0!</v>
      </c>
      <c r="P343" s="13"/>
      <c r="Q343" s="10"/>
      <c r="R343" s="10"/>
      <c r="S343" s="10"/>
      <c r="T343" s="11" t="e">
        <f t="shared" si="14"/>
        <v>#DIV/0!</v>
      </c>
      <c r="U343" s="13">
        <v>8</v>
      </c>
      <c r="V343" s="14" t="e">
        <f t="shared" si="15"/>
        <v>#DIV/0!</v>
      </c>
      <c r="W343" s="10"/>
      <c r="X343" s="10"/>
      <c r="Y343" s="10"/>
      <c r="Z343" s="10"/>
      <c r="AA343" s="11"/>
      <c r="AB343" s="13"/>
      <c r="AC343" s="14"/>
      <c r="AD343" s="13"/>
      <c r="AE343" s="14"/>
    </row>
    <row r="344" spans="1:31" x14ac:dyDescent="0.25">
      <c r="A344" s="9"/>
      <c r="B344" s="10"/>
      <c r="C344" s="10"/>
      <c r="D344" s="10"/>
      <c r="E344" s="11" t="e">
        <f t="shared" si="10"/>
        <v>#DIV/0!</v>
      </c>
      <c r="F344" s="13">
        <v>6</v>
      </c>
      <c r="G344" s="14" t="e">
        <f t="shared" si="11"/>
        <v>#DIV/0!</v>
      </c>
      <c r="H344" s="13" t="str">
        <f ca="1">IFERROR(__xludf.DUMMYFUNCTION("IFERROR(
  AVERAGE(
    FILTER(
      $E$2:$E344,
      $A$2:$A344&gt;=A344-30,
      $A$2:$A344&lt;=A344,
      $E$2:$E344&gt;0
    )
  ),
  """"
)"),"")</f>
        <v/>
      </c>
      <c r="I344" s="14"/>
      <c r="J344" s="10"/>
      <c r="K344" s="10"/>
      <c r="L344" s="10"/>
      <c r="M344" s="11" t="e">
        <f t="shared" si="12"/>
        <v>#DIV/0!</v>
      </c>
      <c r="N344" s="13">
        <v>8</v>
      </c>
      <c r="O344" s="14" t="e">
        <f t="shared" si="13"/>
        <v>#DIV/0!</v>
      </c>
      <c r="P344" s="13"/>
      <c r="Q344" s="10"/>
      <c r="R344" s="10"/>
      <c r="S344" s="10"/>
      <c r="T344" s="11" t="e">
        <f t="shared" si="14"/>
        <v>#DIV/0!</v>
      </c>
      <c r="U344" s="13">
        <v>8</v>
      </c>
      <c r="V344" s="14" t="e">
        <f t="shared" si="15"/>
        <v>#DIV/0!</v>
      </c>
      <c r="W344" s="10"/>
      <c r="X344" s="10"/>
      <c r="Y344" s="10"/>
      <c r="Z344" s="10"/>
      <c r="AA344" s="11"/>
      <c r="AB344" s="13"/>
      <c r="AC344" s="14"/>
      <c r="AD344" s="13"/>
      <c r="AE344" s="14"/>
    </row>
    <row r="345" spans="1:31" x14ac:dyDescent="0.25">
      <c r="A345" s="9"/>
      <c r="B345" s="10"/>
      <c r="C345" s="10"/>
      <c r="D345" s="10"/>
      <c r="E345" s="11"/>
      <c r="F345" s="13"/>
      <c r="G345" s="14"/>
      <c r="H345" s="13"/>
      <c r="I345" s="14"/>
      <c r="J345" s="10"/>
      <c r="K345" s="10"/>
      <c r="L345" s="10"/>
      <c r="M345" s="11" t="e">
        <f t="shared" si="12"/>
        <v>#DIV/0!</v>
      </c>
      <c r="N345" s="13">
        <v>8</v>
      </c>
      <c r="O345" s="14" t="e">
        <f t="shared" si="13"/>
        <v>#DIV/0!</v>
      </c>
      <c r="P345" s="13"/>
      <c r="Q345" s="10"/>
      <c r="R345" s="10"/>
      <c r="S345" s="10"/>
      <c r="T345" s="11" t="e">
        <f t="shared" si="14"/>
        <v>#DIV/0!</v>
      </c>
      <c r="U345" s="13">
        <v>8</v>
      </c>
      <c r="V345" s="14" t="e">
        <f t="shared" si="15"/>
        <v>#DIV/0!</v>
      </c>
      <c r="W345" s="10"/>
      <c r="X345" s="10"/>
      <c r="Y345" s="10"/>
      <c r="Z345" s="10"/>
      <c r="AA345" s="11"/>
      <c r="AB345" s="13"/>
      <c r="AC345" s="14"/>
      <c r="AD345" s="13"/>
      <c r="AE345" s="14"/>
    </row>
    <row r="346" spans="1:31" x14ac:dyDescent="0.25">
      <c r="A346" s="9"/>
      <c r="B346" s="10"/>
      <c r="C346" s="10"/>
      <c r="D346" s="10"/>
      <c r="E346" s="11"/>
      <c r="F346" s="13"/>
      <c r="G346" s="14"/>
      <c r="H346" s="13"/>
      <c r="I346" s="14"/>
      <c r="J346" s="10"/>
      <c r="K346" s="10"/>
      <c r="L346" s="10"/>
      <c r="M346" s="11" t="e">
        <f t="shared" si="12"/>
        <v>#DIV/0!</v>
      </c>
      <c r="N346" s="13">
        <v>8</v>
      </c>
      <c r="O346" s="14" t="e">
        <f t="shared" si="13"/>
        <v>#DIV/0!</v>
      </c>
      <c r="P346" s="13"/>
      <c r="Q346" s="10"/>
      <c r="R346" s="10"/>
      <c r="S346" s="10"/>
      <c r="T346" s="11" t="e">
        <f t="shared" si="14"/>
        <v>#DIV/0!</v>
      </c>
      <c r="U346" s="13">
        <v>8</v>
      </c>
      <c r="V346" s="14" t="e">
        <f t="shared" si="15"/>
        <v>#DIV/0!</v>
      </c>
      <c r="W346" s="10"/>
      <c r="X346" s="10"/>
      <c r="Y346" s="10"/>
      <c r="Z346" s="10"/>
      <c r="AA346" s="11"/>
      <c r="AB346" s="13"/>
      <c r="AC346" s="14"/>
      <c r="AD346" s="13"/>
      <c r="AE346" s="14"/>
    </row>
  </sheetData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6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10.5703125" customWidth="1"/>
    <col min="2" max="3" width="12" customWidth="1"/>
    <col min="4" max="5" width="12.28515625" customWidth="1"/>
    <col min="6" max="6" width="10.42578125" customWidth="1"/>
    <col min="7" max="8" width="10.140625" customWidth="1"/>
  </cols>
  <sheetData>
    <row r="1" spans="1:8" ht="48" x14ac:dyDescent="0.25">
      <c r="A1" s="15" t="s">
        <v>0</v>
      </c>
      <c r="B1" s="2" t="s">
        <v>44</v>
      </c>
      <c r="C1" s="17" t="s">
        <v>45</v>
      </c>
      <c r="D1" s="3" t="s">
        <v>46</v>
      </c>
      <c r="E1" s="6" t="s">
        <v>47</v>
      </c>
      <c r="F1" s="7" t="s">
        <v>48</v>
      </c>
      <c r="G1" s="8" t="s">
        <v>49</v>
      </c>
      <c r="H1" s="7" t="s">
        <v>24</v>
      </c>
    </row>
    <row r="2" spans="1:8" x14ac:dyDescent="0.25">
      <c r="A2" s="9">
        <v>45901</v>
      </c>
      <c r="B2" s="10">
        <v>3496</v>
      </c>
      <c r="C2" s="10">
        <v>83.85</v>
      </c>
      <c r="D2" s="11">
        <f t="shared" ref="D2:D256" si="0">C2/B2*100</f>
        <v>2.3984553775743702</v>
      </c>
      <c r="E2" s="13">
        <v>3</v>
      </c>
      <c r="F2" s="14">
        <f t="shared" ref="F2:F256" si="1">E2-D2</f>
        <v>0.60154462242562978</v>
      </c>
      <c r="G2" s="14">
        <f ca="1">IFERROR(__xludf.DUMMYFUNCTION("IFERROR(
  AVERAGE(
    FILTER(
      $D$2:$D2,
      $A$2:$A2&gt;=A2-30,
      $A$2:$A2&lt;=A2,
      $D$2:$D2&gt;0
    )
  ),
"""")
"),2.39845537757437)</f>
        <v>2.3984553775743702</v>
      </c>
      <c r="H2" s="14"/>
    </row>
    <row r="3" spans="1:8" x14ac:dyDescent="0.25">
      <c r="A3" s="9">
        <v>45902</v>
      </c>
      <c r="B3" s="10">
        <v>4543</v>
      </c>
      <c r="C3" s="10">
        <v>111.14</v>
      </c>
      <c r="D3" s="11">
        <f t="shared" si="0"/>
        <v>2.4464010565705481</v>
      </c>
      <c r="E3" s="13">
        <v>3</v>
      </c>
      <c r="F3" s="14">
        <f t="shared" si="1"/>
        <v>0.55359894342945193</v>
      </c>
      <c r="G3" s="14">
        <f ca="1">IFERROR(__xludf.DUMMYFUNCTION("IFERROR(
  AVERAGE(
    FILTER(
      $D$2:$D3,
      $A$2:$A3&gt;=A3-30,
      $A$2:$A3&lt;=A3,
      $D$2:$D3&gt;0
    )
  ),
"""")
"),2.42242821707245)</f>
        <v>2.4224282170724498</v>
      </c>
      <c r="H3" s="14"/>
    </row>
    <row r="4" spans="1:8" x14ac:dyDescent="0.25">
      <c r="A4" s="9">
        <v>45903</v>
      </c>
      <c r="B4" s="10">
        <v>2103</v>
      </c>
      <c r="C4" s="10">
        <v>77.94</v>
      </c>
      <c r="D4" s="11">
        <f t="shared" si="0"/>
        <v>3.7061340941512122</v>
      </c>
      <c r="E4" s="13">
        <v>3</v>
      </c>
      <c r="F4" s="14">
        <f t="shared" si="1"/>
        <v>-0.7061340941512122</v>
      </c>
      <c r="G4" s="14">
        <f ca="1">IFERROR(__xludf.DUMMYFUNCTION("IFERROR(
  AVERAGE(
    FILTER(
      $D$2:$D4,
      $A$2:$A4&gt;=A4-30,
      $A$2:$A4&lt;=A4,
      $D$2:$D4&gt;0
    )
  ),
"""")
"),2.85033017609871)</f>
        <v>2.8503301760987099</v>
      </c>
      <c r="H4" s="14"/>
    </row>
    <row r="5" spans="1:8" x14ac:dyDescent="0.25">
      <c r="A5" s="9">
        <v>45904</v>
      </c>
      <c r="B5" s="10">
        <v>2036</v>
      </c>
      <c r="C5" s="10">
        <v>67.599999999999994</v>
      </c>
      <c r="D5" s="11">
        <f t="shared" si="0"/>
        <v>3.3202357563850682</v>
      </c>
      <c r="E5" s="13">
        <v>3</v>
      </c>
      <c r="F5" s="14">
        <f t="shared" si="1"/>
        <v>-0.32023575638506818</v>
      </c>
      <c r="G5" s="14">
        <f ca="1">IFERROR(__xludf.DUMMYFUNCTION("IFERROR(
  AVERAGE(
    FILTER(
      $D$2:$D5,
      $A$2:$A5&gt;=A5-30,
      $A$2:$A5&lt;=A5,
      $D$2:$D5&gt;0
    )
  ),
"""")
"),2.9678065711703)</f>
        <v>2.9678065711702999</v>
      </c>
      <c r="H5" s="14"/>
    </row>
    <row r="6" spans="1:8" x14ac:dyDescent="0.25">
      <c r="A6" s="9">
        <v>45905</v>
      </c>
      <c r="B6" s="10">
        <v>2468</v>
      </c>
      <c r="C6" s="10">
        <v>107.55</v>
      </c>
      <c r="D6" s="11">
        <f t="shared" si="0"/>
        <v>4.3577795786061584</v>
      </c>
      <c r="E6" s="13">
        <v>3</v>
      </c>
      <c r="F6" s="14">
        <f t="shared" si="1"/>
        <v>-1.3577795786061584</v>
      </c>
      <c r="G6" s="14">
        <f ca="1">IFERROR(__xludf.DUMMYFUNCTION("IFERROR(
  AVERAGE(
    FILTER(
      $D$2:$D6,
      $A$2:$A6&gt;=A6-30,
      $A$2:$A6&lt;=A6,
      $D$2:$D6&gt;0
    )
  ),
"""")
"),3.24580117265747)</f>
        <v>3.2458011726574698</v>
      </c>
      <c r="H6" s="14"/>
    </row>
    <row r="7" spans="1:8" x14ac:dyDescent="0.25">
      <c r="A7" s="9">
        <v>45906</v>
      </c>
      <c r="B7" s="10">
        <v>2209</v>
      </c>
      <c r="C7" s="10">
        <v>231.3</v>
      </c>
      <c r="D7" s="11">
        <f t="shared" si="0"/>
        <v>10.470801267541875</v>
      </c>
      <c r="E7" s="13">
        <v>3</v>
      </c>
      <c r="F7" s="14">
        <f t="shared" si="1"/>
        <v>-7.4708012675418747</v>
      </c>
      <c r="G7" s="14">
        <f ca="1">IFERROR(__xludf.DUMMYFUNCTION("IFERROR(
  AVERAGE(
    FILTER(
      $D$2:$D7,
      $A$2:$A7&gt;=A7-30,
      $A$2:$A7&lt;=A7,
      $D$2:$D7&gt;0
    )
  ),
"""")
"),4.4499678551382)</f>
        <v>4.4499678551382003</v>
      </c>
      <c r="H7" s="14"/>
    </row>
    <row r="8" spans="1:8" x14ac:dyDescent="0.25">
      <c r="A8" s="9">
        <v>45907</v>
      </c>
      <c r="B8" s="10">
        <v>564</v>
      </c>
      <c r="C8" s="10">
        <v>30.5</v>
      </c>
      <c r="D8" s="11">
        <f t="shared" si="0"/>
        <v>5.4078014184397167</v>
      </c>
      <c r="E8" s="13">
        <v>3</v>
      </c>
      <c r="F8" s="14">
        <f t="shared" si="1"/>
        <v>-2.4078014184397167</v>
      </c>
      <c r="G8" s="14">
        <f ca="1">IFERROR(__xludf.DUMMYFUNCTION("IFERROR(
  AVERAGE(
    FILTER(
      $D$2:$D8,
      $A$2:$A8&gt;=A8-30,
      $A$2:$A8&lt;=A8,
      $D$2:$D8&gt;0
    )
  ),
"""")
"),4.58680122132413)</f>
        <v>4.58680122132413</v>
      </c>
      <c r="H8" s="14"/>
    </row>
    <row r="9" spans="1:8" x14ac:dyDescent="0.25">
      <c r="A9" s="9">
        <v>45908</v>
      </c>
      <c r="B9" s="10">
        <v>2526</v>
      </c>
      <c r="C9" s="10">
        <v>116.7</v>
      </c>
      <c r="D9" s="11">
        <f t="shared" si="0"/>
        <v>4.6199524940617573</v>
      </c>
      <c r="E9" s="13">
        <v>3</v>
      </c>
      <c r="F9" s="14">
        <f t="shared" si="1"/>
        <v>-1.6199524940617573</v>
      </c>
      <c r="G9" s="14">
        <f ca="1">IFERROR(__xludf.DUMMYFUNCTION("IFERROR(
  AVERAGE(
    FILTER(
      $D$2:$D9,
      $A$2:$A9&gt;=A9-30,
      $A$2:$A9&lt;=A9,
      $D$2:$D9&gt;0
    )
  ),
"""")
"),4.59094513041633)</f>
        <v>4.5909451304163298</v>
      </c>
      <c r="H9" s="14"/>
    </row>
    <row r="10" spans="1:8" x14ac:dyDescent="0.25">
      <c r="A10" s="9">
        <v>45909</v>
      </c>
      <c r="B10" s="10">
        <v>2926.6</v>
      </c>
      <c r="C10" s="10">
        <v>110.45</v>
      </c>
      <c r="D10" s="11">
        <f t="shared" si="0"/>
        <v>3.774003963643819</v>
      </c>
      <c r="E10" s="13">
        <v>3</v>
      </c>
      <c r="F10" s="14">
        <f t="shared" si="1"/>
        <v>-0.77400396364381896</v>
      </c>
      <c r="G10" s="14">
        <f ca="1">IFERROR(__xludf.DUMMYFUNCTION("IFERROR(
  AVERAGE(
    FILTER(
      $D$2:$D10,
      $A$2:$A10&gt;=A10-30,
      $A$2:$A10&lt;=A10,
      $D$2:$D10&gt;0
    )
  ),
"""")
"),4.50017388966383)</f>
        <v>4.5001738896638299</v>
      </c>
      <c r="H10" s="14"/>
    </row>
    <row r="11" spans="1:8" x14ac:dyDescent="0.25">
      <c r="A11" s="9">
        <v>45910</v>
      </c>
      <c r="B11" s="10">
        <v>2748.2</v>
      </c>
      <c r="C11" s="10">
        <v>118.2</v>
      </c>
      <c r="D11" s="11">
        <f t="shared" si="0"/>
        <v>4.3009970162288047</v>
      </c>
      <c r="E11" s="13">
        <v>3</v>
      </c>
      <c r="F11" s="14">
        <f t="shared" si="1"/>
        <v>-1.3009970162288047</v>
      </c>
      <c r="G11" s="14">
        <f ca="1">IFERROR(__xludf.DUMMYFUNCTION("IFERROR(
  AVERAGE(
    FILTER(
      $D$2:$D11,
      $A$2:$A11&gt;=A11-30,
      $A$2:$A11&lt;=A11,
      $D$2:$D11&gt;0
    )
  ),
"""")
"),4.48025620232033)</f>
        <v>4.4802562023203301</v>
      </c>
      <c r="H11" s="14"/>
    </row>
    <row r="12" spans="1:8" x14ac:dyDescent="0.25">
      <c r="A12" s="9">
        <v>45911</v>
      </c>
      <c r="B12" s="10">
        <v>3148.7</v>
      </c>
      <c r="C12" s="10">
        <v>109.5</v>
      </c>
      <c r="D12" s="11">
        <f t="shared" si="0"/>
        <v>3.4776256867913746</v>
      </c>
      <c r="E12" s="13">
        <v>3</v>
      </c>
      <c r="F12" s="14">
        <f t="shared" si="1"/>
        <v>-0.47762568679137463</v>
      </c>
      <c r="G12" s="14">
        <f ca="1">IFERROR(__xludf.DUMMYFUNCTION("IFERROR(
  AVERAGE(
    FILTER(
      $D$2:$D12,
      $A$2:$A12&gt;=A12-30,
      $A$2:$A12&lt;=A12,
      $D$2:$D12&gt;0
    )
  ),
"""")
"),4.38910797363588)</f>
        <v>4.3891079736358796</v>
      </c>
      <c r="H12" s="14"/>
    </row>
    <row r="13" spans="1:8" x14ac:dyDescent="0.25">
      <c r="A13" s="9">
        <v>45912</v>
      </c>
      <c r="B13" s="10">
        <v>2517</v>
      </c>
      <c r="C13" s="10">
        <v>63</v>
      </c>
      <c r="D13" s="11">
        <f t="shared" si="0"/>
        <v>2.5029797377830754</v>
      </c>
      <c r="E13" s="13">
        <v>3</v>
      </c>
      <c r="F13" s="14">
        <f t="shared" si="1"/>
        <v>0.49702026221692464</v>
      </c>
      <c r="G13" s="14">
        <f ca="1">IFERROR(__xludf.DUMMYFUNCTION("IFERROR(
  AVERAGE(
    FILTER(
      $D$2:$D13,
      $A$2:$A13&gt;=A13-30,
      $A$2:$A13&lt;=A13,
      $D$2:$D13&gt;0
    )
  ),
"""")
"),4.23193062064814)</f>
        <v>4.2319306206481402</v>
      </c>
      <c r="H13" s="14"/>
    </row>
    <row r="14" spans="1:8" x14ac:dyDescent="0.25">
      <c r="A14" s="9">
        <v>45913</v>
      </c>
      <c r="B14" s="10">
        <v>2059</v>
      </c>
      <c r="C14" s="10">
        <v>49</v>
      </c>
      <c r="D14" s="11">
        <f t="shared" si="0"/>
        <v>2.3797960174842157</v>
      </c>
      <c r="E14" s="13">
        <v>3</v>
      </c>
      <c r="F14" s="14">
        <f t="shared" si="1"/>
        <v>0.62020398251578435</v>
      </c>
      <c r="G14" s="14">
        <f ca="1">IFERROR(__xludf.DUMMYFUNCTION("IFERROR(
  AVERAGE(
    FILTER(
      $D$2:$D14,
      $A$2:$A14&gt;=A14-30,
      $A$2:$A14&lt;=A14,
      $D$2:$D14&gt;0
    )
  ),
"""")
"),4.08945872809707)</f>
        <v>4.0894587280970702</v>
      </c>
      <c r="H14" s="14"/>
    </row>
    <row r="15" spans="1:8" x14ac:dyDescent="0.25">
      <c r="A15" s="9">
        <v>45914</v>
      </c>
      <c r="B15" s="10">
        <v>579</v>
      </c>
      <c r="C15" s="10">
        <v>11.8</v>
      </c>
      <c r="D15" s="11">
        <f t="shared" si="0"/>
        <v>2.0379965457685669</v>
      </c>
      <c r="E15" s="13">
        <v>3</v>
      </c>
      <c r="F15" s="14">
        <f t="shared" si="1"/>
        <v>0.96200345423143307</v>
      </c>
      <c r="G15" s="14">
        <f ca="1">IFERROR(__xludf.DUMMYFUNCTION("IFERROR(
  AVERAGE(
    FILTER(
      $D$2:$D15,
      $A$2:$A15&gt;=A15-30,
      $A$2:$A15&lt;=A15,
      $D$2:$D15&gt;0
    )
  ),
"""")
"),3.94292571507361)</f>
        <v>3.9429257150736099</v>
      </c>
      <c r="H15" s="14"/>
    </row>
    <row r="16" spans="1:8" x14ac:dyDescent="0.25">
      <c r="A16" s="9">
        <v>45915</v>
      </c>
      <c r="B16" s="10">
        <v>4649</v>
      </c>
      <c r="C16" s="10">
        <v>170</v>
      </c>
      <c r="D16" s="11">
        <f t="shared" si="0"/>
        <v>3.6567003656700368</v>
      </c>
      <c r="E16" s="13">
        <v>3</v>
      </c>
      <c r="F16" s="14">
        <f t="shared" si="1"/>
        <v>-0.65670036567003676</v>
      </c>
      <c r="G16" s="14">
        <f ca="1">IFERROR(__xludf.DUMMYFUNCTION("IFERROR(
  AVERAGE(
    FILTER(
      $D$2:$D16,
      $A$2:$A16&gt;=A16-30,
      $A$2:$A16&lt;=A16,
      $D$2:$D16&gt;0
    )
  ),
"""")
"),3.92384402511337)</f>
        <v>3.9238440251133699</v>
      </c>
      <c r="H16" s="14"/>
    </row>
    <row r="17" spans="1:8" x14ac:dyDescent="0.25">
      <c r="A17" s="9">
        <v>45916</v>
      </c>
      <c r="B17" s="10">
        <v>5013</v>
      </c>
      <c r="C17" s="10">
        <v>180</v>
      </c>
      <c r="D17" s="11">
        <f t="shared" si="0"/>
        <v>3.5906642728904847</v>
      </c>
      <c r="E17" s="13">
        <v>3</v>
      </c>
      <c r="F17" s="14">
        <f t="shared" si="1"/>
        <v>-0.59066427289048473</v>
      </c>
      <c r="G17" s="14">
        <f ca="1">IFERROR(__xludf.DUMMYFUNCTION("IFERROR(
  AVERAGE(
    FILTER(
      $D$2:$D17,
      $A$2:$A17&gt;=A17-30,
      $A$2:$A17&lt;=A17,
      $D$2:$D17&gt;0
    )
  ),
"""")
"),3.90302029059944)</f>
        <v>3.9030202905994398</v>
      </c>
      <c r="H17" s="14"/>
    </row>
    <row r="18" spans="1:8" x14ac:dyDescent="0.25">
      <c r="A18" s="9">
        <v>45917</v>
      </c>
      <c r="B18" s="10">
        <v>3932</v>
      </c>
      <c r="C18" s="10">
        <v>154.44999999999999</v>
      </c>
      <c r="D18" s="11">
        <f t="shared" si="0"/>
        <v>3.928026449643947</v>
      </c>
      <c r="E18" s="13">
        <v>3</v>
      </c>
      <c r="F18" s="14">
        <f t="shared" si="1"/>
        <v>-0.92802644964394698</v>
      </c>
      <c r="G18" s="14">
        <f ca="1">IFERROR(__xludf.DUMMYFUNCTION("IFERROR(
  AVERAGE(
    FILTER(
      $D$2:$D18,
      $A$2:$A18&gt;=A18-30,
      $A$2:$A18&lt;=A18,
      $D$2:$D18&gt;0
    )
  ),
"""")
"),3.90449124113147)</f>
        <v>3.9044912411314701</v>
      </c>
      <c r="H18" s="14"/>
    </row>
    <row r="19" spans="1:8" ht="15.75" customHeight="1" x14ac:dyDescent="0.25">
      <c r="A19" s="9">
        <v>45918</v>
      </c>
      <c r="B19" s="10">
        <v>3013.1</v>
      </c>
      <c r="C19" s="10">
        <v>170.5</v>
      </c>
      <c r="D19" s="11">
        <f t="shared" si="0"/>
        <v>5.6586240084962336</v>
      </c>
      <c r="E19" s="13">
        <v>3</v>
      </c>
      <c r="F19" s="14">
        <f t="shared" si="1"/>
        <v>-2.6586240084962336</v>
      </c>
      <c r="G19" s="14">
        <f ca="1">IFERROR(__xludf.DUMMYFUNCTION("IFERROR(
  AVERAGE(
    FILTER(
      $D$2:$D19,
      $A$2:$A19&gt;=A19-30,
      $A$2:$A19&lt;=A19,
      $D$2:$D19&gt;0
    )
  ),
"""")
"),4.00194306154062)</f>
        <v>4.0019430615406204</v>
      </c>
      <c r="H19" s="14"/>
    </row>
    <row r="20" spans="1:8" ht="15.75" customHeight="1" x14ac:dyDescent="0.25">
      <c r="A20" s="9">
        <v>45919</v>
      </c>
      <c r="B20" s="10">
        <v>5127</v>
      </c>
      <c r="C20" s="10">
        <v>173.3</v>
      </c>
      <c r="D20" s="11">
        <f t="shared" si="0"/>
        <v>3.3801443339184707</v>
      </c>
      <c r="E20" s="13">
        <v>3</v>
      </c>
      <c r="F20" s="14">
        <f t="shared" si="1"/>
        <v>-0.38014433391847069</v>
      </c>
      <c r="G20" s="14">
        <f ca="1">IFERROR(__xludf.DUMMYFUNCTION("IFERROR(
  AVERAGE(
    FILTER(
      $D$2:$D20,
      $A$2:$A20&gt;=A20-30,
      $A$2:$A20&lt;=A20,
      $D$2:$D20&gt;0
    )
  ),
"""")
"),3.9692168127184)</f>
        <v>3.9692168127184</v>
      </c>
      <c r="H20" s="14"/>
    </row>
    <row r="21" spans="1:8" ht="15.75" customHeight="1" x14ac:dyDescent="0.25">
      <c r="A21" s="9">
        <v>45920</v>
      </c>
      <c r="B21" s="10">
        <v>2731</v>
      </c>
      <c r="C21" s="10">
        <v>212</v>
      </c>
      <c r="D21" s="11">
        <f t="shared" si="0"/>
        <v>7.7627242768216771</v>
      </c>
      <c r="E21" s="13">
        <v>3</v>
      </c>
      <c r="F21" s="14">
        <f t="shared" si="1"/>
        <v>-4.7627242768216771</v>
      </c>
      <c r="G21" s="14">
        <f ca="1">IFERROR(__xludf.DUMMYFUNCTION("IFERROR(
  AVERAGE(
    FILTER(
      $D$2:$D21,
      $A$2:$A21&gt;=A21-30,
      $A$2:$A21&lt;=A21,
      $D$2:$D21&gt;0
    )
  ),
"""")
"),4.15889218592357)</f>
        <v>4.1588921859235697</v>
      </c>
      <c r="H21" s="14"/>
    </row>
    <row r="22" spans="1:8" ht="15.75" customHeight="1" x14ac:dyDescent="0.25">
      <c r="A22" s="9">
        <v>45921</v>
      </c>
      <c r="B22" s="10">
        <v>1287</v>
      </c>
      <c r="C22" s="10">
        <v>55.6</v>
      </c>
      <c r="D22" s="11">
        <f t="shared" si="0"/>
        <v>4.3201243201243207</v>
      </c>
      <c r="E22" s="13">
        <v>3</v>
      </c>
      <c r="F22" s="14">
        <f t="shared" si="1"/>
        <v>-1.3201243201243207</v>
      </c>
      <c r="G22" s="14">
        <f ca="1">IFERROR(__xludf.DUMMYFUNCTION("IFERROR(
  AVERAGE(
    FILTER(
      $D$2:$D22,
      $A$2:$A22&gt;=A22-30,
      $A$2:$A22&lt;=A22,
      $D$2:$D22&gt;0
    )
  ),
"""")
"),4.16656990659979)</f>
        <v>4.1665699065997899</v>
      </c>
      <c r="H22" s="14"/>
    </row>
    <row r="23" spans="1:8" ht="15.75" customHeight="1" x14ac:dyDescent="0.25">
      <c r="A23" s="9">
        <v>45922</v>
      </c>
      <c r="B23" s="10">
        <v>6021</v>
      </c>
      <c r="C23" s="10">
        <v>209</v>
      </c>
      <c r="D23" s="11">
        <f t="shared" si="0"/>
        <v>3.4711841886729782</v>
      </c>
      <c r="E23" s="13">
        <v>3</v>
      </c>
      <c r="F23" s="14">
        <f t="shared" si="1"/>
        <v>-0.47118418867297818</v>
      </c>
      <c r="G23" s="14">
        <f ca="1">IFERROR(__xludf.DUMMYFUNCTION("IFERROR(
  AVERAGE(
    FILTER(
      $D$2:$D23,
      $A$2:$A23&gt;=A23-30,
      $A$2:$A23&lt;=A23,
      $D$2:$D23&gt;0
    )
  ),
"""")
"),4.13496146487585)</f>
        <v>4.1349614648758504</v>
      </c>
      <c r="H23" s="14"/>
    </row>
    <row r="24" spans="1:8" ht="15.75" customHeight="1" x14ac:dyDescent="0.25">
      <c r="A24" s="9">
        <v>45923</v>
      </c>
      <c r="B24" s="10">
        <v>5368</v>
      </c>
      <c r="C24" s="10">
        <v>189</v>
      </c>
      <c r="D24" s="11">
        <f t="shared" si="0"/>
        <v>3.520864381520119</v>
      </c>
      <c r="E24" s="13">
        <v>3</v>
      </c>
      <c r="F24" s="14">
        <f t="shared" si="1"/>
        <v>-0.52086438152011905</v>
      </c>
      <c r="G24" s="14">
        <f ca="1">IFERROR(__xludf.DUMMYFUNCTION("IFERROR(
  AVERAGE(
    FILTER(
      $D$2:$D24,
      $A$2:$A24&gt;=A24-30,
      $A$2:$A24&lt;=A24,
      $D$2:$D24&gt;0
    )
  ),
"""")
"),4.10826159168647)</f>
        <v>4.1082615916864702</v>
      </c>
      <c r="H24" s="14"/>
    </row>
    <row r="25" spans="1:8" ht="15.75" customHeight="1" x14ac:dyDescent="0.25">
      <c r="A25" s="9">
        <v>45924</v>
      </c>
      <c r="B25" s="10">
        <v>3100</v>
      </c>
      <c r="C25" s="10">
        <v>197</v>
      </c>
      <c r="D25" s="11">
        <f t="shared" si="0"/>
        <v>6.3548387096774199</v>
      </c>
      <c r="E25" s="13">
        <v>3</v>
      </c>
      <c r="F25" s="14">
        <f t="shared" si="1"/>
        <v>-3.3548387096774199</v>
      </c>
      <c r="G25" s="14">
        <f ca="1">IFERROR(__xludf.DUMMYFUNCTION("IFERROR(
  AVERAGE(
    FILTER(
      $D$2:$D25,
      $A$2:$A25&gt;=A25-30,
      $A$2:$A25&lt;=A25,
      $D$2:$D25&gt;0
    )
  ),
"""")
"),4.20186897160276)</f>
        <v>4.2018689716027602</v>
      </c>
      <c r="H25" s="14"/>
    </row>
    <row r="26" spans="1:8" ht="15.75" customHeight="1" x14ac:dyDescent="0.25">
      <c r="A26" s="9">
        <v>45925</v>
      </c>
      <c r="B26" s="10">
        <v>3382</v>
      </c>
      <c r="C26" s="10">
        <v>270</v>
      </c>
      <c r="D26" s="11">
        <f t="shared" si="0"/>
        <v>7.9834417504435251</v>
      </c>
      <c r="E26" s="13">
        <v>3</v>
      </c>
      <c r="F26" s="14">
        <f t="shared" si="1"/>
        <v>-4.9834417504435251</v>
      </c>
      <c r="G26" s="14">
        <f ca="1">IFERROR(__xludf.DUMMYFUNCTION("IFERROR(
  AVERAGE(
    FILTER(
      $D$2:$D26,
      $A$2:$A26&gt;=A26-30,
      $A$2:$A26&lt;=A26,
      $D$2:$D26&gt;0
    )
  ),
"""")
"),4.35313188275639)</f>
        <v>4.3531318827563901</v>
      </c>
      <c r="H26" s="14"/>
    </row>
    <row r="27" spans="1:8" ht="15.75" customHeight="1" x14ac:dyDescent="0.25">
      <c r="A27" s="9">
        <v>45926</v>
      </c>
      <c r="B27" s="10">
        <v>3256</v>
      </c>
      <c r="C27" s="10">
        <f>58.4+135.5</f>
        <v>193.9</v>
      </c>
      <c r="D27" s="11">
        <f t="shared" si="0"/>
        <v>5.9551597051597049</v>
      </c>
      <c r="E27" s="13">
        <v>3</v>
      </c>
      <c r="F27" s="14">
        <f t="shared" si="1"/>
        <v>-2.9551597051597049</v>
      </c>
      <c r="G27" s="14">
        <f ca="1">IFERROR(__xludf.DUMMYFUNCTION("IFERROR(
  AVERAGE(
    FILTER(
      $D$2:$D27,
      $A$2:$A27&gt;=A27-30,
      $A$2:$A27&lt;=A27,
      $D$2:$D27&gt;0
    )
  ),
"""")
"),4.41474833746421)</f>
        <v>4.4147483374642098</v>
      </c>
      <c r="H27" s="14"/>
    </row>
    <row r="28" spans="1:8" ht="15.75" customHeight="1" x14ac:dyDescent="0.25">
      <c r="A28" s="9">
        <v>45927</v>
      </c>
      <c r="B28" s="10">
        <v>3219</v>
      </c>
      <c r="C28" s="10">
        <f>69.25+66.4</f>
        <v>135.65</v>
      </c>
      <c r="D28" s="11">
        <f t="shared" si="0"/>
        <v>4.2140416278347317</v>
      </c>
      <c r="E28" s="13">
        <v>3</v>
      </c>
      <c r="F28" s="14">
        <f t="shared" si="1"/>
        <v>-1.2140416278347317</v>
      </c>
      <c r="G28" s="14">
        <f ca="1">IFERROR(__xludf.DUMMYFUNCTION("IFERROR(
  AVERAGE(
    FILTER(
      $D$2:$D28,
      $A$2:$A28&gt;=A28-30,
      $A$2:$A28&lt;=A28,
      $D$2:$D28&gt;0
    )
  ),
"""")
"),4.40731475562608)</f>
        <v>4.4073147556260803</v>
      </c>
      <c r="H28" s="14"/>
    </row>
    <row r="29" spans="1:8" ht="15.75" customHeight="1" x14ac:dyDescent="0.25">
      <c r="A29" s="9">
        <v>45928</v>
      </c>
      <c r="B29" s="10">
        <v>508.2</v>
      </c>
      <c r="C29" s="10">
        <v>53.6</v>
      </c>
      <c r="D29" s="11">
        <f t="shared" si="0"/>
        <v>10.547028728846911</v>
      </c>
      <c r="E29" s="13">
        <v>3</v>
      </c>
      <c r="F29" s="14">
        <f t="shared" si="1"/>
        <v>-7.5470287288469109</v>
      </c>
      <c r="G29" s="14">
        <f ca="1">IFERROR(__xludf.DUMMYFUNCTION("IFERROR(
  AVERAGE(
    FILTER(
      $D$2:$D29,
      $A$2:$A29&gt;=A29-30,
      $A$2:$A29&lt;=A29,
      $D$2:$D29&gt;0
    )
  ),
"""")
"),4.62659025466968)</f>
        <v>4.6265902546696802</v>
      </c>
      <c r="H29" s="14"/>
    </row>
    <row r="30" spans="1:8" ht="15.75" customHeight="1" x14ac:dyDescent="0.25">
      <c r="A30" s="9">
        <v>45929</v>
      </c>
      <c r="B30" s="10">
        <v>3033</v>
      </c>
      <c r="C30" s="10">
        <v>166.45</v>
      </c>
      <c r="D30" s="11">
        <f t="shared" si="0"/>
        <v>5.4879657105176385</v>
      </c>
      <c r="E30" s="13">
        <v>3</v>
      </c>
      <c r="F30" s="14">
        <f t="shared" si="1"/>
        <v>-2.4879657105176385</v>
      </c>
      <c r="G30" s="14">
        <f ca="1">IFERROR(__xludf.DUMMYFUNCTION("IFERROR(
  AVERAGE(
    FILTER(
      $D$2:$D30,
      $A$2:$A30&gt;=A30-30,
      $A$2:$A30&lt;=A30,
      $D$2:$D30&gt;0
    )
  ),
"""")
"),4.65629285659547)</f>
        <v>4.6562928565954698</v>
      </c>
      <c r="H30" s="14"/>
    </row>
    <row r="31" spans="1:8" ht="15.75" customHeight="1" x14ac:dyDescent="0.25">
      <c r="A31" s="9">
        <v>45930</v>
      </c>
      <c r="B31" s="10">
        <v>3097.75</v>
      </c>
      <c r="C31" s="10">
        <v>164.75</v>
      </c>
      <c r="D31" s="11">
        <f t="shared" si="0"/>
        <v>5.3183762408199495</v>
      </c>
      <c r="E31" s="13">
        <v>3</v>
      </c>
      <c r="F31" s="14">
        <f t="shared" si="1"/>
        <v>-2.3183762408199495</v>
      </c>
      <c r="G31" s="14">
        <f ca="1">IFERROR(__xludf.DUMMYFUNCTION("IFERROR(
  AVERAGE(
    FILTER(
      $D$2:$D31,
      $A$2:$A31&gt;=A31-30,
      $A$2:$A31&lt;=A31,
      $D$2:$D31&gt;0
    )
  ),
"""")
"),4.67836230273629)</f>
        <v>4.6783623027362902</v>
      </c>
      <c r="H31" s="14"/>
    </row>
    <row r="32" spans="1:8" ht="15.75" customHeight="1" x14ac:dyDescent="0.25">
      <c r="A32" s="9">
        <v>45931</v>
      </c>
      <c r="B32" s="10">
        <f>1441+1817</f>
        <v>3258</v>
      </c>
      <c r="C32" s="10">
        <v>168.27</v>
      </c>
      <c r="D32" s="11">
        <f t="shared" si="0"/>
        <v>5.1648250460405158</v>
      </c>
      <c r="E32" s="13">
        <v>3</v>
      </c>
      <c r="F32" s="14">
        <f t="shared" si="1"/>
        <v>-2.1648250460405158</v>
      </c>
      <c r="G32" s="14">
        <f ca="1">IFERROR(__xludf.DUMMYFUNCTION("IFERROR(
  AVERAGE(
    FILTER(
      $D$2:$D32,
      $A$2:$A32&gt;=A32-30,
      $A$2:$A32&lt;=A32,
      $D$2:$D32&gt;0
    )
  ),
"""")
"),4.69405464929449)</f>
        <v>4.6940546492944897</v>
      </c>
      <c r="H32" s="14"/>
    </row>
    <row r="33" spans="1:8" ht="15.75" customHeight="1" x14ac:dyDescent="0.25">
      <c r="A33" s="9">
        <v>45932</v>
      </c>
      <c r="B33" s="10">
        <v>0</v>
      </c>
      <c r="C33" s="10">
        <v>0</v>
      </c>
      <c r="D33" s="11" t="e">
        <f t="shared" si="0"/>
        <v>#DIV/0!</v>
      </c>
      <c r="E33" s="13">
        <v>3</v>
      </c>
      <c r="F33" s="14" t="e">
        <f t="shared" si="1"/>
        <v>#DIV/0!</v>
      </c>
      <c r="G33" s="14">
        <f ca="1">IFERROR(__xludf.DUMMYFUNCTION("IFERROR(
  AVERAGE(
    FILTER(
      $D$2:$D33,
      $A$2:$A33&gt;=A33-30,
      $A$2:$A33&lt;=A33,
      $D$2:$D33&gt;0
    )
  ),
"""")
"),4.77057462501849)</f>
        <v>4.7705746250184902</v>
      </c>
      <c r="H33" s="14"/>
    </row>
    <row r="34" spans="1:8" ht="15.75" customHeight="1" x14ac:dyDescent="0.25">
      <c r="A34" s="9">
        <v>45933</v>
      </c>
      <c r="B34" s="10">
        <f>1802+1403.5</f>
        <v>3205.5</v>
      </c>
      <c r="C34" s="10">
        <v>193.7</v>
      </c>
      <c r="D34" s="11">
        <f t="shared" si="0"/>
        <v>6.042739042271096</v>
      </c>
      <c r="E34" s="13">
        <v>3</v>
      </c>
      <c r="F34" s="14">
        <f t="shared" si="1"/>
        <v>-3.042739042271096</v>
      </c>
      <c r="G34" s="14">
        <f ca="1">IFERROR(__xludf.DUMMYFUNCTION("IFERROR(
  AVERAGE(
    FILTER(
      $D$2:$D34,
      $A$2:$A34&gt;=A34-30,
      $A$2:$A34&lt;=A34,
      $D$2:$D34&gt;0
    )
  ),
"""")
"),4.89045255787518)</f>
        <v>4.8904525578751796</v>
      </c>
      <c r="H34" s="14"/>
    </row>
    <row r="35" spans="1:8" ht="15.75" customHeight="1" x14ac:dyDescent="0.25">
      <c r="A35" s="9">
        <v>45934</v>
      </c>
      <c r="B35" s="10">
        <v>3257.65</v>
      </c>
      <c r="C35" s="10">
        <v>171.3</v>
      </c>
      <c r="D35" s="11">
        <f t="shared" si="0"/>
        <v>5.2583917854895406</v>
      </c>
      <c r="E35" s="13">
        <v>3</v>
      </c>
      <c r="F35" s="14">
        <f t="shared" si="1"/>
        <v>-2.2583917854895406</v>
      </c>
      <c r="G35" s="14">
        <f ca="1">IFERROR(__xludf.DUMMYFUNCTION("IFERROR(
  AVERAGE(
    FILTER(
      $D$2:$D35,
      $A$2:$A35&gt;=A35-30,
      $A$2:$A35&lt;=A35,
      $D$2:$D35&gt;0
    )
  ),
"""")
"),4.94219448091979)</f>
        <v>4.94219448091979</v>
      </c>
      <c r="H35" s="14"/>
    </row>
    <row r="36" spans="1:8" ht="15.75" customHeight="1" x14ac:dyDescent="0.25">
      <c r="A36" s="9">
        <v>45935</v>
      </c>
      <c r="B36" s="10">
        <v>364</v>
      </c>
      <c r="C36" s="10">
        <v>14.75</v>
      </c>
      <c r="D36" s="11">
        <f t="shared" si="0"/>
        <v>4.052197802197802</v>
      </c>
      <c r="E36" s="13">
        <v>3</v>
      </c>
      <c r="F36" s="14">
        <f t="shared" si="1"/>
        <v>-1.052197802197802</v>
      </c>
      <c r="G36" s="14">
        <f ca="1">IFERROR(__xludf.DUMMYFUNCTION("IFERROR(
  AVERAGE(
    FILTER(
      $D$2:$D36,
      $A$2:$A36&gt;=A36-30,
      $A$2:$A36&lt;=A36,
      $D$2:$D36&gt;0
    )
  ),
"""")
"),4.96659321578021)</f>
        <v>4.9665932157802102</v>
      </c>
      <c r="H36" s="14"/>
    </row>
    <row r="37" spans="1:8" ht="15.75" customHeight="1" x14ac:dyDescent="0.25">
      <c r="A37" s="9">
        <v>45936</v>
      </c>
      <c r="B37" s="10">
        <v>2021.55</v>
      </c>
      <c r="C37" s="10">
        <v>113.4</v>
      </c>
      <c r="D37" s="11">
        <f t="shared" si="0"/>
        <v>5.6095570230763521</v>
      </c>
      <c r="E37" s="13">
        <v>3</v>
      </c>
      <c r="F37" s="14">
        <f t="shared" si="1"/>
        <v>-2.6095570230763521</v>
      </c>
      <c r="G37" s="14">
        <f ca="1">IFERROR(__xludf.DUMMYFUNCTION("IFERROR(
  AVERAGE(
    FILTER(
      $D$2:$D37,
      $A$2:$A37&gt;=A37-30,
      $A$2:$A37&lt;=A37,
      $D$2:$D37&gt;0
    )
  ),
"""")
"),5.00831913059588)</f>
        <v>5.0083191305958801</v>
      </c>
      <c r="H37" s="14"/>
    </row>
    <row r="38" spans="1:8" ht="15.75" customHeight="1" x14ac:dyDescent="0.25">
      <c r="A38" s="9">
        <v>45937</v>
      </c>
      <c r="B38" s="10">
        <f>1289.15+1263.65</f>
        <v>2552.8000000000002</v>
      </c>
      <c r="C38" s="10">
        <f>49.15+48.65</f>
        <v>97.8</v>
      </c>
      <c r="D38" s="11">
        <f t="shared" si="0"/>
        <v>3.8310874334064557</v>
      </c>
      <c r="E38" s="13">
        <v>3</v>
      </c>
      <c r="F38" s="14">
        <f t="shared" si="1"/>
        <v>-0.83108743340645574</v>
      </c>
      <c r="G38" s="14">
        <f ca="1">IFERROR(__xludf.DUMMYFUNCTION("IFERROR(
  AVERAGE(
    FILTER(
      $D$2:$D38,
      $A$2:$A38&gt;=A38-30,
      $A$2:$A38&lt;=A38,
      $D$2:$D38&gt;0
    )
  ),
"""")
"),4.7869953361247)</f>
        <v>4.7869953361246997</v>
      </c>
      <c r="H38" s="14"/>
    </row>
    <row r="39" spans="1:8" ht="15.75" customHeight="1" x14ac:dyDescent="0.25">
      <c r="A39" s="9">
        <v>45938</v>
      </c>
      <c r="B39" s="10">
        <v>1667.35</v>
      </c>
      <c r="C39" s="10">
        <v>51.85</v>
      </c>
      <c r="D39" s="11">
        <f t="shared" si="0"/>
        <v>3.1097250127447751</v>
      </c>
      <c r="E39" s="13">
        <v>3</v>
      </c>
      <c r="F39" s="14">
        <f t="shared" si="1"/>
        <v>-0.10972501274477509</v>
      </c>
      <c r="G39" s="14">
        <f ca="1">IFERROR(__xludf.DUMMYFUNCTION("IFERROR(
  AVERAGE(
    FILTER(
      $D$2:$D39,
      $A$2:$A39&gt;=A39-30,
      $A$2:$A39&lt;=A39,
      $D$2:$D39&gt;0
    )
  ),
"""")
"),4.71039278926821)</f>
        <v>4.7103927892682096</v>
      </c>
      <c r="H39" s="14"/>
    </row>
    <row r="40" spans="1:8" ht="15.75" customHeight="1" x14ac:dyDescent="0.25">
      <c r="A40" s="9">
        <v>45939</v>
      </c>
      <c r="B40" s="10">
        <v>2655</v>
      </c>
      <c r="C40" s="10">
        <v>119.6</v>
      </c>
      <c r="D40" s="11">
        <f t="shared" si="0"/>
        <v>4.5047080979284368</v>
      </c>
      <c r="E40" s="13">
        <v>3</v>
      </c>
      <c r="F40" s="14">
        <f t="shared" si="1"/>
        <v>-1.5047080979284368</v>
      </c>
      <c r="G40" s="14">
        <f ca="1">IFERROR(__xludf.DUMMYFUNCTION("IFERROR(
  AVERAGE(
    FILTER(
      $D$2:$D40,
      $A$2:$A40&gt;=A40-30,
      $A$2:$A40&lt;=A40,
      $D$2:$D40&gt;0
    )
  ),
"""")
"),4.70655130939709)</f>
        <v>4.7065513093970903</v>
      </c>
      <c r="H40" s="14"/>
    </row>
    <row r="41" spans="1:8" ht="15.75" customHeight="1" x14ac:dyDescent="0.25">
      <c r="A41" s="9">
        <v>45940</v>
      </c>
      <c r="B41" s="10">
        <v>2523</v>
      </c>
      <c r="C41" s="10">
        <v>168.1</v>
      </c>
      <c r="D41" s="11">
        <f t="shared" si="0"/>
        <v>6.6627031311930232</v>
      </c>
      <c r="E41" s="13">
        <v>3</v>
      </c>
      <c r="F41" s="14">
        <f t="shared" si="1"/>
        <v>-3.6627031311930232</v>
      </c>
      <c r="G41" s="14">
        <f ca="1">IFERROR(__xludf.DUMMYFUNCTION("IFERROR(
  AVERAGE(
    FILTER(
      $D$2:$D41,
      $A$2:$A41&gt;=A41-30,
      $A$2:$A41&lt;=A41,
      $D$2:$D41&gt;0
    )
  ),
"""")
"),4.80284128164873)</f>
        <v>4.80284128164873</v>
      </c>
      <c r="H41" s="14"/>
    </row>
    <row r="42" spans="1:8" ht="15.75" customHeight="1" x14ac:dyDescent="0.25">
      <c r="A42" s="9">
        <v>45941</v>
      </c>
      <c r="B42" s="10">
        <v>4779</v>
      </c>
      <c r="C42" s="10">
        <v>323.95</v>
      </c>
      <c r="D42" s="11">
        <f t="shared" si="0"/>
        <v>6.7786147729650557</v>
      </c>
      <c r="E42" s="13">
        <v>3</v>
      </c>
      <c r="F42" s="14">
        <f t="shared" si="1"/>
        <v>-3.7786147729650557</v>
      </c>
      <c r="G42" s="14">
        <f ca="1">IFERROR(__xludf.DUMMYFUNCTION("IFERROR(
  AVERAGE(
    FILTER(
      $D$2:$D42,
      $A$2:$A42&gt;=A42-30,
      $A$2:$A42&lt;=A42,
      $D$2:$D42&gt;0
    )
  ),
"""")
"),4.88542854020661)</f>
        <v>4.8854285402066102</v>
      </c>
      <c r="H42" s="14"/>
    </row>
    <row r="43" spans="1:8" ht="15.75" customHeight="1" x14ac:dyDescent="0.25">
      <c r="A43" s="9">
        <v>45942</v>
      </c>
      <c r="B43" s="10">
        <v>1585.5</v>
      </c>
      <c r="C43" s="10">
        <v>86.5</v>
      </c>
      <c r="D43" s="11">
        <f t="shared" si="0"/>
        <v>5.4556922106590982</v>
      </c>
      <c r="E43" s="13">
        <v>3</v>
      </c>
      <c r="F43" s="14">
        <f t="shared" si="1"/>
        <v>-2.4556922106590982</v>
      </c>
      <c r="G43" s="14">
        <f ca="1">IFERROR(__xludf.DUMMYFUNCTION("IFERROR(
  AVERAGE(
    FILTER(
      $D$2:$D43,
      $A$2:$A43&gt;=A43-30,
      $A$2:$A43&lt;=A43,
      $D$2:$D43&gt;0
    )
  ),
"""")
"),4.9513640910022)</f>
        <v>4.9513640910022003</v>
      </c>
      <c r="H43" s="14"/>
    </row>
    <row r="44" spans="1:8" ht="15.75" customHeight="1" x14ac:dyDescent="0.25">
      <c r="A44" s="9">
        <v>45943</v>
      </c>
      <c r="B44" s="10">
        <v>4499</v>
      </c>
      <c r="C44" s="10">
        <v>215.15</v>
      </c>
      <c r="D44" s="11">
        <f t="shared" si="0"/>
        <v>4.7821738164036454</v>
      </c>
      <c r="E44" s="13">
        <v>3</v>
      </c>
      <c r="F44" s="14">
        <f t="shared" si="1"/>
        <v>-1.7821738164036454</v>
      </c>
      <c r="G44" s="14">
        <f ca="1">IFERROR(__xludf.DUMMYFUNCTION("IFERROR(
  AVERAGE(
    FILTER(
      $D$2:$D44,
      $A$2:$A44&gt;=A44-30,
      $A$2:$A44&lt;=A44,
      $D$2:$D44&gt;0
    )
  ),
"""")
"),5.02733722695622)</f>
        <v>5.0273372269562202</v>
      </c>
      <c r="H44" s="14"/>
    </row>
    <row r="45" spans="1:8" ht="15.75" customHeight="1" x14ac:dyDescent="0.25">
      <c r="A45" s="9">
        <v>45944</v>
      </c>
      <c r="B45" s="10">
        <v>4705</v>
      </c>
      <c r="C45" s="10">
        <f>129+110</f>
        <v>239</v>
      </c>
      <c r="D45" s="11">
        <f t="shared" si="0"/>
        <v>5.079702444208289</v>
      </c>
      <c r="E45" s="13">
        <v>3</v>
      </c>
      <c r="F45" s="14">
        <f t="shared" si="1"/>
        <v>-2.079702444208289</v>
      </c>
      <c r="G45" s="14">
        <f ca="1">IFERROR(__xludf.DUMMYFUNCTION("IFERROR(
  AVERAGE(
    FILTER(
      $D$2:$D45,
      $A$2:$A45&gt;=A45-30,
      $A$2:$A45&lt;=A45,
      $D$2:$D45&gt;0
    )
  ),
"""")
"),5.11733410784702)</f>
        <v>5.1173341078470198</v>
      </c>
      <c r="H45" s="14"/>
    </row>
    <row r="46" spans="1:8" ht="15.75" customHeight="1" x14ac:dyDescent="0.25">
      <c r="A46" s="9">
        <v>45945</v>
      </c>
      <c r="B46" s="10">
        <v>3781.75</v>
      </c>
      <c r="C46" s="10">
        <v>171.45</v>
      </c>
      <c r="D46" s="11">
        <f t="shared" si="0"/>
        <v>4.5336153897005351</v>
      </c>
      <c r="E46" s="13">
        <v>3</v>
      </c>
      <c r="F46" s="14">
        <f t="shared" si="1"/>
        <v>-1.5336153897005351</v>
      </c>
      <c r="G46" s="14">
        <f ca="1">IFERROR(__xludf.DUMMYFUNCTION("IFERROR(
  AVERAGE(
    FILTER(
      $D$2:$D46,
      $A$2:$A46&gt;=A46-30,
      $A$2:$A46&lt;=A46,
      $D$2:$D46&gt;0
    )
  ),
"""")
"),5.20052140264475)</f>
        <v>5.2005214026447497</v>
      </c>
      <c r="H46" s="14"/>
    </row>
    <row r="47" spans="1:8" ht="15.75" customHeight="1" x14ac:dyDescent="0.25">
      <c r="A47" s="9">
        <v>45946</v>
      </c>
      <c r="B47" s="10">
        <v>3977</v>
      </c>
      <c r="C47" s="10">
        <v>154.55000000000001</v>
      </c>
      <c r="D47" s="11">
        <f t="shared" si="0"/>
        <v>3.8860950465174757</v>
      </c>
      <c r="E47" s="13">
        <v>3</v>
      </c>
      <c r="F47" s="14">
        <f t="shared" si="1"/>
        <v>-0.88609504651747573</v>
      </c>
      <c r="G47" s="14">
        <f ca="1">IFERROR(__xludf.DUMMYFUNCTION("IFERROR(
  AVERAGE(
    FILTER(
      $D$2:$D47,
      $A$2:$A47&gt;=A47-30,
      $A$2:$A47&lt;=A47,
      $D$2:$D47&gt;0
    )
  ),
"""")
"),5.20816789200634)</f>
        <v>5.2081678920063403</v>
      </c>
      <c r="H47" s="14"/>
    </row>
    <row r="48" spans="1:8" ht="15.75" customHeight="1" x14ac:dyDescent="0.25">
      <c r="A48" s="9">
        <v>45947</v>
      </c>
      <c r="B48" s="10">
        <v>5075</v>
      </c>
      <c r="C48" s="10">
        <v>198.05</v>
      </c>
      <c r="D48" s="11">
        <f t="shared" si="0"/>
        <v>3.9024630541871921</v>
      </c>
      <c r="E48" s="13">
        <v>3</v>
      </c>
      <c r="F48" s="14">
        <f t="shared" si="1"/>
        <v>-0.90246305418719208</v>
      </c>
      <c r="G48" s="14">
        <f ca="1">IFERROR(__xludf.DUMMYFUNCTION("IFERROR(
  AVERAGE(
    FILTER(
      $D$2:$D48,
      $A$2:$A48&gt;=A48-30,
      $A$2:$A48&lt;=A48,
      $D$2:$D48&gt;0
    )
  ),
"""")
"),5.21856118471623)</f>
        <v>5.2185611847162301</v>
      </c>
      <c r="H48" s="14"/>
    </row>
    <row r="49" spans="1:8" ht="15.75" customHeight="1" x14ac:dyDescent="0.25">
      <c r="A49" s="9">
        <v>45948</v>
      </c>
      <c r="B49" s="10">
        <v>1797</v>
      </c>
      <c r="C49" s="10">
        <v>76</v>
      </c>
      <c r="D49" s="11">
        <f t="shared" si="0"/>
        <v>4.2292710072342796</v>
      </c>
      <c r="E49" s="13">
        <v>3</v>
      </c>
      <c r="F49" s="14">
        <f t="shared" si="1"/>
        <v>-1.2292710072342796</v>
      </c>
      <c r="G49" s="14">
        <f ca="1">IFERROR(__xludf.DUMMYFUNCTION("IFERROR(
  AVERAGE(
    FILTER(
      $D$2:$D49,
      $A$2:$A49&gt;=A49-30,
      $A$2:$A49&lt;=A49,
      $D$2:$D49&gt;0
    )
  ),
"""")
"),5.22860266996924)</f>
        <v>5.2286026699692396</v>
      </c>
      <c r="H49" s="14"/>
    </row>
    <row r="50" spans="1:8" ht="15.75" customHeight="1" x14ac:dyDescent="0.25">
      <c r="A50" s="9">
        <v>45949</v>
      </c>
      <c r="B50" s="10">
        <v>125.5</v>
      </c>
      <c r="C50" s="10">
        <v>6</v>
      </c>
      <c r="D50" s="11">
        <f t="shared" si="0"/>
        <v>4.7808764940239046</v>
      </c>
      <c r="E50" s="13">
        <v>3</v>
      </c>
      <c r="F50" s="14">
        <f t="shared" si="1"/>
        <v>-1.7808764940239046</v>
      </c>
      <c r="G50" s="14">
        <f ca="1">IFERROR(__xludf.DUMMYFUNCTION("IFERROR(
  AVERAGE(
    FILTER(
      $D$2:$D50,
      $A$2:$A50&gt;=A50-30,
      $A$2:$A50&lt;=A50,
      $D$2:$D50&gt;0
    )
  ),
"""")
"),5.19934441948683)</f>
        <v>5.1993444194868301</v>
      </c>
      <c r="H50" s="14"/>
    </row>
    <row r="51" spans="1:8" ht="15.75" customHeight="1" x14ac:dyDescent="0.25">
      <c r="A51" s="9">
        <v>45950</v>
      </c>
      <c r="B51" s="10">
        <v>0</v>
      </c>
      <c r="C51" s="10">
        <v>0</v>
      </c>
      <c r="D51" s="11" t="e">
        <f t="shared" si="0"/>
        <v>#DIV/0!</v>
      </c>
      <c r="E51" s="13">
        <v>3</v>
      </c>
      <c r="F51" s="14" t="e">
        <f t="shared" si="1"/>
        <v>#DIV/0!</v>
      </c>
      <c r="G51" s="14">
        <f ca="1">IFERROR(__xludf.DUMMYFUNCTION("IFERROR(
  AVERAGE(
    FILTER(
      $D$2:$D51,
      $A$2:$A51&gt;=A51-30,
      $A$2:$A51&lt;=A51,
      $D$2:$D51&gt;0
    )
  ),
"""")
"),5.26207545692022)</f>
        <v>5.2620754569202202</v>
      </c>
      <c r="H51" s="14"/>
    </row>
    <row r="52" spans="1:8" ht="15.75" customHeight="1" x14ac:dyDescent="0.25">
      <c r="A52" s="9">
        <v>45951</v>
      </c>
      <c r="B52" s="10">
        <v>0</v>
      </c>
      <c r="C52" s="10">
        <v>0</v>
      </c>
      <c r="D52" s="11" t="e">
        <f t="shared" si="0"/>
        <v>#DIV/0!</v>
      </c>
      <c r="E52" s="13">
        <v>3</v>
      </c>
      <c r="F52" s="14" t="e">
        <f t="shared" si="1"/>
        <v>#DIV/0!</v>
      </c>
      <c r="G52" s="14">
        <f ca="1">IFERROR(__xludf.DUMMYFUNCTION("IFERROR(
  AVERAGE(
    FILTER(
      $D$2:$D52,
      $A$2:$A52&gt;=A52-30,
      $A$2:$A52&lt;=A52,
      $D$2:$D52&gt;0
    )
  ),
"""")
"),5.17276657049517)</f>
        <v>5.1727665704951704</v>
      </c>
      <c r="H52" s="14"/>
    </row>
    <row r="53" spans="1:8" ht="15.75" customHeight="1" x14ac:dyDescent="0.25">
      <c r="A53" s="9">
        <v>45952</v>
      </c>
      <c r="B53" s="10">
        <v>4014</v>
      </c>
      <c r="C53" s="10">
        <v>100</v>
      </c>
      <c r="D53" s="11">
        <f t="shared" si="0"/>
        <v>2.4912805181863478</v>
      </c>
      <c r="E53" s="13">
        <v>3</v>
      </c>
      <c r="F53" s="14">
        <f t="shared" si="1"/>
        <v>0.50871948181365223</v>
      </c>
      <c r="G53" s="14">
        <f ca="1">IFERROR(__xludf.DUMMYFUNCTION("IFERROR(
  AVERAGE(
    FILTER(
      $D$2:$D53,
      $A$2:$A53&gt;=A53-30,
      $A$2:$A53&lt;=A53,
      $D$2:$D53&gt;0
    )
  ),
"""")
"),5.10745072042595)</f>
        <v>5.1074507204259501</v>
      </c>
      <c r="H53" s="14"/>
    </row>
    <row r="54" spans="1:8" ht="15.75" customHeight="1" x14ac:dyDescent="0.25">
      <c r="A54" s="9">
        <v>45953</v>
      </c>
      <c r="B54" s="10">
        <f>2805.85+2136</f>
        <v>4941.8500000000004</v>
      </c>
      <c r="C54" s="10">
        <v>170</v>
      </c>
      <c r="D54" s="11">
        <f t="shared" si="0"/>
        <v>3.4400072847213088</v>
      </c>
      <c r="E54" s="13">
        <v>3</v>
      </c>
      <c r="F54" s="14">
        <f t="shared" si="1"/>
        <v>-0.44000728472130879</v>
      </c>
      <c r="G54" s="14">
        <f ca="1">IFERROR(__xludf.DUMMYFUNCTION("IFERROR(
  AVERAGE(
    FILTER(
      $D$2:$D54,
      $A$2:$A54&gt;=A54-30,
      $A$2:$A54&lt;=A54,
      $D$2:$D54&gt;0
    )
  ),
"""")
"),5.10633725957054)</f>
        <v>5.1063372595705401</v>
      </c>
      <c r="H54" s="14"/>
    </row>
    <row r="55" spans="1:8" ht="15.75" customHeight="1" x14ac:dyDescent="0.25">
      <c r="A55" s="9">
        <v>45954</v>
      </c>
      <c r="B55" s="10">
        <v>4379.5</v>
      </c>
      <c r="C55" s="10">
        <v>191.25</v>
      </c>
      <c r="D55" s="11">
        <f t="shared" si="0"/>
        <v>4.3669368649389204</v>
      </c>
      <c r="E55" s="13">
        <v>3</v>
      </c>
      <c r="F55" s="14">
        <f t="shared" si="1"/>
        <v>-1.3669368649389204</v>
      </c>
      <c r="G55" s="14">
        <f ca="1">IFERROR(__xludf.DUMMYFUNCTION("IFERROR(
  AVERAGE(
    FILTER(
      $D$2:$D55,
      $A$2:$A55&gt;=A55-30,
      $A$2:$A55&lt;=A55,
      $D$2:$D55&gt;0
    )
  ),
"""")
"),5.13655413397835)</f>
        <v>5.1365541339783496</v>
      </c>
      <c r="H55" s="14"/>
    </row>
    <row r="56" spans="1:8" ht="15.75" customHeight="1" x14ac:dyDescent="0.25">
      <c r="A56" s="9">
        <v>45955</v>
      </c>
      <c r="B56" s="10">
        <v>4057.08</v>
      </c>
      <c r="C56" s="10">
        <v>171.6</v>
      </c>
      <c r="D56" s="11">
        <f t="shared" si="0"/>
        <v>4.2296429944689278</v>
      </c>
      <c r="E56" s="13">
        <v>3</v>
      </c>
      <c r="F56" s="14">
        <f t="shared" si="1"/>
        <v>-1.2296429944689278</v>
      </c>
      <c r="G56" s="14">
        <f ca="1">IFERROR(__xludf.DUMMYFUNCTION("IFERROR(
  AVERAGE(
    FILTER(
      $D$2:$D56,
      $A$2:$A56&gt;=A56-30,
      $A$2:$A56&lt;=A56,
      $D$2:$D56&gt;0
    )
  ),
"""")
"),5.06065428700662)</f>
        <v>5.0606542870066198</v>
      </c>
      <c r="H56" s="14"/>
    </row>
    <row r="57" spans="1:8" ht="15.75" customHeight="1" x14ac:dyDescent="0.25">
      <c r="A57" s="9">
        <v>45956</v>
      </c>
      <c r="B57" s="10">
        <v>954</v>
      </c>
      <c r="C57" s="10">
        <v>49.8</v>
      </c>
      <c r="D57" s="11">
        <f t="shared" si="0"/>
        <v>5.2201257861635213</v>
      </c>
      <c r="E57" s="13">
        <v>3</v>
      </c>
      <c r="F57" s="14">
        <f t="shared" si="1"/>
        <v>-2.2201257861635213</v>
      </c>
      <c r="G57" s="14">
        <f ca="1">IFERROR(__xludf.DUMMYFUNCTION("IFERROR(
  AVERAGE(
    FILTER(
      $D$2:$D57,
      $A$2:$A57&gt;=A57-30,
      $A$2:$A57&lt;=A57,
      $D$2:$D57&gt;0
    )
  ),
"""")
"),4.96196443113947)</f>
        <v>4.9619644311394699</v>
      </c>
      <c r="H57" s="14"/>
    </row>
    <row r="58" spans="1:8" ht="15.75" customHeight="1" x14ac:dyDescent="0.25">
      <c r="A58" s="9">
        <v>45957</v>
      </c>
      <c r="B58" s="10">
        <v>2798.15</v>
      </c>
      <c r="C58" s="10">
        <v>152.5</v>
      </c>
      <c r="D58" s="11">
        <f t="shared" si="0"/>
        <v>5.4500294837660599</v>
      </c>
      <c r="E58" s="13">
        <v>3</v>
      </c>
      <c r="F58" s="14">
        <f t="shared" si="1"/>
        <v>-2.4500294837660599</v>
      </c>
      <c r="G58" s="14">
        <f ca="1">IFERROR(__xludf.DUMMYFUNCTION("IFERROR(
  AVERAGE(
    FILTER(
      $D$2:$D58,
      $A$2:$A58&gt;=A58-30,
      $A$2:$A58&lt;=A58,
      $D$2:$D58&gt;0
    )
  ),
"""")
"),4.9439240660897)</f>
        <v>4.9439240660896999</v>
      </c>
      <c r="H58" s="14"/>
    </row>
    <row r="59" spans="1:8" ht="15.75" customHeight="1" x14ac:dyDescent="0.25">
      <c r="A59" s="9">
        <v>45958</v>
      </c>
      <c r="B59" s="10">
        <v>4874</v>
      </c>
      <c r="C59" s="10">
        <v>194.95</v>
      </c>
      <c r="D59" s="11">
        <f t="shared" si="0"/>
        <v>3.9997948297086583</v>
      </c>
      <c r="E59" s="13">
        <v>3</v>
      </c>
      <c r="F59" s="14">
        <f t="shared" si="1"/>
        <v>-0.99979482970865829</v>
      </c>
      <c r="G59" s="14">
        <f ca="1">IFERROR(__xludf.DUMMYFUNCTION("IFERROR(
  AVERAGE(
    FILTER(
      $D$2:$D59,
      $A$2:$A59&gt;=A59-30,
      $A$2:$A59&lt;=A59,
      $D$2:$D59&gt;0
    )
  ),
"""")
"),4.93627239472806)</f>
        <v>4.9362723947280598</v>
      </c>
      <c r="H59" s="14"/>
    </row>
    <row r="60" spans="1:8" ht="15.75" customHeight="1" x14ac:dyDescent="0.25">
      <c r="A60" s="9">
        <v>45959</v>
      </c>
      <c r="B60" s="10">
        <v>3487.5</v>
      </c>
      <c r="C60" s="10">
        <v>123.75</v>
      </c>
      <c r="D60" s="11">
        <f t="shared" si="0"/>
        <v>3.5483870967741935</v>
      </c>
      <c r="E60" s="13">
        <v>3</v>
      </c>
      <c r="F60" s="14">
        <f t="shared" si="1"/>
        <v>-0.54838709677419351</v>
      </c>
      <c r="G60" s="14">
        <f ca="1">IFERROR(__xludf.DUMMYFUNCTION("IFERROR(
  AVERAGE(
    FILTER(
      $D$2:$D60,
      $A$2:$A60&gt;=A60-30,
      $A$2:$A60&lt;=A60,
      $D$2:$D60&gt;0
    )
  ),
"""")
"),4.68632090786832)</f>
        <v>4.6863209078683203</v>
      </c>
      <c r="H60" s="14"/>
    </row>
    <row r="61" spans="1:8" ht="15.75" customHeight="1" x14ac:dyDescent="0.25">
      <c r="A61" s="9">
        <v>45960</v>
      </c>
      <c r="B61" s="10">
        <v>2748</v>
      </c>
      <c r="C61" s="10">
        <v>109.7</v>
      </c>
      <c r="D61" s="11">
        <f t="shared" si="0"/>
        <v>3.9919941775836971</v>
      </c>
      <c r="E61" s="13">
        <v>3</v>
      </c>
      <c r="F61" s="14">
        <f t="shared" si="1"/>
        <v>-0.99199417758369712</v>
      </c>
      <c r="G61" s="14">
        <f ca="1">IFERROR(__xludf.DUMMYFUNCTION("IFERROR(
  AVERAGE(
    FILTER(
      $D$2:$D61,
      $A$2:$A61&gt;=A61-30,
      $A$2:$A61&lt;=A61,
      $D$2:$D61&gt;0
    )
  ),
"""")
"),4.63289335312068)</f>
        <v>4.6328933531206804</v>
      </c>
      <c r="H61" s="14"/>
    </row>
    <row r="62" spans="1:8" ht="15.75" customHeight="1" x14ac:dyDescent="0.25">
      <c r="A62" s="9">
        <v>45961</v>
      </c>
      <c r="B62" s="10">
        <f>1250+1605</f>
        <v>2855</v>
      </c>
      <c r="C62" s="10">
        <v>94.35</v>
      </c>
      <c r="D62" s="11">
        <f t="shared" si="0"/>
        <v>3.3047285464098066</v>
      </c>
      <c r="E62" s="13">
        <v>3</v>
      </c>
      <c r="F62" s="14">
        <f t="shared" si="1"/>
        <v>-0.30472854640980662</v>
      </c>
      <c r="G62" s="14">
        <f ca="1">IFERROR(__xludf.DUMMYFUNCTION("IFERROR(
  AVERAGE(
    FILTER(
      $D$2:$D62,
      $A$2:$A62&gt;=A62-30,
      $A$2:$A62&lt;=A62,
      $D$2:$D62&gt;0
    )
  ),
"""")
"),4.5609773640346)</f>
        <v>4.5609773640346001</v>
      </c>
      <c r="H62" s="14"/>
    </row>
    <row r="63" spans="1:8" ht="15.75" customHeight="1" x14ac:dyDescent="0.25">
      <c r="A63" s="9">
        <v>45962</v>
      </c>
      <c r="B63" s="10">
        <f>1124.35+1873</f>
        <v>2997.35</v>
      </c>
      <c r="C63" s="10">
        <f>38.85+77</f>
        <v>115.85</v>
      </c>
      <c r="D63" s="11">
        <f t="shared" si="0"/>
        <v>3.8650808213922296</v>
      </c>
      <c r="E63" s="13">
        <v>3</v>
      </c>
      <c r="F63" s="14">
        <f t="shared" si="1"/>
        <v>-0.86508082139222964</v>
      </c>
      <c r="G63" s="14">
        <f ca="1">IFERROR(__xludf.DUMMYFUNCTION("IFERROR(
  AVERAGE(
    FILTER(
      $D$2:$D63,
      $A$2:$A63&gt;=A63-30,
      $A$2:$A63&lt;=A63,
      $D$2:$D63&gt;0
    )
  ),
"""")
"),4.51455792744002)</f>
        <v>4.5145579274400198</v>
      </c>
      <c r="H63" s="14"/>
    </row>
    <row r="64" spans="1:8" ht="15.75" customHeight="1" x14ac:dyDescent="0.25">
      <c r="A64" s="9">
        <v>45963</v>
      </c>
      <c r="B64" s="10">
        <v>1032.2</v>
      </c>
      <c r="C64" s="10">
        <v>22.2</v>
      </c>
      <c r="D64" s="11">
        <f t="shared" si="0"/>
        <v>2.1507459794613446</v>
      </c>
      <c r="E64" s="13">
        <v>3</v>
      </c>
      <c r="F64" s="14">
        <f t="shared" si="1"/>
        <v>0.8492540205386554</v>
      </c>
      <c r="G64" s="14">
        <f ca="1">IFERROR(__xludf.DUMMYFUNCTION("IFERROR(
  AVERAGE(
    FILTER(
      $D$2:$D64,
      $A$2:$A64&gt;=A64-30,
      $A$2:$A64&lt;=A64,
      $D$2:$D64&gt;0
    )
  ),
"""")
"),4.43304717061317)</f>
        <v>4.43304717061317</v>
      </c>
      <c r="H64" s="14"/>
    </row>
    <row r="65" spans="1:8" ht="15.75" customHeight="1" x14ac:dyDescent="0.25">
      <c r="A65" s="9">
        <v>45964</v>
      </c>
      <c r="B65" s="10">
        <v>4060.5</v>
      </c>
      <c r="C65" s="10">
        <v>202.5</v>
      </c>
      <c r="D65" s="11">
        <f t="shared" si="0"/>
        <v>4.9870705578130776</v>
      </c>
      <c r="E65" s="13">
        <v>3</v>
      </c>
      <c r="F65" s="14">
        <f t="shared" si="1"/>
        <v>-1.9870705578130776</v>
      </c>
      <c r="G65" s="14">
        <f ca="1">IFERROR(__xludf.DUMMYFUNCTION("IFERROR(
  AVERAGE(
    FILTER(
      $D$2:$D65,
      $A$2:$A65&gt;=A65-30,
      $A$2:$A65&lt;=A65,
      $D$2:$D65&gt;0
    )
  ),
"""")
"),4.39664480908013)</f>
        <v>4.3966448090801302</v>
      </c>
      <c r="H65" s="14"/>
    </row>
    <row r="66" spans="1:8" ht="15.75" customHeight="1" x14ac:dyDescent="0.25">
      <c r="A66" s="9">
        <v>45965</v>
      </c>
      <c r="B66" s="10">
        <v>3679</v>
      </c>
      <c r="C66" s="10">
        <f>73.1+84.5</f>
        <v>157.6</v>
      </c>
      <c r="D66" s="11">
        <f t="shared" si="0"/>
        <v>4.2837727643381358</v>
      </c>
      <c r="E66" s="13">
        <v>3</v>
      </c>
      <c r="F66" s="14">
        <f t="shared" si="1"/>
        <v>-1.2837727643381358</v>
      </c>
      <c r="G66" s="14">
        <f ca="1">IFERROR(__xludf.DUMMYFUNCTION("IFERROR(
  AVERAGE(
    FILTER(
      $D$2:$D66,
      $A$2:$A66&gt;=A66-30,
      $A$2:$A66&lt;=A66,
      $D$2:$D66&gt;0
    )
  ),
"""")
"),4.36303725662663)</f>
        <v>4.3630372566266296</v>
      </c>
      <c r="H66" s="14"/>
    </row>
    <row r="67" spans="1:8" ht="15.75" customHeight="1" x14ac:dyDescent="0.25">
      <c r="A67" s="9">
        <v>45966</v>
      </c>
      <c r="B67" s="10">
        <f>1506.4+1755.6</f>
        <v>3262</v>
      </c>
      <c r="C67" s="10">
        <f>74.9+84.6</f>
        <v>159.5</v>
      </c>
      <c r="D67" s="11">
        <f t="shared" si="0"/>
        <v>4.8896382587369711</v>
      </c>
      <c r="E67" s="13">
        <v>3</v>
      </c>
      <c r="F67" s="14">
        <f t="shared" si="1"/>
        <v>-1.8896382587369711</v>
      </c>
      <c r="G67" s="14">
        <f ca="1">IFERROR(__xludf.DUMMYFUNCTION("IFERROR(
  AVERAGE(
    FILTER(
      $D$2:$D67,
      $A$2:$A67&gt;=A67-30,
      $A$2:$A67&lt;=A67,
      $D$2:$D67&gt;0
    )
  ),
"""")
"),4.39191451374868)</f>
        <v>4.3919145137486799</v>
      </c>
      <c r="H67" s="14"/>
    </row>
    <row r="68" spans="1:8" ht="15.75" customHeight="1" x14ac:dyDescent="0.25">
      <c r="A68" s="9">
        <v>45967</v>
      </c>
      <c r="B68" s="10">
        <v>3916</v>
      </c>
      <c r="C68" s="10">
        <v>248.05</v>
      </c>
      <c r="D68" s="11">
        <f t="shared" si="0"/>
        <v>6.3342696629213489</v>
      </c>
      <c r="E68" s="13">
        <v>3</v>
      </c>
      <c r="F68" s="14">
        <f t="shared" si="1"/>
        <v>-3.3342696629213489</v>
      </c>
      <c r="G68" s="14">
        <f ca="1">IFERROR(__xludf.DUMMYFUNCTION("IFERROR(
  AVERAGE(
    FILTER(
      $D$2:$D68,
      $A$2:$A68&gt;=A68-30,
      $A$2:$A68&lt;=A68,
      $D$2:$D68&gt;0
    )
  ),
"""")
"),4.41690460477781)</f>
        <v>4.4169046047778098</v>
      </c>
      <c r="H68" s="14"/>
    </row>
    <row r="69" spans="1:8" ht="15.75" customHeight="1" x14ac:dyDescent="0.25">
      <c r="A69" s="9">
        <v>45968</v>
      </c>
      <c r="B69" s="10">
        <v>3389</v>
      </c>
      <c r="C69" s="10">
        <v>228</v>
      </c>
      <c r="D69" s="11">
        <f t="shared" si="0"/>
        <v>6.7276482738270875</v>
      </c>
      <c r="E69" s="13">
        <v>3</v>
      </c>
      <c r="F69" s="14">
        <f t="shared" si="1"/>
        <v>-3.7276482738270875</v>
      </c>
      <c r="G69" s="14">
        <f ca="1">IFERROR(__xludf.DUMMYFUNCTION("IFERROR(
  AVERAGE(
    FILTER(
      $D$2:$D69,
      $A$2:$A69&gt;=A69-30,
      $A$2:$A69&lt;=A69,
      $D$2:$D69&gt;0
    )
  ),
"""")
"),4.51678601306818)</f>
        <v>4.5167860130681801</v>
      </c>
      <c r="H69" s="14"/>
    </row>
    <row r="70" spans="1:8" ht="15.75" customHeight="1" x14ac:dyDescent="0.25">
      <c r="A70" s="9">
        <v>45969</v>
      </c>
      <c r="B70" s="10">
        <v>3996</v>
      </c>
      <c r="C70" s="10">
        <v>221.8</v>
      </c>
      <c r="D70" s="11">
        <f t="shared" si="0"/>
        <v>5.5505505505505512</v>
      </c>
      <c r="E70" s="13">
        <v>3</v>
      </c>
      <c r="F70" s="14">
        <f t="shared" si="1"/>
        <v>-2.5505505505505512</v>
      </c>
      <c r="G70" s="14">
        <f ca="1">IFERROR(__xludf.DUMMYFUNCTION("IFERROR(
  AVERAGE(
    FILTER(
      $D$2:$D70,
      $A$2:$A70&gt;=A70-30,
      $A$2:$A70&lt;=A70,
      $D$2:$D70&gt;0
    )
  ),
"""")
"),4.60095241092355)</f>
        <v>4.6009524109235498</v>
      </c>
      <c r="H70" s="14"/>
    </row>
    <row r="71" spans="1:8" ht="15.75" customHeight="1" x14ac:dyDescent="0.25">
      <c r="A71" s="9">
        <v>45970</v>
      </c>
      <c r="B71" s="10">
        <v>1837</v>
      </c>
      <c r="C71" s="10">
        <v>78.55</v>
      </c>
      <c r="D71" s="11">
        <f t="shared" si="0"/>
        <v>4.2759934676102338</v>
      </c>
      <c r="E71" s="13">
        <v>3</v>
      </c>
      <c r="F71" s="14">
        <f t="shared" si="1"/>
        <v>-1.2759934676102338</v>
      </c>
      <c r="G71" s="14">
        <f ca="1">IFERROR(__xludf.DUMMYFUNCTION("IFERROR(
  AVERAGE(
    FILTER(
      $D$2:$D71,
      $A$2:$A71&gt;=A71-30,
      $A$2:$A71&lt;=A71,
      $D$2:$D71&gt;0
    )
  ),
"""")
"),4.59306569953327)</f>
        <v>4.5930656995332697</v>
      </c>
      <c r="H71" s="14"/>
    </row>
    <row r="72" spans="1:8" ht="15.75" customHeight="1" x14ac:dyDescent="0.25">
      <c r="A72" s="9">
        <v>45971</v>
      </c>
      <c r="B72" s="10">
        <v>5655.45</v>
      </c>
      <c r="C72" s="10">
        <v>215</v>
      </c>
      <c r="D72" s="11">
        <f t="shared" si="0"/>
        <v>3.8016426632717115</v>
      </c>
      <c r="E72" s="13">
        <v>3</v>
      </c>
      <c r="F72" s="14">
        <f t="shared" si="1"/>
        <v>-0.80164266327171152</v>
      </c>
      <c r="G72" s="14">
        <f ca="1">IFERROR(__xludf.DUMMYFUNCTION("IFERROR(
  AVERAGE(
    FILTER(
      $D$2:$D72,
      $A$2:$A72&gt;=A72-30,
      $A$2:$A72&lt;=A72,
      $D$2:$D72&gt;0
    )
  ),
"""")
"),4.49440844201874)</f>
        <v>4.4944084420187398</v>
      </c>
      <c r="H72" s="14"/>
    </row>
    <row r="73" spans="1:8" ht="15.75" customHeight="1" x14ac:dyDescent="0.25">
      <c r="A73" s="9">
        <v>45972</v>
      </c>
      <c r="B73" s="10">
        <v>5181.66</v>
      </c>
      <c r="C73" s="10">
        <v>273.16000000000003</v>
      </c>
      <c r="D73" s="11">
        <f t="shared" si="0"/>
        <v>5.2716696965837206</v>
      </c>
      <c r="E73" s="13">
        <v>3</v>
      </c>
      <c r="F73" s="14">
        <f t="shared" si="1"/>
        <v>-2.2716696965837206</v>
      </c>
      <c r="G73" s="14">
        <f ca="1">IFERROR(__xludf.DUMMYFUNCTION("IFERROR(
  AVERAGE(
    FILTER(
      $D$2:$D73,
      $A$2:$A73&gt;=A73-30,
      $A$2:$A73&lt;=A73,
      $D$2:$D73&gt;0
    )
  ),
"""")
"),4.44244481869525)</f>
        <v>4.4424448186952503</v>
      </c>
      <c r="H73" s="14"/>
    </row>
    <row r="74" spans="1:8" ht="15.75" customHeight="1" x14ac:dyDescent="0.25">
      <c r="A74" s="9">
        <v>45973</v>
      </c>
      <c r="B74" s="10">
        <v>2901</v>
      </c>
      <c r="C74" s="10">
        <v>202.65</v>
      </c>
      <c r="D74" s="11">
        <f t="shared" si="0"/>
        <v>6.9855222337125129</v>
      </c>
      <c r="E74" s="13">
        <v>3</v>
      </c>
      <c r="F74" s="14">
        <f t="shared" si="1"/>
        <v>-3.9855222337125129</v>
      </c>
      <c r="G74" s="14">
        <f ca="1">IFERROR(__xludf.DUMMYFUNCTION("IFERROR(
  AVERAGE(
    FILTER(
      $D$2:$D74,
      $A$2:$A74&gt;=A74-30,
      $A$2:$A74&lt;=A74,
      $D$2:$D74&gt;0
    )
  ),
"""")
"),4.49519757811088)</f>
        <v>4.4951975781108802</v>
      </c>
      <c r="H74" s="14"/>
    </row>
    <row r="75" spans="1:8" ht="15.75" customHeight="1" x14ac:dyDescent="0.25">
      <c r="A75" s="9">
        <v>45974</v>
      </c>
      <c r="B75" s="10">
        <v>3850</v>
      </c>
      <c r="C75" s="10">
        <f>97.4+99.7</f>
        <v>197.10000000000002</v>
      </c>
      <c r="D75" s="11">
        <f t="shared" si="0"/>
        <v>5.1194805194805202</v>
      </c>
      <c r="E75" s="13">
        <v>3</v>
      </c>
      <c r="F75" s="14">
        <f t="shared" si="1"/>
        <v>-2.1194805194805202</v>
      </c>
      <c r="G75" s="14">
        <f ca="1">IFERROR(__xludf.DUMMYFUNCTION("IFERROR(
  AVERAGE(
    FILTER(
      $D$2:$D75,
      $A$2:$A75&gt;=A75-30,
      $A$2:$A75&lt;=A75,
      $D$2:$D75&gt;0
    )
  ),
"""")
"),4.50682884373422)</f>
        <v>4.5068288437342199</v>
      </c>
      <c r="H75" s="14"/>
    </row>
    <row r="76" spans="1:8" ht="15.75" customHeight="1" x14ac:dyDescent="0.25">
      <c r="A76" s="9">
        <v>45975</v>
      </c>
      <c r="B76" s="10">
        <v>3151</v>
      </c>
      <c r="C76" s="10">
        <v>172</v>
      </c>
      <c r="D76" s="11">
        <f t="shared" si="0"/>
        <v>5.4585845763249763</v>
      </c>
      <c r="E76" s="13">
        <v>3</v>
      </c>
      <c r="F76" s="14">
        <f t="shared" si="1"/>
        <v>-2.4585845763249763</v>
      </c>
      <c r="G76" s="14">
        <f ca="1">IFERROR(__xludf.DUMMYFUNCTION("IFERROR(
  AVERAGE(
    FILTER(
      $D$2:$D76,
      $A$2:$A76&gt;=A76-30,
      $A$2:$A76&lt;=A76,
      $D$2:$D76&gt;0
    )
  ),
"""")
"),4.51989374484169)</f>
        <v>4.5198937448416903</v>
      </c>
      <c r="H76" s="14"/>
    </row>
    <row r="77" spans="1:8" ht="15.75" customHeight="1" x14ac:dyDescent="0.25">
      <c r="A77" s="9">
        <v>45976</v>
      </c>
      <c r="B77" s="10">
        <v>3463</v>
      </c>
      <c r="C77" s="10">
        <v>117</v>
      </c>
      <c r="D77" s="11">
        <f t="shared" si="0"/>
        <v>3.3785734911926073</v>
      </c>
      <c r="E77" s="13">
        <v>3</v>
      </c>
      <c r="F77" s="14">
        <f t="shared" si="1"/>
        <v>-0.3785734911926073</v>
      </c>
      <c r="G77" s="14">
        <f ca="1">IFERROR(__xludf.DUMMYFUNCTION("IFERROR(
  AVERAGE(
    FILTER(
      $D$2:$D77,
      $A$2:$A77&gt;=A77-30,
      $A$2:$A77&lt;=A77,
      $D$2:$D77&gt;0
    )
  ),
"""")
"),4.48006471385866)</f>
        <v>4.4800647138586598</v>
      </c>
      <c r="H77" s="14"/>
    </row>
    <row r="78" spans="1:8" ht="15.75" customHeight="1" x14ac:dyDescent="0.25">
      <c r="A78" s="9">
        <v>45977</v>
      </c>
      <c r="B78" s="10">
        <v>1126.5</v>
      </c>
      <c r="C78" s="10">
        <v>73.400000000000006</v>
      </c>
      <c r="D78" s="11">
        <f t="shared" si="0"/>
        <v>6.515756768752774</v>
      </c>
      <c r="E78" s="13">
        <v>3</v>
      </c>
      <c r="F78" s="14">
        <f t="shared" si="1"/>
        <v>-3.515756768752774</v>
      </c>
      <c r="G78" s="14">
        <f ca="1">IFERROR(__xludf.DUMMYFUNCTION("IFERROR(
  AVERAGE(
    FILTER(
      $D$2:$D78,
      $A$2:$A78&gt;=A78-30,
      $A$2:$A78&lt;=A78,
      $D$2:$D78&gt;0
    )
  ),
"""")
"),4.57074270428057)</f>
        <v>4.5707427042805699</v>
      </c>
      <c r="H78" s="14"/>
    </row>
    <row r="79" spans="1:8" ht="15.75" customHeight="1" x14ac:dyDescent="0.25">
      <c r="A79" s="9">
        <v>45978</v>
      </c>
      <c r="B79" s="10">
        <v>3230</v>
      </c>
      <c r="C79" s="10">
        <f>130.2+51.1</f>
        <v>181.29999999999998</v>
      </c>
      <c r="D79" s="11">
        <f t="shared" si="0"/>
        <v>5.6130030959752313</v>
      </c>
      <c r="E79" s="13">
        <v>3</v>
      </c>
      <c r="F79" s="14">
        <f t="shared" si="1"/>
        <v>-2.6130030959752313</v>
      </c>
      <c r="G79" s="14">
        <f ca="1">IFERROR(__xludf.DUMMYFUNCTION("IFERROR(
  AVERAGE(
    FILTER(
      $D$2:$D79,
      $A$2:$A79&gt;=A79-30,
      $A$2:$A79&lt;=A79,
      $D$2:$D79&gt;0
    )
  ),
"""")
"),4.62972684365257)</f>
        <v>4.6297268436525698</v>
      </c>
      <c r="H79" s="14"/>
    </row>
    <row r="80" spans="1:8" ht="15.75" customHeight="1" x14ac:dyDescent="0.25">
      <c r="A80" s="9">
        <v>45979</v>
      </c>
      <c r="B80" s="10">
        <v>2832</v>
      </c>
      <c r="C80" s="10">
        <v>184</v>
      </c>
      <c r="D80" s="11">
        <f t="shared" si="0"/>
        <v>6.4971751412429377</v>
      </c>
      <c r="E80" s="13">
        <v>3</v>
      </c>
      <c r="F80" s="14">
        <f t="shared" si="1"/>
        <v>-3.4971751412429377</v>
      </c>
      <c r="G80" s="14">
        <f ca="1">IFERROR(__xludf.DUMMYFUNCTION("IFERROR(
  AVERAGE(
    FILTER(
      $D$2:$D80,
      $A$2:$A80&gt;=A80-30,
      $A$2:$A80&lt;=A80,
      $D$2:$D80&gt;0
    )
  ),
"""")
"),4.70793043448046)</f>
        <v>4.7079304344804598</v>
      </c>
      <c r="H80" s="14"/>
    </row>
    <row r="81" spans="1:8" ht="15.75" customHeight="1" x14ac:dyDescent="0.25">
      <c r="A81" s="9">
        <v>45980</v>
      </c>
      <c r="B81" s="10">
        <v>2796</v>
      </c>
      <c r="C81" s="10">
        <v>189.25</v>
      </c>
      <c r="D81" s="11">
        <f t="shared" si="0"/>
        <v>6.7685979971387695</v>
      </c>
      <c r="E81" s="13">
        <v>3</v>
      </c>
      <c r="F81" s="14">
        <f t="shared" si="1"/>
        <v>-3.7685979971387695</v>
      </c>
      <c r="G81" s="14">
        <f ca="1">IFERROR(__xludf.DUMMYFUNCTION("IFERROR(
  AVERAGE(
    FILTER(
      $D$2:$D81,
      $A$2:$A81&gt;=A81-30,
      $A$2:$A81&lt;=A81,
      $D$2:$D81&gt;0
    )
  ),
"""")
"),4.77647255527752)</f>
        <v>4.77647255527752</v>
      </c>
      <c r="H81" s="14"/>
    </row>
    <row r="82" spans="1:8" ht="15.75" customHeight="1" x14ac:dyDescent="0.25">
      <c r="A82" s="9">
        <v>45981</v>
      </c>
      <c r="B82" s="10">
        <v>2886.75</v>
      </c>
      <c r="C82" s="10">
        <v>152.25</v>
      </c>
      <c r="D82" s="11">
        <f t="shared" si="0"/>
        <v>5.2740971680956097</v>
      </c>
      <c r="E82" s="13">
        <v>3</v>
      </c>
      <c r="F82" s="14">
        <f t="shared" si="1"/>
        <v>-2.2740971680956097</v>
      </c>
      <c r="G82" s="14">
        <f ca="1">IFERROR(__xludf.DUMMYFUNCTION("IFERROR(
  AVERAGE(
    FILTER(
      $D$2:$D82,
      $A$2:$A82&gt;=A82-30,
      $A$2:$A82&lt;=A82,
      $D$2:$D82&gt;0
    )
  ),
"""")
"),4.79306004237146)</f>
        <v>4.7930600423714598</v>
      </c>
      <c r="H82" s="14"/>
    </row>
    <row r="83" spans="1:8" ht="15.75" customHeight="1" x14ac:dyDescent="0.25">
      <c r="A83" s="9">
        <v>45982</v>
      </c>
      <c r="B83" s="10">
        <v>3102</v>
      </c>
      <c r="C83" s="10">
        <v>221</v>
      </c>
      <c r="D83" s="11">
        <f t="shared" si="0"/>
        <v>7.1244358478401031</v>
      </c>
      <c r="E83" s="13">
        <v>3</v>
      </c>
      <c r="F83" s="14">
        <f t="shared" si="1"/>
        <v>-4.1244358478401031</v>
      </c>
      <c r="G83" s="14">
        <f ca="1">IFERROR(__xludf.DUMMYFUNCTION("IFERROR(
  AVERAGE(
    FILTER(
      $D$2:$D83,
      $A$2:$A83&gt;=A83-30,
      $A$2:$A83&lt;=A83,
      $D$2:$D83&gt;0
    )
  ),
"""")
"),4.8682657135156)</f>
        <v>4.8682657135155996</v>
      </c>
      <c r="H83" s="14"/>
    </row>
    <row r="84" spans="1:8" ht="15.75" customHeight="1" x14ac:dyDescent="0.25">
      <c r="A84" s="9">
        <v>45983</v>
      </c>
      <c r="B84" s="10">
        <v>2315</v>
      </c>
      <c r="C84" s="10">
        <v>185.95</v>
      </c>
      <c r="D84" s="11">
        <f t="shared" si="0"/>
        <v>8.032397408207343</v>
      </c>
      <c r="E84" s="13">
        <v>3</v>
      </c>
      <c r="F84" s="14">
        <f t="shared" si="1"/>
        <v>-5.032397408207343</v>
      </c>
      <c r="G84" s="14">
        <f ca="1">IFERROR(__xludf.DUMMYFUNCTION("IFERROR(
  AVERAGE(
    FILTER(
      $D$2:$D84,
      $A$2:$A84&gt;=A84-30,
      $A$2:$A84&lt;=A84,
      $D$2:$D84&gt;0
    )
  ),
"""")
"),5.04701141964531)</f>
        <v>5.04701141964531</v>
      </c>
      <c r="H84" s="14"/>
    </row>
    <row r="85" spans="1:8" ht="15.75" customHeight="1" x14ac:dyDescent="0.25">
      <c r="A85" s="9">
        <v>45984</v>
      </c>
      <c r="B85" s="10">
        <v>773.7</v>
      </c>
      <c r="C85" s="10">
        <v>63.7</v>
      </c>
      <c r="D85" s="11">
        <f t="shared" si="0"/>
        <v>8.2331653095515058</v>
      </c>
      <c r="E85" s="13">
        <v>3</v>
      </c>
      <c r="F85" s="14">
        <f t="shared" si="1"/>
        <v>-5.2331653095515058</v>
      </c>
      <c r="G85" s="14">
        <f ca="1">IFERROR(__xludf.DUMMYFUNCTION("IFERROR(
  AVERAGE(
    FILTER(
      $D$2:$D85,
      $A$2:$A85&gt;=A85-30,
      $A$2:$A85&lt;=A85,
      $D$2:$D85&gt;0
    )
  ),
"""")
"),5.20162942044629)</f>
        <v>5.2016294204462898</v>
      </c>
      <c r="H85" s="14"/>
    </row>
    <row r="86" spans="1:8" ht="15.75" customHeight="1" x14ac:dyDescent="0.25">
      <c r="A86" s="9">
        <v>45985</v>
      </c>
      <c r="B86" s="10">
        <v>2242</v>
      </c>
      <c r="C86" s="10">
        <v>118</v>
      </c>
      <c r="D86" s="11">
        <f t="shared" si="0"/>
        <v>5.2631578947368416</v>
      </c>
      <c r="E86" s="13">
        <v>3</v>
      </c>
      <c r="F86" s="14">
        <f t="shared" si="1"/>
        <v>-2.2631578947368416</v>
      </c>
      <c r="G86" s="14">
        <f ca="1">IFERROR(__xludf.DUMMYFUNCTION("IFERROR(
  AVERAGE(
    FILTER(
      $D$2:$D86,
      $A$2:$A86&gt;=A86-30,
      $A$2:$A86&lt;=A86,
      $D$2:$D86&gt;0
    )
  ),
"""")
"),5.23053977624622)</f>
        <v>5.2305397762462196</v>
      </c>
      <c r="H86" s="14"/>
    </row>
    <row r="87" spans="1:8" ht="15.75" customHeight="1" x14ac:dyDescent="0.25">
      <c r="A87" s="9">
        <v>45986</v>
      </c>
      <c r="B87" s="10">
        <v>2818.75</v>
      </c>
      <c r="C87" s="10">
        <v>166</v>
      </c>
      <c r="D87" s="11">
        <f t="shared" si="0"/>
        <v>5.8891352549889131</v>
      </c>
      <c r="E87" s="13">
        <v>3</v>
      </c>
      <c r="F87" s="14">
        <f t="shared" si="1"/>
        <v>-2.8891352549889131</v>
      </c>
      <c r="G87" s="14">
        <f ca="1">IFERROR(__xludf.DUMMYFUNCTION("IFERROR(
  AVERAGE(
    FILTER(
      $D$2:$D87,
      $A$2:$A87&gt;=A87-30,
      $A$2:$A87&lt;=A87,
      $D$2:$D87&gt;0
    )
  ),
"""")
"),5.28407178465009)</f>
        <v>5.2840717846500898</v>
      </c>
      <c r="H87" s="14"/>
    </row>
    <row r="88" spans="1:8" ht="15.75" customHeight="1" x14ac:dyDescent="0.25">
      <c r="A88" s="9">
        <v>45987</v>
      </c>
      <c r="B88" s="10">
        <v>3654</v>
      </c>
      <c r="C88" s="10">
        <v>213</v>
      </c>
      <c r="D88" s="11">
        <f t="shared" si="0"/>
        <v>5.8292282430213467</v>
      </c>
      <c r="E88" s="13">
        <v>3</v>
      </c>
      <c r="F88" s="14">
        <f t="shared" si="1"/>
        <v>-2.8292282430213467</v>
      </c>
      <c r="G88" s="14">
        <f ca="1">IFERROR(__xludf.DUMMYFUNCTION("IFERROR(
  AVERAGE(
    FILTER(
      $D$2:$D88,
      $A$2:$A88&gt;=A88-30,
      $A$2:$A88&lt;=A88,
      $D$2:$D88&gt;0
    )
  ),
"""")
"),5.30372025100034)</f>
        <v>5.3037202510003398</v>
      </c>
      <c r="H88" s="14"/>
    </row>
    <row r="89" spans="1:8" ht="15.75" customHeight="1" x14ac:dyDescent="0.25">
      <c r="A89" s="9">
        <v>45988</v>
      </c>
      <c r="B89" s="10">
        <v>4155</v>
      </c>
      <c r="C89" s="10">
        <v>243</v>
      </c>
      <c r="D89" s="11">
        <f t="shared" si="0"/>
        <v>5.8483754512635375</v>
      </c>
      <c r="E89" s="13">
        <v>3</v>
      </c>
      <c r="F89" s="14">
        <f t="shared" si="1"/>
        <v>-2.8483754512635375</v>
      </c>
      <c r="G89" s="14">
        <f ca="1">IFERROR(__xludf.DUMMYFUNCTION("IFERROR(
  AVERAGE(
    FILTER(
      $D$2:$D89,
      $A$2:$A89&gt;=A89-30,
      $A$2:$A89&lt;=A89,
      $D$2:$D89&gt;0
    )
  ),
"""")
"),5.31657012091962)</f>
        <v>5.3165701209196197</v>
      </c>
      <c r="H89" s="14"/>
    </row>
    <row r="90" spans="1:8" ht="15.75" customHeight="1" x14ac:dyDescent="0.25">
      <c r="A90" s="9">
        <v>45989</v>
      </c>
      <c r="B90" s="10">
        <v>1874</v>
      </c>
      <c r="C90" s="10">
        <f>83.7+35.75</f>
        <v>119.45</v>
      </c>
      <c r="D90" s="11">
        <f t="shared" si="0"/>
        <v>6.3740661686232656</v>
      </c>
      <c r="E90" s="13">
        <v>3</v>
      </c>
      <c r="F90" s="14">
        <f t="shared" si="1"/>
        <v>-3.3740661686232656</v>
      </c>
      <c r="G90" s="14">
        <f ca="1">IFERROR(__xludf.DUMMYFUNCTION("IFERROR(
  AVERAGE(
    FILTER(
      $D$2:$D90,
      $A$2:$A90&gt;=A90-30,
      $A$2:$A90&lt;=A90,
      $D$2:$D90&gt;0
    )
  ),
"""")
"),5.39315951894912)</f>
        <v>5.3931595189491199</v>
      </c>
      <c r="H90" s="14"/>
    </row>
    <row r="91" spans="1:8" ht="15.75" customHeight="1" x14ac:dyDescent="0.25">
      <c r="A91" s="9">
        <v>45990</v>
      </c>
      <c r="B91" s="10">
        <v>2735</v>
      </c>
      <c r="C91" s="10">
        <v>132</v>
      </c>
      <c r="D91" s="11">
        <f t="shared" si="0"/>
        <v>4.826325411334552</v>
      </c>
      <c r="E91" s="13">
        <v>3</v>
      </c>
      <c r="F91" s="14">
        <f t="shared" si="1"/>
        <v>-1.826325411334552</v>
      </c>
      <c r="G91" s="14">
        <f ca="1">IFERROR(__xludf.DUMMYFUNCTION("IFERROR(
  AVERAGE(
    FILTER(
      $D$2:$D91,
      $A$2:$A91&gt;=A91-30,
      $A$2:$A91&lt;=A91,
      $D$2:$D91&gt;0
    )
  ),
"""")
"),5.43438333554784)</f>
        <v>5.4343833355478397</v>
      </c>
      <c r="H91" s="14"/>
    </row>
    <row r="92" spans="1:8" ht="15.75" customHeight="1" x14ac:dyDescent="0.25">
      <c r="A92" s="9">
        <v>45991</v>
      </c>
      <c r="B92" s="10">
        <v>735.65</v>
      </c>
      <c r="C92" s="10">
        <v>46.65</v>
      </c>
      <c r="D92" s="11">
        <f t="shared" si="0"/>
        <v>6.3413307958947867</v>
      </c>
      <c r="E92" s="13">
        <v>3</v>
      </c>
      <c r="F92" s="14">
        <f t="shared" si="1"/>
        <v>-3.3413307958947867</v>
      </c>
      <c r="G92" s="14">
        <f ca="1">IFERROR(__xludf.DUMMYFUNCTION("IFERROR(
  AVERAGE(
    FILTER(
      $D$2:$D92,
      $A$2:$A92&gt;=A92-30,
      $A$2:$A92&lt;=A92,
      $D$2:$D92&gt;0
    )
  ),
"""")
"),5.51016838775143)</f>
        <v>5.5101683877514303</v>
      </c>
      <c r="H92" s="14"/>
    </row>
    <row r="93" spans="1:8" ht="15.75" customHeight="1" x14ac:dyDescent="0.25">
      <c r="A93" s="9">
        <v>45992</v>
      </c>
      <c r="B93" s="10">
        <v>4117.68</v>
      </c>
      <c r="C93" s="10">
        <v>211.48</v>
      </c>
      <c r="D93" s="11">
        <f t="shared" si="0"/>
        <v>5.1359017699286973</v>
      </c>
      <c r="E93" s="13">
        <v>3</v>
      </c>
      <c r="F93" s="14">
        <f t="shared" si="1"/>
        <v>-2.1359017699286973</v>
      </c>
      <c r="G93" s="14">
        <f ca="1">IFERROR(__xludf.DUMMYFUNCTION("IFERROR(
  AVERAGE(
    FILTER(
      $D$2:$D93,
      $A$2:$A93&gt;=A93-30,
      $A$2:$A93&lt;=A93,
      $D$2:$D93&gt;0
    )
  ),
"""")
"),5.56923849173591)</f>
        <v>5.5692384917359101</v>
      </c>
      <c r="H93" s="14"/>
    </row>
    <row r="94" spans="1:8" ht="15.75" customHeight="1" x14ac:dyDescent="0.25">
      <c r="A94" s="9">
        <v>45993</v>
      </c>
      <c r="B94" s="10">
        <v>4117</v>
      </c>
      <c r="C94" s="10">
        <v>211</v>
      </c>
      <c r="D94" s="11">
        <f t="shared" si="0"/>
        <v>5.1250910857420449</v>
      </c>
      <c r="E94" s="13">
        <v>3</v>
      </c>
      <c r="F94" s="14">
        <f t="shared" si="1"/>
        <v>-2.1250910857420449</v>
      </c>
      <c r="G94" s="14">
        <f ca="1">IFERROR(__xludf.DUMMYFUNCTION("IFERROR(
  AVERAGE(
    FILTER(
      $D$2:$D94,
      $A$2:$A94&gt;=A94-30,
      $A$2:$A94&lt;=A94,
      $D$2:$D94&gt;0
    )
  ),
"""")
"),5.60988398413429)</f>
        <v>5.6098839841342896</v>
      </c>
      <c r="H94" s="14"/>
    </row>
    <row r="95" spans="1:8" ht="15.75" customHeight="1" x14ac:dyDescent="0.25">
      <c r="A95" s="9">
        <v>45994</v>
      </c>
      <c r="B95" s="10">
        <v>4356</v>
      </c>
      <c r="C95" s="10">
        <v>239</v>
      </c>
      <c r="D95" s="11">
        <f t="shared" si="0"/>
        <v>5.4866850321395777</v>
      </c>
      <c r="E95" s="13">
        <v>3</v>
      </c>
      <c r="F95" s="14">
        <f t="shared" si="1"/>
        <v>-2.4866850321395777</v>
      </c>
      <c r="G95" s="14">
        <f ca="1">IFERROR(__xludf.DUMMYFUNCTION("IFERROR(
  AVERAGE(
    FILTER(
      $D$2:$D95,
      $A$2:$A95&gt;=A95-30,
      $A$2:$A95&lt;=A95,
      $D$2:$D95&gt;0
    )
  ),
"""")
"),5.71749492131746)</f>
        <v>5.71749492131746</v>
      </c>
      <c r="H95" s="14"/>
    </row>
    <row r="96" spans="1:8" ht="15.75" customHeight="1" x14ac:dyDescent="0.25">
      <c r="A96" s="9">
        <v>45995</v>
      </c>
      <c r="B96" s="10">
        <v>4258</v>
      </c>
      <c r="C96" s="10">
        <f>70.35+128.75</f>
        <v>199.1</v>
      </c>
      <c r="D96" s="11">
        <f t="shared" si="0"/>
        <v>4.675904180366369</v>
      </c>
      <c r="E96" s="13">
        <v>3</v>
      </c>
      <c r="F96" s="14">
        <f t="shared" si="1"/>
        <v>-1.675904180366369</v>
      </c>
      <c r="G96" s="14">
        <f ca="1">IFERROR(__xludf.DUMMYFUNCTION("IFERROR(
  AVERAGE(
    FILTER(
      $D$2:$D96,
      $A$2:$A96&gt;=A96-30,
      $A$2:$A96&lt;=A96,
      $D$2:$D96&gt;0
    )
  ),
"""")
"),5.70745729623853)</f>
        <v>5.7074572962385304</v>
      </c>
      <c r="H96" s="14"/>
    </row>
    <row r="97" spans="1:8" ht="15.75" customHeight="1" x14ac:dyDescent="0.25">
      <c r="A97" s="9">
        <v>45996</v>
      </c>
      <c r="B97" s="10">
        <v>4641.25</v>
      </c>
      <c r="C97" s="10">
        <v>258</v>
      </c>
      <c r="D97" s="11">
        <f t="shared" si="0"/>
        <v>5.558847293293832</v>
      </c>
      <c r="E97" s="13">
        <v>3</v>
      </c>
      <c r="F97" s="14">
        <f t="shared" si="1"/>
        <v>-2.558847293293832</v>
      </c>
      <c r="G97" s="14">
        <f ca="1">IFERROR(__xludf.DUMMYFUNCTION("IFERROR(
  AVERAGE(
    FILTER(
      $D$2:$D97,
      $A$2:$A97&gt;=A97-30,
      $A$2:$A97&lt;=A97,
      $D$2:$D97&gt;0
    )
  ),
"""")
"),5.74858873265646)</f>
        <v>5.7485887326564598</v>
      </c>
      <c r="H97" s="14"/>
    </row>
    <row r="98" spans="1:8" ht="15.75" customHeight="1" x14ac:dyDescent="0.25">
      <c r="A98" s="9">
        <v>45997</v>
      </c>
      <c r="B98" s="10">
        <v>4096</v>
      </c>
      <c r="C98" s="10">
        <v>189</v>
      </c>
      <c r="D98" s="11">
        <f t="shared" si="0"/>
        <v>4.6142578125</v>
      </c>
      <c r="E98" s="13">
        <v>3</v>
      </c>
      <c r="F98" s="14">
        <f t="shared" si="1"/>
        <v>-1.6142578125</v>
      </c>
      <c r="G98" s="14">
        <f ca="1">IFERROR(__xludf.DUMMYFUNCTION("IFERROR(
  AVERAGE(
    FILTER(
      $D$2:$D98,
      $A$2:$A98&gt;=A98-30,
      $A$2:$A98&lt;=A98,
      $D$2:$D98&gt;0
    )
  ),
"""")
"),5.73970549245526)</f>
        <v>5.7397054924552604</v>
      </c>
      <c r="H98" s="14"/>
    </row>
    <row r="99" spans="1:8" ht="15.75" customHeight="1" x14ac:dyDescent="0.25">
      <c r="A99" s="9">
        <v>45998</v>
      </c>
      <c r="B99" s="10">
        <v>853</v>
      </c>
      <c r="C99" s="10">
        <v>37.299999999999997</v>
      </c>
      <c r="D99" s="11">
        <f t="shared" si="0"/>
        <v>4.3728018757327076</v>
      </c>
      <c r="E99" s="13">
        <v>3</v>
      </c>
      <c r="F99" s="14">
        <f t="shared" si="1"/>
        <v>-1.3728018757327076</v>
      </c>
      <c r="G99" s="14">
        <f ca="1">IFERROR(__xludf.DUMMYFUNCTION("IFERROR(
  AVERAGE(
    FILTER(
      $D$2:$D99,
      $A$2:$A99&gt;=A99-30,
      $A$2:$A99&lt;=A99,
      $D$2:$D99&gt;0
    )
  ),
"""")
"),5.67643233802982)</f>
        <v>5.6764323380298203</v>
      </c>
      <c r="H99" s="14"/>
    </row>
    <row r="100" spans="1:8" ht="15.75" customHeight="1" x14ac:dyDescent="0.25">
      <c r="A100" s="9">
        <v>45999</v>
      </c>
      <c r="B100" s="10">
        <v>2567</v>
      </c>
      <c r="C100" s="10">
        <f>79.3+120.7</f>
        <v>200</v>
      </c>
      <c r="D100" s="11">
        <f t="shared" si="0"/>
        <v>7.7911959485781068</v>
      </c>
      <c r="E100" s="13">
        <v>3</v>
      </c>
      <c r="F100" s="14">
        <f t="shared" si="1"/>
        <v>-4.7911959485781068</v>
      </c>
      <c r="G100" s="14">
        <f ca="1">IFERROR(__xludf.DUMMYFUNCTION("IFERROR(
  AVERAGE(
    FILTER(
      $D$2:$D100,
      $A$2:$A100&gt;=A100-30,
      $A$2:$A100&lt;=A100,
      $D$2:$D100&gt;0
    )
  ),
"""")
"),5.71074032753792)</f>
        <v>5.7107403275379198</v>
      </c>
      <c r="H100" s="14"/>
    </row>
    <row r="101" spans="1:8" ht="15.75" customHeight="1" x14ac:dyDescent="0.25">
      <c r="A101" s="9">
        <v>46000</v>
      </c>
      <c r="B101" s="10">
        <v>4692</v>
      </c>
      <c r="C101" s="10">
        <v>246</v>
      </c>
      <c r="D101" s="11">
        <f t="shared" si="0"/>
        <v>5.2429667519181589</v>
      </c>
      <c r="E101" s="13">
        <v>3</v>
      </c>
      <c r="F101" s="14">
        <f t="shared" si="1"/>
        <v>-2.2429667519181589</v>
      </c>
      <c r="G101" s="14">
        <f ca="1">IFERROR(__xludf.DUMMYFUNCTION("IFERROR(
  AVERAGE(
    FILTER(
      $D$2:$D101,
      $A$2:$A101&gt;=A101-30,
      $A$2:$A101&lt;=A101,
      $D$2:$D101&gt;0
    )
  ),
"""")
"),5.70081826951752)</f>
        <v>5.7008182695175202</v>
      </c>
      <c r="H101" s="14"/>
    </row>
    <row r="102" spans="1:8" ht="15.75" customHeight="1" x14ac:dyDescent="0.25">
      <c r="A102" s="9">
        <v>46001</v>
      </c>
      <c r="B102" s="10">
        <v>3676.7</v>
      </c>
      <c r="C102" s="10">
        <v>291</v>
      </c>
      <c r="D102" s="11">
        <f t="shared" si="0"/>
        <v>7.9147061223379662</v>
      </c>
      <c r="E102" s="13">
        <v>3</v>
      </c>
      <c r="F102" s="14">
        <f t="shared" si="1"/>
        <v>-4.9147061223379662</v>
      </c>
      <c r="G102" s="14">
        <f ca="1">IFERROR(__xludf.DUMMYFUNCTION("IFERROR(
  AVERAGE(
    FILTER(
      $D$2:$D102,
      $A$2:$A102&gt;=A102-30,
      $A$2:$A102&lt;=A102,
      $D$2:$D102&gt;0
    )
  ),
"""")
"),5.81819609708938)</f>
        <v>5.8181960970893796</v>
      </c>
      <c r="H102" s="14"/>
    </row>
    <row r="103" spans="1:8" ht="15.75" customHeight="1" x14ac:dyDescent="0.25">
      <c r="A103" s="9">
        <v>46002</v>
      </c>
      <c r="B103" s="10">
        <v>4095</v>
      </c>
      <c r="C103" s="10">
        <v>344</v>
      </c>
      <c r="D103" s="11">
        <f t="shared" si="0"/>
        <v>8.4004884004884008</v>
      </c>
      <c r="E103" s="13">
        <v>3</v>
      </c>
      <c r="F103" s="14">
        <f t="shared" si="1"/>
        <v>-5.4004884004884008</v>
      </c>
      <c r="G103" s="14">
        <f ca="1">IFERROR(__xludf.DUMMYFUNCTION("IFERROR(
  AVERAGE(
    FILTER(
      $D$2:$D103,
      $A$2:$A103&gt;=A103-30,
      $A$2:$A103&lt;=A103,
      $D$2:$D103&gt;0
    )
  ),
"""")
"),5.96654595958024)</f>
        <v>5.9665459595802401</v>
      </c>
      <c r="H103" s="14"/>
    </row>
    <row r="104" spans="1:8" ht="15.75" customHeight="1" x14ac:dyDescent="0.25">
      <c r="A104" s="9">
        <v>46003</v>
      </c>
      <c r="B104" s="10">
        <v>3377</v>
      </c>
      <c r="C104" s="10">
        <v>140</v>
      </c>
      <c r="D104" s="11">
        <f t="shared" si="0"/>
        <v>4.1456914421083804</v>
      </c>
      <c r="E104" s="13">
        <v>3</v>
      </c>
      <c r="F104" s="14">
        <f t="shared" si="1"/>
        <v>-1.1456914421083804</v>
      </c>
      <c r="G104" s="14">
        <f ca="1">IFERROR(__xludf.DUMMYFUNCTION("IFERROR(
  AVERAGE(
    FILTER(
      $D$2:$D104,
      $A$2:$A104&gt;=A104-30,
      $A$2:$A104&lt;=A104,
      $D$2:$D104&gt;0
    )
  ),
"""")
"),5.93022408040362)</f>
        <v>5.9302240804036197</v>
      </c>
      <c r="H104" s="14"/>
    </row>
    <row r="105" spans="1:8" ht="15.75" customHeight="1" x14ac:dyDescent="0.25">
      <c r="A105" s="9">
        <v>46004</v>
      </c>
      <c r="B105" s="10">
        <v>2624</v>
      </c>
      <c r="C105" s="10">
        <v>118</v>
      </c>
      <c r="D105" s="11">
        <f t="shared" si="0"/>
        <v>4.4969512195121952</v>
      </c>
      <c r="E105" s="13">
        <v>3</v>
      </c>
      <c r="F105" s="14">
        <f t="shared" si="1"/>
        <v>-1.4969512195121952</v>
      </c>
      <c r="G105" s="14">
        <f ca="1">IFERROR(__xludf.DUMMYFUNCTION("IFERROR(
  AVERAGE(
    FILTER(
      $D$2:$D105,
      $A$2:$A105&gt;=A105-30,
      $A$2:$A105&lt;=A105,
      $D$2:$D105&gt;0
    )
  ),
"""")
"),5.84994759607458)</f>
        <v>5.8499475960745801</v>
      </c>
      <c r="H105" s="14"/>
    </row>
    <row r="106" spans="1:8" ht="15.75" customHeight="1" x14ac:dyDescent="0.25">
      <c r="A106" s="9">
        <v>46005</v>
      </c>
      <c r="B106" s="10">
        <v>734.2</v>
      </c>
      <c r="C106" s="10">
        <v>74</v>
      </c>
      <c r="D106" s="11">
        <f t="shared" si="0"/>
        <v>10.078997548351946</v>
      </c>
      <c r="E106" s="13">
        <v>3</v>
      </c>
      <c r="F106" s="14">
        <f t="shared" si="1"/>
        <v>-7.0789975483519463</v>
      </c>
      <c r="G106" s="14">
        <f ca="1">IFERROR(__xludf.DUMMYFUNCTION("IFERROR(
  AVERAGE(
    FILTER(
      $D$2:$D106,
      $A$2:$A106&gt;=A106-30,
      $A$2:$A106&lt;=A106,
      $D$2:$D106&gt;0
    )
  ),
"""")
"),6.00993201636075)</f>
        <v>6.0099320163607501</v>
      </c>
      <c r="H106" s="14"/>
    </row>
    <row r="107" spans="1:8" ht="15.75" customHeight="1" x14ac:dyDescent="0.25">
      <c r="A107" s="9">
        <v>46006</v>
      </c>
      <c r="B107" s="10">
        <v>2492</v>
      </c>
      <c r="C107" s="10">
        <v>105</v>
      </c>
      <c r="D107" s="11">
        <f t="shared" si="0"/>
        <v>4.213483146067416</v>
      </c>
      <c r="E107" s="13">
        <v>3</v>
      </c>
      <c r="F107" s="14">
        <f t="shared" si="1"/>
        <v>-1.213483146067416</v>
      </c>
      <c r="G107" s="14">
        <f ca="1">IFERROR(__xludf.DUMMYFUNCTION("IFERROR(
  AVERAGE(
    FILTER(
      $D$2:$D107,
      $A$2:$A107&gt;=A107-30,
      $A$2:$A107&lt;=A107,
      $D$2:$D107&gt;0
    )
  ),
"""")
"),5.96976745409438)</f>
        <v>5.9697674540943799</v>
      </c>
      <c r="H107" s="14"/>
    </row>
    <row r="108" spans="1:8" ht="15.75" customHeight="1" x14ac:dyDescent="0.25">
      <c r="A108" s="9">
        <v>46007</v>
      </c>
      <c r="B108" s="10">
        <v>2894</v>
      </c>
      <c r="C108" s="10">
        <v>121</v>
      </c>
      <c r="D108" s="11">
        <f t="shared" si="0"/>
        <v>4.1810642709053214</v>
      </c>
      <c r="E108" s="13">
        <v>3</v>
      </c>
      <c r="F108" s="14">
        <f t="shared" si="1"/>
        <v>-1.1810642709053214</v>
      </c>
      <c r="G108" s="14">
        <f ca="1">IFERROR(__xludf.DUMMYFUNCTION("IFERROR(
  AVERAGE(
    FILTER(
      $D$2:$D108,
      $A$2:$A108&gt;=A108-30,
      $A$2:$A108&lt;=A108,
      $D$2:$D108&gt;0
    )
  ),
"""")
"),5.99565425343995)</f>
        <v>5.99565425343995</v>
      </c>
      <c r="H108" s="14"/>
    </row>
    <row r="109" spans="1:8" ht="15.75" customHeight="1" x14ac:dyDescent="0.25">
      <c r="A109" s="9">
        <v>46008</v>
      </c>
      <c r="B109" s="10">
        <v>2581</v>
      </c>
      <c r="C109" s="10">
        <v>165.2</v>
      </c>
      <c r="D109" s="11">
        <f t="shared" si="0"/>
        <v>6.4006199147617195</v>
      </c>
      <c r="E109" s="13">
        <v>3</v>
      </c>
      <c r="F109" s="14">
        <f t="shared" si="1"/>
        <v>-3.4006199147617195</v>
      </c>
      <c r="G109" s="14">
        <f ca="1">IFERROR(__xludf.DUMMYFUNCTION("IFERROR(
  AVERAGE(
    FILTER(
      $D$2:$D109,
      $A$2:$A109&gt;=A109-30,
      $A$2:$A109&lt;=A109,
      $D$2:$D109&gt;0
    )
  ),
"""")
"),5.99194016137572)</f>
        <v>5.9919401613757204</v>
      </c>
      <c r="H109" s="14"/>
    </row>
    <row r="110" spans="1:8" ht="15.75" customHeight="1" x14ac:dyDescent="0.25">
      <c r="A110" s="9">
        <v>46009</v>
      </c>
      <c r="B110" s="10">
        <v>2438.6</v>
      </c>
      <c r="C110" s="10">
        <v>192</v>
      </c>
      <c r="D110" s="11">
        <f t="shared" si="0"/>
        <v>7.8733699663741499</v>
      </c>
      <c r="E110" s="13">
        <v>3</v>
      </c>
      <c r="F110" s="14">
        <f t="shared" si="1"/>
        <v>-4.8733699663741499</v>
      </c>
      <c r="G110" s="14">
        <f ca="1">IFERROR(__xludf.DUMMYFUNCTION("IFERROR(
  AVERAGE(
    FILTER(
      $D$2:$D110,
      $A$2:$A110&gt;=A110-30,
      $A$2:$A110&lt;=A110,
      $D$2:$D110&gt;0
    )
  ),
"""")
"),6.06485522171117)</f>
        <v>6.06485522171117</v>
      </c>
      <c r="H110" s="14"/>
    </row>
    <row r="111" spans="1:8" ht="15.75" customHeight="1" x14ac:dyDescent="0.25">
      <c r="A111" s="9">
        <v>46010</v>
      </c>
      <c r="B111" s="10">
        <v>1829</v>
      </c>
      <c r="C111" s="10">
        <v>125</v>
      </c>
      <c r="D111" s="11">
        <f t="shared" si="0"/>
        <v>6.8343357025697102</v>
      </c>
      <c r="E111" s="13">
        <v>3</v>
      </c>
      <c r="F111" s="14">
        <f t="shared" si="1"/>
        <v>-3.8343357025697102</v>
      </c>
      <c r="G111" s="14">
        <f ca="1">IFERROR(__xludf.DUMMYFUNCTION("IFERROR(
  AVERAGE(
    FILTER(
      $D$2:$D111,
      $A$2:$A111&gt;=A111-30,
      $A$2:$A111&lt;=A111,
      $D$2:$D111&gt;0
    )
  ),
"""")
"),6.07573136885075)</f>
        <v>6.0757313688507502</v>
      </c>
      <c r="H111" s="14"/>
    </row>
    <row r="112" spans="1:8" ht="15.75" customHeight="1" x14ac:dyDescent="0.25">
      <c r="A112" s="9">
        <v>46011</v>
      </c>
      <c r="B112" s="10">
        <v>2284</v>
      </c>
      <c r="C112" s="10">
        <v>176</v>
      </c>
      <c r="D112" s="11">
        <f t="shared" si="0"/>
        <v>7.7057793345008756</v>
      </c>
      <c r="E112" s="13">
        <v>3</v>
      </c>
      <c r="F112" s="14">
        <f t="shared" si="1"/>
        <v>-4.7057793345008756</v>
      </c>
      <c r="G112" s="14">
        <f ca="1">IFERROR(__xludf.DUMMYFUNCTION("IFERROR(
  AVERAGE(
    FILTER(
      $D$2:$D112,
      $A$2:$A112&gt;=A112-30,
      $A$2:$A112&lt;=A112,
      $D$2:$D112&gt;0
    )
  ),
"""")
"),6.10596302489468)</f>
        <v>6.1059630248946801</v>
      </c>
      <c r="H112" s="14"/>
    </row>
    <row r="113" spans="1:8" ht="15.75" customHeight="1" x14ac:dyDescent="0.25">
      <c r="A113" s="9">
        <v>46012</v>
      </c>
      <c r="B113" s="10">
        <v>553.20000000000005</v>
      </c>
      <c r="C113" s="10">
        <v>34.700000000000003</v>
      </c>
      <c r="D113" s="11">
        <f t="shared" si="0"/>
        <v>6.2725958062183658</v>
      </c>
      <c r="E113" s="13">
        <v>3</v>
      </c>
      <c r="F113" s="14">
        <f t="shared" si="1"/>
        <v>-3.2725958062183658</v>
      </c>
      <c r="G113" s="14">
        <f ca="1">IFERROR(__xludf.DUMMYFUNCTION("IFERROR(
  AVERAGE(
    FILTER(
      $D$2:$D113,
      $A$2:$A113&gt;=A113-30,
      $A$2:$A113&lt;=A113,
      $D$2:$D113&gt;0
    )
  ),
"""")
"),6.13817265838252)</f>
        <v>6.13817265838252</v>
      </c>
      <c r="H113" s="14"/>
    </row>
    <row r="114" spans="1:8" ht="15.75" customHeight="1" x14ac:dyDescent="0.25">
      <c r="A114" s="9">
        <v>46013</v>
      </c>
      <c r="B114" s="10">
        <v>3477</v>
      </c>
      <c r="C114" s="10">
        <v>160</v>
      </c>
      <c r="D114" s="11">
        <f t="shared" si="0"/>
        <v>4.60166810468795</v>
      </c>
      <c r="E114" s="13">
        <v>3</v>
      </c>
      <c r="F114" s="14">
        <f t="shared" si="1"/>
        <v>-1.60166810468795</v>
      </c>
      <c r="G114" s="14">
        <f ca="1">IFERROR(__xludf.DUMMYFUNCTION("IFERROR(
  AVERAGE(
    FILTER(
      $D$2:$D114,
      $A$2:$A114&gt;=A114-30,
      $A$2:$A114&lt;=A114,
      $D$2:$D114&gt;0
    )
  ),
"""")
"),6.0567930537647)</f>
        <v>6.0567930537647001</v>
      </c>
      <c r="H114" s="14"/>
    </row>
    <row r="115" spans="1:8" ht="15.75" customHeight="1" x14ac:dyDescent="0.25">
      <c r="A115" s="9">
        <v>46014</v>
      </c>
      <c r="B115" s="10">
        <v>3861</v>
      </c>
      <c r="C115" s="10">
        <f>123.8+88.35</f>
        <v>212.14999999999998</v>
      </c>
      <c r="D115" s="11">
        <f t="shared" si="0"/>
        <v>5.4946904946904942</v>
      </c>
      <c r="E115" s="13">
        <v>3</v>
      </c>
      <c r="F115" s="14">
        <f t="shared" si="1"/>
        <v>-2.4946904946904942</v>
      </c>
      <c r="G115" s="14">
        <f ca="1">IFERROR(__xludf.DUMMYFUNCTION("IFERROR(
  AVERAGE(
    FILTER(
      $D$2:$D115,
      $A$2:$A115&gt;=A115-30,
      $A$2:$A115&lt;=A115,
      $D$2:$D115&gt;0
    )
  ),
"""")
"),5.97493154042545)</f>
        <v>5.9749315404254499</v>
      </c>
      <c r="H115" s="14"/>
    </row>
    <row r="116" spans="1:8" ht="15.75" customHeight="1" x14ac:dyDescent="0.25">
      <c r="A116" s="9">
        <v>46015</v>
      </c>
      <c r="B116" s="10">
        <v>4430</v>
      </c>
      <c r="C116" s="10">
        <v>237</v>
      </c>
      <c r="D116" s="11">
        <f t="shared" si="0"/>
        <v>5.3498871331828441</v>
      </c>
      <c r="E116" s="13">
        <v>3</v>
      </c>
      <c r="F116" s="14">
        <f t="shared" si="1"/>
        <v>-2.3498871331828441</v>
      </c>
      <c r="G116" s="14">
        <f ca="1">IFERROR(__xludf.DUMMYFUNCTION("IFERROR(
  AVERAGE(
    FILTER(
      $D$2:$D116,
      $A$2:$A116&gt;=A116-30,
      $A$2:$A116&lt;=A116,
      $D$2:$D116&gt;0
    )
  ),
"""")
"),5.8819225669942)</f>
        <v>5.8819225669942004</v>
      </c>
      <c r="H116" s="14"/>
    </row>
    <row r="117" spans="1:8" ht="15.75" customHeight="1" x14ac:dyDescent="0.25">
      <c r="A117" s="9">
        <v>46016</v>
      </c>
      <c r="B117" s="10">
        <v>4136</v>
      </c>
      <c r="C117" s="10">
        <v>217</v>
      </c>
      <c r="D117" s="11">
        <f t="shared" si="0"/>
        <v>5.2466150870406185</v>
      </c>
      <c r="E117" s="13">
        <v>3</v>
      </c>
      <c r="F117" s="14">
        <f t="shared" si="1"/>
        <v>-2.2466150870406185</v>
      </c>
      <c r="G117" s="14">
        <f ca="1">IFERROR(__xludf.DUMMYFUNCTION("IFERROR(
  AVERAGE(
    FILTER(
      $D$2:$D117,
      $A$2:$A117&gt;=A117-30,
      $A$2:$A117&lt;=A117,
      $D$2:$D117&gt;0
    )
  ),
"""")
"),5.88138892803626)</f>
        <v>5.8813889280362597</v>
      </c>
      <c r="H117" s="14"/>
    </row>
    <row r="118" spans="1:8" ht="15.75" customHeight="1" x14ac:dyDescent="0.25">
      <c r="A118" s="9">
        <v>46017</v>
      </c>
      <c r="B118" s="10">
        <v>3831</v>
      </c>
      <c r="C118" s="10">
        <f>105+97</f>
        <v>202</v>
      </c>
      <c r="D118" s="11">
        <f t="shared" si="0"/>
        <v>5.2727747324458365</v>
      </c>
      <c r="E118" s="13">
        <v>3</v>
      </c>
      <c r="F118" s="14">
        <f t="shared" si="1"/>
        <v>-2.2727747324458365</v>
      </c>
      <c r="G118" s="14">
        <f ca="1">IFERROR(__xludf.DUMMYFUNCTION("IFERROR(
  AVERAGE(
    FILTER(
      $D$2:$D118,
      $A$2:$A118&gt;=A118-30,
      $A$2:$A118&lt;=A118,
      $D$2:$D118&gt;0
    )
  ),
"""")
"),5.86150633053487)</f>
        <v>5.86150633053487</v>
      </c>
      <c r="H118" s="14"/>
    </row>
    <row r="119" spans="1:8" ht="15.75" customHeight="1" x14ac:dyDescent="0.25">
      <c r="A119" s="9">
        <v>46018</v>
      </c>
      <c r="B119" s="10">
        <f>2820+1379</f>
        <v>4199</v>
      </c>
      <c r="C119" s="10">
        <v>140</v>
      </c>
      <c r="D119" s="11">
        <f t="shared" si="0"/>
        <v>3.3341271731364612</v>
      </c>
      <c r="E119" s="13">
        <v>3</v>
      </c>
      <c r="F119" s="14">
        <f t="shared" si="1"/>
        <v>-0.33412717313646123</v>
      </c>
      <c r="G119" s="14">
        <f ca="1">IFERROR(__xludf.DUMMYFUNCTION("IFERROR(
  AVERAGE(
    FILTER(
      $D$2:$D119,
      $A$2:$A119&gt;=A119-30,
      $A$2:$A119&lt;=A119,
      $D$2:$D119&gt;0
    )
  ),
"""")
"),5.78101919924826)</f>
        <v>5.7810191992482602</v>
      </c>
      <c r="H119" s="14"/>
    </row>
    <row r="120" spans="1:8" ht="15.75" customHeight="1" x14ac:dyDescent="0.25">
      <c r="A120" s="9">
        <v>46019</v>
      </c>
      <c r="B120" s="10">
        <v>1379</v>
      </c>
      <c r="C120" s="10">
        <v>43.6</v>
      </c>
      <c r="D120" s="11">
        <f t="shared" si="0"/>
        <v>3.1617113850616394</v>
      </c>
      <c r="E120" s="13">
        <v>3</v>
      </c>
      <c r="F120" s="14">
        <f t="shared" si="1"/>
        <v>-0.1617113850616394</v>
      </c>
      <c r="G120" s="14">
        <f ca="1">IFERROR(__xludf.DUMMYFUNCTION("IFERROR(
  AVERAGE(
    FILTER(
      $D$2:$D120,
      $A$2:$A120&gt;=A120-30,
      $A$2:$A120&lt;=A120,
      $D$2:$D120&gt;0
    )
  ),
"""")
"),5.69435261646756)</f>
        <v>5.69435261646756</v>
      </c>
      <c r="H120" s="14"/>
    </row>
    <row r="121" spans="1:8" ht="15.75" customHeight="1" x14ac:dyDescent="0.25">
      <c r="A121" s="9">
        <v>46020</v>
      </c>
      <c r="B121" s="10">
        <v>5517</v>
      </c>
      <c r="C121" s="10">
        <v>277</v>
      </c>
      <c r="D121" s="11">
        <f t="shared" si="0"/>
        <v>5.0208446619539604</v>
      </c>
      <c r="E121" s="13">
        <v>3</v>
      </c>
      <c r="F121" s="14">
        <f t="shared" si="1"/>
        <v>-2.0208446619539604</v>
      </c>
      <c r="G121" s="14">
        <f ca="1">IFERROR(__xludf.DUMMYFUNCTION("IFERROR(
  AVERAGE(
    FILTER(
      $D$2:$D121,
      $A$2:$A121&gt;=A121-30,
      $A$2:$A121&lt;=A121,
      $D$2:$D121&gt;0
    )
  ),
"""")
"),5.65070030980081)</f>
        <v>5.6507003098008104</v>
      </c>
      <c r="H121" s="14"/>
    </row>
    <row r="122" spans="1:8" ht="15.75" customHeight="1" x14ac:dyDescent="0.25">
      <c r="A122" s="9">
        <v>46021</v>
      </c>
      <c r="B122" s="10">
        <v>5792</v>
      </c>
      <c r="C122" s="10">
        <v>365</v>
      </c>
      <c r="D122" s="11">
        <f t="shared" si="0"/>
        <v>6.3017955801104977</v>
      </c>
      <c r="E122" s="13">
        <v>3</v>
      </c>
      <c r="F122" s="14">
        <f t="shared" si="1"/>
        <v>-3.3017955801104977</v>
      </c>
      <c r="G122" s="14">
        <f ca="1">IFERROR(__xludf.DUMMYFUNCTION("IFERROR(
  AVERAGE(
    FILTER(
      $D$2:$D122,
      $A$2:$A122&gt;=A122-30,
      $A$2:$A122&lt;=A122,
      $D$2:$D122&gt;0
    )
  ),
"""")
"),5.6982961216968)</f>
        <v>5.6982961216968002</v>
      </c>
      <c r="H122" s="14"/>
    </row>
    <row r="123" spans="1:8" ht="15.75" customHeight="1" x14ac:dyDescent="0.25">
      <c r="A123" s="9">
        <v>46022</v>
      </c>
      <c r="B123" s="10">
        <v>5821</v>
      </c>
      <c r="C123" s="10">
        <v>284</v>
      </c>
      <c r="D123" s="11">
        <f t="shared" si="0"/>
        <v>4.8788867892114753</v>
      </c>
      <c r="E123" s="13">
        <v>3</v>
      </c>
      <c r="F123" s="14">
        <f t="shared" si="1"/>
        <v>-1.8788867892114753</v>
      </c>
      <c r="G123" s="14">
        <f ca="1">IFERROR(__xludf.DUMMYFUNCTION("IFERROR(
  AVERAGE(
    FILTER(
      $D$2:$D123,
      $A$2:$A123&gt;=A123-30,
      $A$2:$A123&lt;=A123,
      $D$2:$D123&gt;0
    )
  ),
"""")
"),5.65112050857799)</f>
        <v>5.6511205085779901</v>
      </c>
      <c r="H123" s="14"/>
    </row>
    <row r="124" spans="1:8" ht="15.75" customHeight="1" x14ac:dyDescent="0.25">
      <c r="A124" s="9">
        <v>46023</v>
      </c>
      <c r="B124" s="10">
        <v>4652</v>
      </c>
      <c r="C124" s="10">
        <v>233</v>
      </c>
      <c r="D124" s="11">
        <f t="shared" si="0"/>
        <v>5.0085984522785898</v>
      </c>
      <c r="E124" s="13">
        <v>3</v>
      </c>
      <c r="F124" s="14">
        <f t="shared" si="1"/>
        <v>-2.0085984522785898</v>
      </c>
      <c r="G124" s="14">
        <f ca="1">IFERROR(__xludf.DUMMYFUNCTION("IFERROR(
  AVERAGE(
    FILTER(
      $D$2:$D124,
      $A$2:$A124&gt;=A124-30,
      $A$2:$A124&lt;=A124,
      $D$2:$D124&gt;0
    )
  ),
"""")
"),5.64701394994411)</f>
        <v>5.6470139499441103</v>
      </c>
      <c r="H124" s="14"/>
    </row>
    <row r="125" spans="1:8" ht="15.75" customHeight="1" x14ac:dyDescent="0.25">
      <c r="A125" s="9">
        <v>46024</v>
      </c>
      <c r="B125" s="10">
        <v>4651</v>
      </c>
      <c r="C125" s="10">
        <v>232</v>
      </c>
      <c r="D125" s="11">
        <f t="shared" si="0"/>
        <v>4.9881745861105138</v>
      </c>
      <c r="E125" s="13">
        <v>3</v>
      </c>
      <c r="F125" s="14">
        <f t="shared" si="1"/>
        <v>-1.9881745861105138</v>
      </c>
      <c r="G125" s="14">
        <f ca="1">IFERROR(__xludf.DUMMYFUNCTION("IFERROR(
  AVERAGE(
    FILTER(
      $D$2:$D125,
      $A$2:$A125&gt;=A125-30,
      $A$2:$A125&lt;=A125,
      $D$2:$D125&gt;0
    )
  ),
"""")
"),5.64259728866568)</f>
        <v>5.6425972886656801</v>
      </c>
      <c r="H125" s="14"/>
    </row>
    <row r="126" spans="1:8" ht="15.75" customHeight="1" x14ac:dyDescent="0.25">
      <c r="A126" s="9">
        <v>46025</v>
      </c>
      <c r="B126" s="10">
        <v>4367</v>
      </c>
      <c r="C126" s="10">
        <v>198</v>
      </c>
      <c r="D126" s="11">
        <f t="shared" si="0"/>
        <v>4.5340050377833752</v>
      </c>
      <c r="E126" s="13">
        <v>3</v>
      </c>
      <c r="F126" s="14">
        <f t="shared" si="1"/>
        <v>-1.5340050377833752</v>
      </c>
      <c r="G126" s="14">
        <f ca="1">IFERROR(__xludf.DUMMYFUNCTION("IFERROR(
  AVERAGE(
    FILTER(
      $D$2:$D126,
      $A$2:$A126&gt;=A126-30,
      $A$2:$A126&lt;=A126,
      $D$2:$D126&gt;0
    )
  ),
"""")
"),5.61186567594451)</f>
        <v>5.61186567594451</v>
      </c>
      <c r="H126" s="14"/>
    </row>
    <row r="127" spans="1:8" ht="15.75" customHeight="1" x14ac:dyDescent="0.25">
      <c r="A127" s="9">
        <v>46026</v>
      </c>
      <c r="B127" s="10">
        <v>392</v>
      </c>
      <c r="C127" s="10">
        <v>38</v>
      </c>
      <c r="D127" s="11">
        <f t="shared" si="0"/>
        <v>9.6938775510204085</v>
      </c>
      <c r="E127" s="13">
        <v>3</v>
      </c>
      <c r="F127" s="14">
        <f t="shared" si="1"/>
        <v>-6.6938775510204085</v>
      </c>
      <c r="G127" s="14">
        <f ca="1">IFERROR(__xludf.DUMMYFUNCTION("IFERROR(
  AVERAGE(
    FILTER(
      $D$2:$D127,
      $A$2:$A127&gt;=A127-30,
      $A$2:$A127&lt;=A127,
      $D$2:$D127&gt;0
    )
  ),
"""")
"),5.77373578467528)</f>
        <v>5.7737357846752797</v>
      </c>
      <c r="H127" s="14"/>
    </row>
    <row r="128" spans="1:8" ht="15.75" customHeight="1" x14ac:dyDescent="0.25">
      <c r="A128" s="9">
        <v>46027</v>
      </c>
      <c r="B128" s="10">
        <v>2990</v>
      </c>
      <c r="C128" s="10">
        <f>99+120</f>
        <v>219</v>
      </c>
      <c r="D128" s="11">
        <f t="shared" si="0"/>
        <v>7.3244147157190636</v>
      </c>
      <c r="E128" s="13">
        <v>3</v>
      </c>
      <c r="F128" s="14">
        <f t="shared" si="1"/>
        <v>-4.3244147157190636</v>
      </c>
      <c r="G128" s="14">
        <f ca="1">IFERROR(__xludf.DUMMYFUNCTION("IFERROR(
  AVERAGE(
    FILTER(
      $D$2:$D128,
      $A$2:$A128&gt;=A128-30,
      $A$2:$A128&lt;=A128,
      $D$2:$D128&gt;0
    )
  ),
"""")
"),5.83068957249545)</f>
        <v>5.8306895724954497</v>
      </c>
      <c r="H128" s="14"/>
    </row>
    <row r="129" spans="1:8" ht="15.75" customHeight="1" x14ac:dyDescent="0.25">
      <c r="A129" s="9">
        <v>46028</v>
      </c>
      <c r="B129" s="10">
        <v>2717</v>
      </c>
      <c r="C129" s="10">
        <v>129</v>
      </c>
      <c r="D129" s="11">
        <f t="shared" si="0"/>
        <v>4.7478836952521162</v>
      </c>
      <c r="E129" s="13">
        <v>3</v>
      </c>
      <c r="F129" s="14">
        <f t="shared" si="1"/>
        <v>-1.7478836952521162</v>
      </c>
      <c r="G129" s="14">
        <f ca="1">IFERROR(__xludf.DUMMYFUNCTION("IFERROR(
  AVERAGE(
    FILTER(
      $D$2:$D129,
      $A$2:$A129&gt;=A129-30,
      $A$2:$A129&lt;=A129,
      $D$2:$D129&gt;0
    )
  ),
"""")
"),5.8350000848423)</f>
        <v>5.8350000848423003</v>
      </c>
      <c r="H129" s="14"/>
    </row>
    <row r="130" spans="1:8" ht="15.75" customHeight="1" x14ac:dyDescent="0.25">
      <c r="A130" s="9">
        <v>46029</v>
      </c>
      <c r="B130" s="10">
        <v>4615</v>
      </c>
      <c r="C130" s="10">
        <v>189</v>
      </c>
      <c r="D130" s="11">
        <f t="shared" si="0"/>
        <v>4.0953412784398697</v>
      </c>
      <c r="E130" s="13">
        <v>3</v>
      </c>
      <c r="F130" s="14">
        <f t="shared" si="1"/>
        <v>-1.0953412784398697</v>
      </c>
      <c r="G130" s="14">
        <f ca="1">IFERROR(__xludf.DUMMYFUNCTION("IFERROR(
  AVERAGE(
    FILTER(
      $D$2:$D130,
      $A$2:$A130&gt;=A130-30,
      $A$2:$A130&lt;=A130,
      $D$2:$D130&gt;0
    )
  ),
"""")
"),5.82604974299414)</f>
        <v>5.8260497429941402</v>
      </c>
      <c r="H130" s="14"/>
    </row>
    <row r="131" spans="1:8" ht="15.75" customHeight="1" x14ac:dyDescent="0.25">
      <c r="A131" s="9">
        <v>46030</v>
      </c>
      <c r="B131" s="10">
        <v>3360</v>
      </c>
      <c r="C131" s="10">
        <v>180</v>
      </c>
      <c r="D131" s="11">
        <f t="shared" si="0"/>
        <v>5.3571428571428568</v>
      </c>
      <c r="E131" s="13">
        <v>3</v>
      </c>
      <c r="F131" s="14">
        <f t="shared" si="1"/>
        <v>-2.3571428571428568</v>
      </c>
      <c r="G131" s="14">
        <f ca="1">IFERROR(__xludf.DUMMYFUNCTION("IFERROR(
  AVERAGE(
    FILTER(
      $D$2:$D131,
      $A$2:$A131&gt;=A131-30,
      $A$2:$A131&lt;=A131,
      $D$2:$D131&gt;0
    )
  ),
"""")
"),5.74753190133494)</f>
        <v>5.7475319013349404</v>
      </c>
      <c r="H131" s="14"/>
    </row>
    <row r="132" spans="1:8" ht="15.75" customHeight="1" x14ac:dyDescent="0.25">
      <c r="A132" s="9">
        <v>46031</v>
      </c>
      <c r="B132" s="10">
        <v>4308</v>
      </c>
      <c r="C132" s="10">
        <v>197</v>
      </c>
      <c r="D132" s="11">
        <f t="shared" si="0"/>
        <v>4.5728876508820804</v>
      </c>
      <c r="E132" s="13">
        <v>3</v>
      </c>
      <c r="F132" s="14">
        <f t="shared" si="1"/>
        <v>-1.5728876508820804</v>
      </c>
      <c r="G132" s="14">
        <f ca="1">IFERROR(__xludf.DUMMYFUNCTION("IFERROR(
  AVERAGE(
    FILTER(
      $D$2:$D132,
      $A$2:$A132&gt;=A132-30,
      $A$2:$A132&lt;=A132,
      $D$2:$D132&gt;0
    )
  ),
"""")
"),5.7259164464628)</f>
        <v>5.7259164464627998</v>
      </c>
      <c r="H132" s="14"/>
    </row>
    <row r="133" spans="1:8" ht="15.75" customHeight="1" x14ac:dyDescent="0.25">
      <c r="A133" s="9">
        <v>46032</v>
      </c>
      <c r="B133" s="10">
        <v>4433</v>
      </c>
      <c r="C133" s="10">
        <v>187</v>
      </c>
      <c r="D133" s="11">
        <f t="shared" si="0"/>
        <v>4.2183622828784122</v>
      </c>
      <c r="E133" s="13">
        <v>3</v>
      </c>
      <c r="F133" s="14">
        <f t="shared" si="1"/>
        <v>-1.2183622828784122</v>
      </c>
      <c r="G133" s="14">
        <f ca="1">IFERROR(__xludf.DUMMYFUNCTION("IFERROR(
  AVERAGE(
    FILTER(
      $D$2:$D133,
      $A$2:$A133&gt;=A133-30,
      $A$2:$A133&lt;=A133,
      $D$2:$D133&gt;0
    )
  ),
"""")
"),5.60667954841572)</f>
        <v>5.6066795484157197</v>
      </c>
      <c r="H133" s="14"/>
    </row>
    <row r="134" spans="1:8" ht="15.75" customHeight="1" x14ac:dyDescent="0.25">
      <c r="A134" s="9">
        <v>46033</v>
      </c>
      <c r="B134" s="10">
        <v>1195</v>
      </c>
      <c r="C134" s="10">
        <v>68</v>
      </c>
      <c r="D134" s="11">
        <f t="shared" si="0"/>
        <v>5.6903765690376567</v>
      </c>
      <c r="E134" s="13">
        <v>3</v>
      </c>
      <c r="F134" s="14">
        <f t="shared" si="1"/>
        <v>-2.6903765690376567</v>
      </c>
      <c r="G134" s="14">
        <f ca="1">IFERROR(__xludf.DUMMYFUNCTION("IFERROR(
  AVERAGE(
    FILTER(
      $D$2:$D134,
      $A$2:$A134&gt;=A134-30,
      $A$2:$A134&lt;=A134,
      $D$2:$D134&gt;0
    )
  ),
"""")
"),5.51925658611086)</f>
        <v>5.5192565861108598</v>
      </c>
      <c r="H134" s="14"/>
    </row>
    <row r="135" spans="1:8" ht="15.75" customHeight="1" x14ac:dyDescent="0.25">
      <c r="A135" s="9">
        <v>46034</v>
      </c>
      <c r="B135" s="10">
        <f>1299+1349</f>
        <v>2648</v>
      </c>
      <c r="C135" s="10">
        <v>155</v>
      </c>
      <c r="D135" s="11">
        <f t="shared" si="0"/>
        <v>5.8534743202416912</v>
      </c>
      <c r="E135" s="13">
        <v>3</v>
      </c>
      <c r="F135" s="14">
        <f t="shared" si="1"/>
        <v>-2.8534743202416912</v>
      </c>
      <c r="G135" s="14">
        <f ca="1">IFERROR(__xludf.DUMMYFUNCTION("IFERROR(
  AVERAGE(
    FILTER(
      $D$2:$D135,
      $A$2:$A135&gt;=A135-30,
      $A$2:$A135&lt;=A135,
      $D$2:$D135&gt;0
    )
  ),
"""")
"),5.57434635637323)</f>
        <v>5.5743463563732298</v>
      </c>
      <c r="H135" s="14"/>
    </row>
    <row r="136" spans="1:8" ht="15.75" customHeight="1" x14ac:dyDescent="0.25">
      <c r="A136" s="9">
        <v>46035</v>
      </c>
      <c r="B136" s="10">
        <v>2886</v>
      </c>
      <c r="C136" s="10">
        <v>157</v>
      </c>
      <c r="D136" s="11">
        <f t="shared" si="0"/>
        <v>5.4400554400554402</v>
      </c>
      <c r="E136" s="13">
        <v>3</v>
      </c>
      <c r="F136" s="14">
        <f t="shared" si="1"/>
        <v>-2.4400554400554402</v>
      </c>
      <c r="G136" s="14">
        <f ca="1">IFERROR(__xludf.DUMMYFUNCTION("IFERROR(
  AVERAGE(
    FILTER(
      $D$2:$D136,
      $A$2:$A136&gt;=A136-30,
      $A$2:$A136&lt;=A136,
      $D$2:$D136&gt;0
    )
  ),
"""")
"),5.60476907316494)</f>
        <v>5.60476907316494</v>
      </c>
      <c r="H136" s="14"/>
    </row>
    <row r="137" spans="1:8" ht="15.75" customHeight="1" x14ac:dyDescent="0.25">
      <c r="A137" s="9">
        <v>46036</v>
      </c>
      <c r="B137" s="10">
        <v>3262.5</v>
      </c>
      <c r="C137" s="10">
        <v>130</v>
      </c>
      <c r="D137" s="11">
        <f t="shared" si="0"/>
        <v>3.984674329501916</v>
      </c>
      <c r="E137" s="13">
        <v>3</v>
      </c>
      <c r="F137" s="14">
        <f t="shared" si="1"/>
        <v>-0.98467432950191602</v>
      </c>
      <c r="G137" s="14">
        <f ca="1">IFERROR(__xludf.DUMMYFUNCTION("IFERROR(
  AVERAGE(
    FILTER(
      $D$2:$D137,
      $A$2:$A137&gt;=A137-30,
      $A$2:$A137&lt;=A137,
      $D$2:$D137&gt;0
    )
  ),
"""")
"),5.40817800158914)</f>
        <v>5.4081780015891399</v>
      </c>
      <c r="H137" s="14"/>
    </row>
    <row r="138" spans="1:8" ht="15.75" customHeight="1" x14ac:dyDescent="0.25">
      <c r="A138" s="9">
        <v>46037</v>
      </c>
      <c r="B138" s="10">
        <v>2812.16</v>
      </c>
      <c r="C138" s="10">
        <v>146.26</v>
      </c>
      <c r="D138" s="11">
        <f t="shared" si="0"/>
        <v>5.2009842967683202</v>
      </c>
      <c r="E138" s="13">
        <v>3</v>
      </c>
      <c r="F138" s="14">
        <f t="shared" si="1"/>
        <v>-2.2009842967683202</v>
      </c>
      <c r="G138" s="14">
        <f ca="1">IFERROR(__xludf.DUMMYFUNCTION("IFERROR(
  AVERAGE(
    FILTER(
      $D$2:$D138,
      $A$2:$A138&gt;=A138-30,
      $A$2:$A138&lt;=A138,
      $D$2:$D138&gt;0
    )
  ),
"""")
"),5.4400328774182)</f>
        <v>5.4400328774181999</v>
      </c>
      <c r="H138" s="14"/>
    </row>
    <row r="139" spans="1:8" ht="15.75" customHeight="1" x14ac:dyDescent="0.25">
      <c r="A139" s="9">
        <v>46038</v>
      </c>
      <c r="B139" s="10">
        <v>2140</v>
      </c>
      <c r="C139" s="10">
        <v>181</v>
      </c>
      <c r="D139" s="11">
        <f t="shared" si="0"/>
        <v>8.4579439252336446</v>
      </c>
      <c r="E139" s="13">
        <v>3</v>
      </c>
      <c r="F139" s="14">
        <f t="shared" si="1"/>
        <v>-5.4579439252336446</v>
      </c>
      <c r="G139" s="14">
        <f ca="1">IFERROR(__xludf.DUMMYFUNCTION("IFERROR(
  AVERAGE(
    FILTER(
      $D$2:$D139,
      $A$2:$A139&gt;=A139-30,
      $A$2:$A139&lt;=A139,
      $D$2:$D139&gt;0
    )
  ),
"""")
"),5.57799673723524)</f>
        <v>5.5779967372352397</v>
      </c>
      <c r="H139" s="14"/>
    </row>
    <row r="140" spans="1:8" ht="15.75" customHeight="1" x14ac:dyDescent="0.25">
      <c r="A140" s="9">
        <v>46039</v>
      </c>
      <c r="B140" s="10">
        <v>2937</v>
      </c>
      <c r="C140" s="10">
        <v>162</v>
      </c>
      <c r="D140" s="11">
        <f t="shared" si="0"/>
        <v>5.5158324821246172</v>
      </c>
      <c r="E140" s="13">
        <v>3</v>
      </c>
      <c r="F140" s="14">
        <f t="shared" si="1"/>
        <v>-2.5158324821246172</v>
      </c>
      <c r="G140" s="14">
        <f ca="1">IFERROR(__xludf.DUMMYFUNCTION("IFERROR(
  AVERAGE(
    FILTER(
      $D$2:$D140,
      $A$2:$A140&gt;=A140-30,
      $A$2:$A140&lt;=A140,
      $D$2:$D140&gt;0
    )
  ),
"""")
"),5.54945520715017)</f>
        <v>5.5494552071501699</v>
      </c>
      <c r="H140" s="14"/>
    </row>
    <row r="141" spans="1:8" ht="15.75" customHeight="1" x14ac:dyDescent="0.25">
      <c r="A141" s="9">
        <v>46040</v>
      </c>
      <c r="B141" s="10">
        <v>814</v>
      </c>
      <c r="C141" s="10">
        <v>29</v>
      </c>
      <c r="D141" s="11">
        <f t="shared" si="0"/>
        <v>3.5626535626535629</v>
      </c>
      <c r="E141" s="13">
        <v>3</v>
      </c>
      <c r="F141" s="14">
        <f t="shared" si="1"/>
        <v>-0.56265356265356292</v>
      </c>
      <c r="G141" s="14">
        <f ca="1">IFERROR(__xludf.DUMMYFUNCTION("IFERROR(
  AVERAGE(
    FILTER(
      $D$2:$D141,
      $A$2:$A141&gt;=A141-30,
      $A$2:$A141&lt;=A141,
      $D$2:$D141&gt;0
    )
  ),
"""")
"),5.41039983928822)</f>
        <v>5.4103998392882202</v>
      </c>
      <c r="H141" s="14"/>
    </row>
    <row r="142" spans="1:8" ht="15.75" customHeight="1" x14ac:dyDescent="0.25">
      <c r="A142" s="9">
        <v>46041</v>
      </c>
      <c r="B142" s="10">
        <v>5738</v>
      </c>
      <c r="C142" s="10">
        <v>185</v>
      </c>
      <c r="D142" s="11">
        <f t="shared" si="0"/>
        <v>3.2241199024050191</v>
      </c>
      <c r="E142" s="13">
        <v>3</v>
      </c>
      <c r="F142" s="14">
        <f t="shared" si="1"/>
        <v>-0.22411990240501911</v>
      </c>
      <c r="G142" s="14">
        <f ca="1">IFERROR(__xludf.DUMMYFUNCTION("IFERROR(
  AVERAGE(
    FILTER(
      $D$2:$D142,
      $A$2:$A142&gt;=A142-30,
      $A$2:$A142&lt;=A142,
      $D$2:$D142&gt;0
    )
  ),
"""")
"),5.29394126508936)</f>
        <v>5.2939412650893596</v>
      </c>
      <c r="H142" s="14"/>
    </row>
    <row r="143" spans="1:8" ht="15.75" customHeight="1" x14ac:dyDescent="0.25">
      <c r="A143" s="9">
        <v>46042</v>
      </c>
      <c r="B143" s="10">
        <v>5592</v>
      </c>
      <c r="C143" s="10">
        <v>170</v>
      </c>
      <c r="D143" s="11">
        <f t="shared" si="0"/>
        <v>3.0400572246065809</v>
      </c>
      <c r="E143" s="13">
        <v>3</v>
      </c>
      <c r="F143" s="14">
        <f t="shared" si="1"/>
        <v>-4.0057224606580899E-2</v>
      </c>
      <c r="G143" s="14">
        <f ca="1">IFERROR(__xludf.DUMMYFUNCTION("IFERROR(
  AVERAGE(
    FILTER(
      $D$2:$D143,
      $A$2:$A143&gt;=A143-30,
      $A$2:$A143&lt;=A143,
      $D$2:$D143&gt;0
    )
  ),
"""")
"),5.14343410025406)</f>
        <v>5.1434341002540602</v>
      </c>
      <c r="H143" s="14"/>
    </row>
    <row r="144" spans="1:8" ht="15.75" customHeight="1" x14ac:dyDescent="0.25">
      <c r="A144" s="9">
        <v>46043</v>
      </c>
      <c r="B144" s="10">
        <v>3773</v>
      </c>
      <c r="C144" s="10">
        <v>179</v>
      </c>
      <c r="D144" s="11">
        <f t="shared" si="0"/>
        <v>4.7442353564802549</v>
      </c>
      <c r="E144" s="13">
        <v>3</v>
      </c>
      <c r="F144" s="14">
        <f t="shared" si="1"/>
        <v>-1.7442353564802549</v>
      </c>
      <c r="G144" s="14">
        <f ca="1">IFERROR(__xludf.DUMMYFUNCTION("IFERROR(
  AVERAGE(
    FILTER(
      $D$2:$D144,
      $A$2:$A144&gt;=A144-30,
      $A$2:$A144&lt;=A144,
      $D$2:$D144&gt;0
    )
  ),
"""")
"),5.0941321502625)</f>
        <v>5.0941321502625003</v>
      </c>
      <c r="H144" s="14"/>
    </row>
    <row r="145" spans="1:8" ht="15.75" customHeight="1" x14ac:dyDescent="0.25">
      <c r="A145" s="9">
        <v>46044</v>
      </c>
      <c r="B145" s="10">
        <v>3060</v>
      </c>
      <c r="C145" s="10">
        <v>123</v>
      </c>
      <c r="D145" s="11">
        <f t="shared" si="0"/>
        <v>4.0196078431372548</v>
      </c>
      <c r="E145" s="13">
        <v>3</v>
      </c>
      <c r="F145" s="14">
        <f t="shared" si="1"/>
        <v>-1.0196078431372548</v>
      </c>
      <c r="G145" s="14">
        <f ca="1">IFERROR(__xludf.DUMMYFUNCTION("IFERROR(
  AVERAGE(
    FILTER(
      $D$2:$D145,
      $A$2:$A145&gt;=A145-30,
      $A$2:$A145&lt;=A145,
      $D$2:$D145&gt;0
    )
  ),
"""")
"),5.07535601279313)</f>
        <v>5.0753560127931303</v>
      </c>
      <c r="H145" s="14"/>
    </row>
    <row r="146" spans="1:8" ht="15.75" customHeight="1" x14ac:dyDescent="0.25">
      <c r="A146" s="9">
        <v>46045</v>
      </c>
      <c r="B146" s="10">
        <v>2314</v>
      </c>
      <c r="C146" s="10">
        <v>153</v>
      </c>
      <c r="D146" s="11">
        <f t="shared" si="0"/>
        <v>6.6119273984442524</v>
      </c>
      <c r="E146" s="13">
        <v>3</v>
      </c>
      <c r="F146" s="14">
        <f t="shared" si="1"/>
        <v>-3.6119273984442524</v>
      </c>
      <c r="G146" s="14">
        <f ca="1">IFERROR(__xludf.DUMMYFUNCTION("IFERROR(
  AVERAGE(
    FILTER(
      $D$2:$D146,
      $A$2:$A146&gt;=A146-30,
      $A$2:$A146&lt;=A146,
      $D$2:$D146&gt;0
    )
  ),
"""")
"),5.11139591291422)</f>
        <v>5.1113959129142197</v>
      </c>
      <c r="H146" s="14"/>
    </row>
    <row r="147" spans="1:8" ht="15.75" customHeight="1" x14ac:dyDescent="0.25">
      <c r="A147" s="9">
        <v>46046</v>
      </c>
      <c r="B147" s="10">
        <v>3570</v>
      </c>
      <c r="C147" s="10">
        <v>166</v>
      </c>
      <c r="D147" s="11">
        <f t="shared" si="0"/>
        <v>4.6498599439775914</v>
      </c>
      <c r="E147" s="13">
        <v>3</v>
      </c>
      <c r="F147" s="14">
        <f t="shared" si="1"/>
        <v>-1.6498599439775914</v>
      </c>
      <c r="G147" s="14">
        <f ca="1">IFERROR(__xludf.DUMMYFUNCTION("IFERROR(
  AVERAGE(
    FILTER(
      $D$2:$D147,
      $A$2:$A147&gt;=A147-30,
      $A$2:$A147&lt;=A147,
      $D$2:$D147&gt;0
    )
  ),
"""")
"),5.08881439068179)</f>
        <v>5.0888143906817902</v>
      </c>
      <c r="H147" s="14"/>
    </row>
    <row r="148" spans="1:8" ht="15.75" customHeight="1" x14ac:dyDescent="0.25">
      <c r="A148" s="9">
        <v>46047</v>
      </c>
      <c r="B148" s="10">
        <v>1226</v>
      </c>
      <c r="C148" s="10">
        <v>42</v>
      </c>
      <c r="D148" s="11">
        <f t="shared" si="0"/>
        <v>3.4257748776508974</v>
      </c>
      <c r="E148" s="13">
        <v>3</v>
      </c>
      <c r="F148" s="14">
        <f t="shared" si="1"/>
        <v>-0.42577487765089739</v>
      </c>
      <c r="G148" s="14">
        <f ca="1">IFERROR(__xludf.DUMMYFUNCTION("IFERROR(
  AVERAGE(
    FILTER(
      $D$2:$D148,
      $A$2:$A148&gt;=A148-30,
      $A$2:$A148&lt;=A148,
      $D$2:$D148&gt;0
    )
  ),
"""")
"),5.03007760973373)</f>
        <v>5.0300776097337296</v>
      </c>
      <c r="H148" s="14"/>
    </row>
    <row r="149" spans="1:8" ht="15.75" customHeight="1" x14ac:dyDescent="0.25">
      <c r="A149" s="9">
        <v>46048</v>
      </c>
      <c r="B149" s="10">
        <v>0</v>
      </c>
      <c r="C149" s="10">
        <v>0</v>
      </c>
      <c r="D149" s="11" t="e">
        <f t="shared" si="0"/>
        <v>#DIV/0!</v>
      </c>
      <c r="E149" s="13">
        <v>3</v>
      </c>
      <c r="F149" s="14" t="e">
        <f t="shared" si="1"/>
        <v>#DIV/0!</v>
      </c>
      <c r="G149" s="14">
        <f ca="1">IFERROR(__xludf.DUMMYFUNCTION("IFERROR(
  AVERAGE(
    FILTER(
      $D$2:$D149,
      $A$2:$A149&gt;=A149-30,
      $A$2:$A149&lt;=A149,
      $D$2:$D149&gt;0
    )
  ),
"""")
"),5.02198770564333)</f>
        <v>5.0219877056433297</v>
      </c>
      <c r="H149" s="14"/>
    </row>
    <row r="150" spans="1:8" ht="15.75" customHeight="1" x14ac:dyDescent="0.25">
      <c r="A150" s="9">
        <v>46049</v>
      </c>
      <c r="B150" s="10">
        <v>2532</v>
      </c>
      <c r="C150" s="10">
        <v>124</v>
      </c>
      <c r="D150" s="11">
        <f t="shared" si="0"/>
        <v>4.8973143759873619</v>
      </c>
      <c r="E150" s="13">
        <v>3</v>
      </c>
      <c r="F150" s="14">
        <f t="shared" si="1"/>
        <v>-1.8973143759873619</v>
      </c>
      <c r="G150" s="14">
        <f ca="1">IFERROR(__xludf.DUMMYFUNCTION("IFERROR(
  AVERAGE(
    FILTER(
      $D$2:$D150,
      $A$2:$A150&gt;=A150-30,
      $A$2:$A150&lt;=A150,
      $D$2:$D150&gt;0
    )
  ),
"""")
"),5.07409394573836)</f>
        <v>5.07409394573836</v>
      </c>
      <c r="H150" s="14"/>
    </row>
    <row r="151" spans="1:8" ht="15.75" customHeight="1" x14ac:dyDescent="0.25">
      <c r="A151" s="9">
        <v>46050</v>
      </c>
      <c r="B151" s="10">
        <v>2933</v>
      </c>
      <c r="C151" s="10">
        <v>165</v>
      </c>
      <c r="D151" s="11">
        <f t="shared" si="0"/>
        <v>5.6256392771905892</v>
      </c>
      <c r="E151" s="13">
        <v>3</v>
      </c>
      <c r="F151" s="14">
        <f t="shared" si="1"/>
        <v>-2.6256392771905892</v>
      </c>
      <c r="G151" s="14">
        <f ca="1">IFERROR(__xludf.DUMMYFUNCTION("IFERROR(
  AVERAGE(
    FILTER(
      $D$2:$D151,
      $A$2:$A151&gt;=A151-30,
      $A$2:$A151&lt;=A151,
      $D$2:$D151&gt;0
    )
  ),
"""")
"),5.15622487547599)</f>
        <v>5.1562248754759903</v>
      </c>
      <c r="H151" s="14"/>
    </row>
    <row r="152" spans="1:8" ht="15.75" customHeight="1" x14ac:dyDescent="0.25">
      <c r="A152" s="9">
        <v>46051</v>
      </c>
      <c r="B152" s="10">
        <v>3499</v>
      </c>
      <c r="C152" s="10">
        <v>215</v>
      </c>
      <c r="D152" s="11">
        <f t="shared" si="0"/>
        <v>6.144612746498999</v>
      </c>
      <c r="E152" s="13">
        <v>3</v>
      </c>
      <c r="F152" s="14">
        <f t="shared" si="1"/>
        <v>-3.144612746498999</v>
      </c>
      <c r="G152" s="14">
        <f ca="1">IFERROR(__xludf.DUMMYFUNCTION("IFERROR(
  AVERAGE(
    FILTER(
      $D$2:$D152,
      $A$2:$A152&gt;=A152-30,
      $A$2:$A152&lt;=A152,
      $D$2:$D152&gt;0
    )
  ),
"""")
"),5.19368381162749)</f>
        <v>5.1936838116274897</v>
      </c>
      <c r="H152" s="14"/>
    </row>
    <row r="153" spans="1:8" ht="15.75" customHeight="1" x14ac:dyDescent="0.25">
      <c r="A153" s="9">
        <v>46052</v>
      </c>
      <c r="B153" s="10">
        <v>3615</v>
      </c>
      <c r="C153" s="10">
        <v>209</v>
      </c>
      <c r="D153" s="11">
        <f t="shared" si="0"/>
        <v>5.7814661134163208</v>
      </c>
      <c r="E153" s="13">
        <v>3</v>
      </c>
      <c r="F153" s="14">
        <f t="shared" si="1"/>
        <v>-2.7814661134163208</v>
      </c>
      <c r="G153" s="14">
        <f ca="1">IFERROR(__xludf.DUMMYFUNCTION("IFERROR(
  AVERAGE(
    FILTER(
      $D$2:$D153,
      $A$2:$A153&gt;=A153-30,
      $A$2:$A153&lt;=A153,
      $D$2:$D153&gt;0
    )
  ),
"""")
"),5.17633949607102)</f>
        <v>5.1763394960710203</v>
      </c>
      <c r="H153" s="14"/>
    </row>
    <row r="154" spans="1:8" ht="15.75" customHeight="1" x14ac:dyDescent="0.25">
      <c r="A154" s="9">
        <v>46053</v>
      </c>
      <c r="B154" s="10">
        <v>3307</v>
      </c>
      <c r="C154" s="10">
        <v>197</v>
      </c>
      <c r="D154" s="11">
        <f t="shared" si="0"/>
        <v>5.9570607801632898</v>
      </c>
      <c r="E154" s="13">
        <v>3</v>
      </c>
      <c r="F154" s="14">
        <f t="shared" si="1"/>
        <v>-2.9570607801632898</v>
      </c>
      <c r="G154" s="14">
        <f ca="1">IFERROR(__xludf.DUMMYFUNCTION("IFERROR(
  AVERAGE(
    FILTER(
      $D$2:$D154,
      $A$2:$A154&gt;=A154-30,
      $A$2:$A154&lt;=A154,
      $D$2:$D154&gt;0
    )
  ),
"""")
"),5.21227862910275)</f>
        <v>5.2122786291027499</v>
      </c>
      <c r="H154" s="14"/>
    </row>
    <row r="155" spans="1:8" ht="15.75" customHeight="1" x14ac:dyDescent="0.25">
      <c r="A155" s="9">
        <v>46054</v>
      </c>
      <c r="B155" s="10">
        <v>1795</v>
      </c>
      <c r="C155" s="10">
        <v>75</v>
      </c>
      <c r="D155" s="11">
        <f t="shared" si="0"/>
        <v>4.1782729805013927</v>
      </c>
      <c r="E155" s="13">
        <v>3</v>
      </c>
      <c r="F155" s="14">
        <f t="shared" si="1"/>
        <v>-1.1782729805013927</v>
      </c>
      <c r="G155" s="14">
        <f ca="1">IFERROR(__xludf.DUMMYFUNCTION("IFERROR(
  AVERAGE(
    FILTER(
      $D$2:$D155,
      $A$2:$A155&gt;=A155-30,
      $A$2:$A155&lt;=A155,
      $D$2:$D155&gt;0
    )
  ),
"""")
"),5.18460111337684)</f>
        <v>5.1846011133768402</v>
      </c>
      <c r="H155" s="14"/>
    </row>
    <row r="156" spans="1:8" ht="15.75" customHeight="1" x14ac:dyDescent="0.25">
      <c r="A156" s="9">
        <v>46055</v>
      </c>
      <c r="B156" s="10">
        <v>3976</v>
      </c>
      <c r="C156" s="10">
        <v>189</v>
      </c>
      <c r="D156" s="11">
        <f t="shared" si="0"/>
        <v>4.753521126760563</v>
      </c>
      <c r="E156" s="13">
        <v>3</v>
      </c>
      <c r="F156" s="14">
        <f t="shared" si="1"/>
        <v>-1.753521126760563</v>
      </c>
      <c r="G156" s="14">
        <f ca="1">IFERROR(__xludf.DUMMYFUNCTION("IFERROR(
  AVERAGE(
    FILTER(
      $D$2:$D156,
      $A$2:$A156&gt;=A156-30,
      $A$2:$A156&lt;=A156,
      $D$2:$D156&gt;0
    )
  ),
"""")
"),5.17677933139851)</f>
        <v>5.1767793313985102</v>
      </c>
      <c r="H156" s="14"/>
    </row>
    <row r="157" spans="1:8" ht="15.75" customHeight="1" x14ac:dyDescent="0.25">
      <c r="A157" s="9">
        <v>46056</v>
      </c>
      <c r="B157" s="10">
        <v>4073</v>
      </c>
      <c r="C157" s="10">
        <v>193</v>
      </c>
      <c r="D157" s="11">
        <f t="shared" si="0"/>
        <v>4.7385219739749571</v>
      </c>
      <c r="E157" s="13">
        <v>3</v>
      </c>
      <c r="F157" s="14">
        <f t="shared" si="1"/>
        <v>-1.7385219739749571</v>
      </c>
      <c r="G157" s="14">
        <f ca="1">IFERROR(__xludf.DUMMYFUNCTION("IFERROR(
  AVERAGE(
    FILTER(
      $D$2:$D157,
      $A$2:$A157&gt;=A157-30,
      $A$2:$A157&lt;=A157,
      $D$2:$D157&gt;0
    )
  ),
"""")
"),5.1835965626049)</f>
        <v>5.1835965626049001</v>
      </c>
      <c r="H157" s="14"/>
    </row>
    <row r="158" spans="1:8" ht="15.75" customHeight="1" x14ac:dyDescent="0.25">
      <c r="A158" s="9">
        <v>46057</v>
      </c>
      <c r="B158" s="10">
        <v>3991</v>
      </c>
      <c r="C158" s="10">
        <v>229</v>
      </c>
      <c r="D158" s="11">
        <f t="shared" si="0"/>
        <v>5.7379102981708847</v>
      </c>
      <c r="E158" s="13">
        <v>3</v>
      </c>
      <c r="F158" s="14">
        <f t="shared" si="1"/>
        <v>-2.7379102981708847</v>
      </c>
      <c r="G158" s="14">
        <f ca="1">IFERROR(__xludf.DUMMYFUNCTION("IFERROR(
  AVERAGE(
    FILTER(
      $D$2:$D158,
      $A$2:$A158&gt;=A158-30,
      $A$2:$A158&lt;=A158,
      $D$2:$D158&gt;0
    )
  ),
"""")
"),5.05173098750991)</f>
        <v>5.0517309875099103</v>
      </c>
      <c r="H158" s="14"/>
    </row>
    <row r="159" spans="1:8" ht="15.75" customHeight="1" x14ac:dyDescent="0.25">
      <c r="A159" s="9">
        <v>46058</v>
      </c>
      <c r="B159" s="10">
        <v>5749</v>
      </c>
      <c r="C159" s="10">
        <v>383</v>
      </c>
      <c r="D159" s="11">
        <f t="shared" si="0"/>
        <v>6.6620281788137072</v>
      </c>
      <c r="E159" s="13">
        <v>3</v>
      </c>
      <c r="F159" s="14">
        <f t="shared" si="1"/>
        <v>-3.6620281788137072</v>
      </c>
      <c r="G159" s="14">
        <f ca="1">IFERROR(__xludf.DUMMYFUNCTION("IFERROR(
  AVERAGE(
    FILTER(
      $D$2:$D159,
      $A$2:$A159&gt;=A159-30,
      $A$2:$A159&lt;=A159,
      $D$2:$D159&gt;0
    )
  ),
"""")
"),5.02965143627973)</f>
        <v>5.02965143627973</v>
      </c>
      <c r="H159" s="14"/>
    </row>
    <row r="160" spans="1:8" ht="15.75" customHeight="1" x14ac:dyDescent="0.25">
      <c r="A160" s="9">
        <v>46059</v>
      </c>
      <c r="B160" s="10">
        <v>5087</v>
      </c>
      <c r="C160" s="10">
        <v>269</v>
      </c>
      <c r="D160" s="11">
        <f t="shared" si="0"/>
        <v>5.2879889915470812</v>
      </c>
      <c r="E160" s="13">
        <v>3</v>
      </c>
      <c r="F160" s="14">
        <f t="shared" si="1"/>
        <v>-2.2879889915470812</v>
      </c>
      <c r="G160" s="14">
        <f ca="1">IFERROR(__xludf.DUMMYFUNCTION("IFERROR(
  AVERAGE(
    FILTER(
      $D$2:$D160,
      $A$2:$A160&gt;=A160-30,
      $A$2:$A160&lt;=A160,
      $D$2:$D160&gt;0
    )
  ),
"""")
"),5.04765494615623)</f>
        <v>5.0476549461562303</v>
      </c>
      <c r="H160" s="14"/>
    </row>
    <row r="161" spans="1:8" ht="15.75" customHeight="1" x14ac:dyDescent="0.25">
      <c r="A161" s="9">
        <v>46060</v>
      </c>
      <c r="B161" s="10">
        <v>5639</v>
      </c>
      <c r="C161" s="10">
        <v>319</v>
      </c>
      <c r="D161" s="11">
        <f t="shared" si="0"/>
        <v>5.657031388544068</v>
      </c>
      <c r="E161" s="13">
        <v>3</v>
      </c>
      <c r="F161" s="14">
        <f t="shared" si="1"/>
        <v>-2.657031388544068</v>
      </c>
      <c r="G161" s="14">
        <f ca="1">IFERROR(__xludf.DUMMYFUNCTION("IFERROR(
  AVERAGE(
    FILTER(
      $D$2:$D161,
      $A$2:$A161&gt;=A161-30,
      $A$2:$A161&lt;=A161,
      $D$2:$D161&gt;0
    )
  ),
"""")
"),5.0997112831597)</f>
        <v>5.0997112831597002</v>
      </c>
      <c r="H161" s="14"/>
    </row>
    <row r="162" spans="1:8" ht="15.75" customHeight="1" x14ac:dyDescent="0.25">
      <c r="A162" s="9">
        <v>46061</v>
      </c>
      <c r="B162" s="10">
        <v>3223</v>
      </c>
      <c r="C162" s="10">
        <v>115</v>
      </c>
      <c r="D162" s="11">
        <f t="shared" si="0"/>
        <v>3.5681042506981071</v>
      </c>
      <c r="E162" s="13">
        <v>3</v>
      </c>
      <c r="F162" s="14">
        <f t="shared" si="1"/>
        <v>-0.5681042506981071</v>
      </c>
      <c r="G162" s="14">
        <f ca="1">IFERROR(__xludf.DUMMYFUNCTION("IFERROR(
  AVERAGE(
    FILTER(
      $D$2:$D162,
      $A$2:$A162&gt;=A162-30,
      $A$2:$A162&lt;=A162,
      $D$2:$D162&gt;0
    )
  ),
"""")
"),5.04007666294488)</f>
        <v>5.0400766629448803</v>
      </c>
      <c r="H162" s="14"/>
    </row>
    <row r="163" spans="1:8" ht="15.75" customHeight="1" x14ac:dyDescent="0.25">
      <c r="A163" s="9">
        <v>46062</v>
      </c>
      <c r="B163" s="10">
        <v>4238</v>
      </c>
      <c r="C163" s="10">
        <v>310</v>
      </c>
      <c r="D163" s="11">
        <f t="shared" si="0"/>
        <v>7.3147711184521</v>
      </c>
      <c r="E163" s="13">
        <v>3</v>
      </c>
      <c r="F163" s="14">
        <f t="shared" si="1"/>
        <v>-4.3147711184521</v>
      </c>
      <c r="G163" s="14">
        <f ca="1">IFERROR(__xludf.DUMMYFUNCTION("IFERROR(
  AVERAGE(
    FILTER(
      $D$2:$D163,
      $A$2:$A163&gt;=A163-30,
      $A$2:$A163&lt;=A163,
      $D$2:$D163&gt;0
    )
  ),
"""")
"),5.13147277853055)</f>
        <v>5.1314727785305498</v>
      </c>
      <c r="H163" s="14"/>
    </row>
    <row r="164" spans="1:8" ht="15.75" customHeight="1" x14ac:dyDescent="0.25">
      <c r="A164" s="9">
        <v>46063</v>
      </c>
      <c r="B164" s="10">
        <v>4978</v>
      </c>
      <c r="C164" s="10">
        <v>291</v>
      </c>
      <c r="D164" s="11">
        <f t="shared" si="0"/>
        <v>5.8457211731619125</v>
      </c>
      <c r="E164" s="13">
        <v>3</v>
      </c>
      <c r="F164" s="14">
        <f t="shared" si="1"/>
        <v>-2.8457211731619125</v>
      </c>
      <c r="G164" s="14">
        <f ca="1">IFERROR(__xludf.DUMMYFUNCTION("IFERROR(
  AVERAGE(
    FILTER(
      $D$2:$D164,
      $A$2:$A164&gt;=A164-30,
      $A$2:$A164&lt;=A164,
      $D$2:$D164&gt;0
    )
  ),
"""")
"),5.18571807487333)</f>
        <v>5.1857180748733303</v>
      </c>
      <c r="H164" s="14"/>
    </row>
    <row r="165" spans="1:8" ht="15.75" customHeight="1" x14ac:dyDescent="0.25">
      <c r="A165" s="9">
        <v>46064</v>
      </c>
      <c r="B165" s="10">
        <v>5570</v>
      </c>
      <c r="C165" s="10">
        <v>425</v>
      </c>
      <c r="D165" s="11">
        <f t="shared" si="0"/>
        <v>7.6301615798922811</v>
      </c>
      <c r="E165" s="13">
        <v>3</v>
      </c>
      <c r="F165" s="14">
        <f t="shared" si="1"/>
        <v>-4.6301615798922811</v>
      </c>
      <c r="G165" s="14">
        <f ca="1">IFERROR(__xludf.DUMMYFUNCTION("IFERROR(
  AVERAGE(
    FILTER(
      $D$2:$D165,
      $A$2:$A165&gt;=A165-30,
      $A$2:$A165&lt;=A165,
      $D$2:$D165&gt;0
    )
  ),
"""")
"),5.25037757523515)</f>
        <v>5.2503775752351496</v>
      </c>
      <c r="H165" s="14"/>
    </row>
    <row r="166" spans="1:8" ht="15.75" customHeight="1" x14ac:dyDescent="0.25">
      <c r="A166" s="9">
        <v>46065</v>
      </c>
      <c r="B166" s="10">
        <v>5805</v>
      </c>
      <c r="C166" s="10">
        <v>259</v>
      </c>
      <c r="D166" s="11">
        <f t="shared" si="0"/>
        <v>4.4616709732988804</v>
      </c>
      <c r="E166" s="13">
        <v>3</v>
      </c>
      <c r="F166" s="14">
        <f t="shared" si="1"/>
        <v>-1.4616709732988804</v>
      </c>
      <c r="G166" s="14">
        <f ca="1">IFERROR(__xludf.DUMMYFUNCTION("IFERROR(
  AVERAGE(
    FILTER(
      $D$2:$D166,
      $A$2:$A166&gt;=A166-30,
      $A$2:$A166&lt;=A166,
      $D$2:$D166&gt;0
    )
  ),
"""")
"),5.20398413033706)</f>
        <v>5.2039841303370604</v>
      </c>
      <c r="H166" s="14"/>
    </row>
    <row r="167" spans="1:8" ht="15.75" customHeight="1" x14ac:dyDescent="0.25">
      <c r="A167" s="9">
        <v>46066</v>
      </c>
      <c r="B167" s="10">
        <v>5738</v>
      </c>
      <c r="C167" s="10">
        <v>255</v>
      </c>
      <c r="D167" s="11">
        <f t="shared" si="0"/>
        <v>4.4440571627744863</v>
      </c>
      <c r="E167" s="13">
        <v>3</v>
      </c>
      <c r="F167" s="14">
        <f t="shared" si="1"/>
        <v>-1.4440571627744863</v>
      </c>
      <c r="G167" s="14">
        <f ca="1">IFERROR(__xludf.DUMMYFUNCTION("IFERROR(
  AVERAGE(
    FILTER(
      $D$2:$D167,
      $A$2:$A167&gt;=A167-30,
      $A$2:$A167&lt;=A167,
      $D$2:$D167&gt;0
    )
  ),
"""")
"),5.17078418776102)</f>
        <v>5.1707841877610203</v>
      </c>
      <c r="H167" s="14"/>
    </row>
    <row r="168" spans="1:8" ht="15.75" customHeight="1" x14ac:dyDescent="0.25">
      <c r="A168" s="9">
        <v>46067</v>
      </c>
      <c r="B168" s="10">
        <v>5277</v>
      </c>
      <c r="C168" s="10">
        <v>255</v>
      </c>
      <c r="D168" s="11">
        <f t="shared" si="0"/>
        <v>4.8322910744741332</v>
      </c>
      <c r="E168" s="13">
        <v>3</v>
      </c>
      <c r="F168" s="14">
        <f t="shared" si="1"/>
        <v>-1.8322910744741332</v>
      </c>
      <c r="G168" s="14">
        <f ca="1">IFERROR(__xludf.DUMMYFUNCTION("IFERROR(
  AVERAGE(
    FILTER(
      $D$2:$D168,
      $A$2:$A168&gt;=A168-30,
      $A$2:$A168&lt;=A168,
      $D$2:$D168&gt;0
    )
  ),
"""")
"),5.1990380792601)</f>
        <v>5.1990380792600996</v>
      </c>
      <c r="H168" s="14"/>
    </row>
    <row r="169" spans="1:8" ht="15.75" customHeight="1" x14ac:dyDescent="0.25">
      <c r="A169" s="9">
        <v>46068</v>
      </c>
      <c r="B169" s="10">
        <v>1481</v>
      </c>
      <c r="C169" s="10">
        <v>88</v>
      </c>
      <c r="D169" s="11">
        <f t="shared" si="0"/>
        <v>5.941931127616475</v>
      </c>
      <c r="E169" s="13">
        <v>3</v>
      </c>
      <c r="F169" s="14">
        <f t="shared" si="1"/>
        <v>-2.941931127616475</v>
      </c>
      <c r="G169" s="14">
        <f ca="1">IFERROR(__xludf.DUMMYFUNCTION("IFERROR(
  AVERAGE(
    FILTER(
      $D$2:$D169,
      $A$2:$A169&gt;=A169-30,
      $A$2:$A169&lt;=A169,
      $D$2:$D169&gt;0
    )
  ),
"""")
"),5.22373630695504)</f>
        <v>5.2237363069550398</v>
      </c>
      <c r="H169" s="14"/>
    </row>
    <row r="170" spans="1:8" ht="15.75" customHeight="1" x14ac:dyDescent="0.25">
      <c r="A170" s="9">
        <v>46069</v>
      </c>
      <c r="B170" s="10">
        <v>4341</v>
      </c>
      <c r="C170" s="10">
        <v>154</v>
      </c>
      <c r="D170" s="11">
        <f t="shared" si="0"/>
        <v>3.5475696844045155</v>
      </c>
      <c r="E170" s="13">
        <v>3</v>
      </c>
      <c r="F170" s="14">
        <f t="shared" si="1"/>
        <v>-0.54756968440451548</v>
      </c>
      <c r="G170" s="14">
        <f ca="1">IFERROR(__xludf.DUMMYFUNCTION("IFERROR(
  AVERAGE(
    FILTER(
      $D$2:$D170,
      $A$2:$A170&gt;=A170-30,
      $A$2:$A170&lt;=A170,
      $D$2:$D170&gt;0
    )
  ),
"""")
"),5.06005716559407)</f>
        <v>5.0600571655940696</v>
      </c>
      <c r="H170" s="14"/>
    </row>
    <row r="171" spans="1:8" ht="15.75" customHeight="1" x14ac:dyDescent="0.25">
      <c r="A171" s="9">
        <v>46070</v>
      </c>
      <c r="B171" s="10">
        <v>3633</v>
      </c>
      <c r="C171" s="10">
        <v>249</v>
      </c>
      <c r="D171" s="11">
        <f t="shared" si="0"/>
        <v>6.8538398018166804</v>
      </c>
      <c r="E171" s="13">
        <v>3</v>
      </c>
      <c r="F171" s="14">
        <f t="shared" si="1"/>
        <v>-3.8538398018166804</v>
      </c>
      <c r="G171" s="14">
        <f ca="1">IFERROR(__xludf.DUMMYFUNCTION("IFERROR(
  AVERAGE(
    FILTER(
      $D$2:$D171,
      $A$2:$A171&gt;=A171-30,
      $A$2:$A171&lt;=A171,
      $D$2:$D171&gt;0
    )
  ),
"""")
"),5.1046574095838)</f>
        <v>5.1046574095838002</v>
      </c>
      <c r="H171" s="14"/>
    </row>
    <row r="172" spans="1:8" ht="15.75" customHeight="1" x14ac:dyDescent="0.25">
      <c r="A172" s="9">
        <v>46071</v>
      </c>
      <c r="B172" s="10">
        <v>3668</v>
      </c>
      <c r="C172" s="10">
        <v>121</v>
      </c>
      <c r="D172" s="11">
        <f t="shared" si="0"/>
        <v>3.2988004362050161</v>
      </c>
      <c r="E172" s="13">
        <v>3</v>
      </c>
      <c r="F172" s="14">
        <f t="shared" si="1"/>
        <v>-0.29880043620501606</v>
      </c>
      <c r="G172" s="14">
        <f ca="1">IFERROR(__xludf.DUMMYFUNCTION("IFERROR(
  AVERAGE(
    FILTER(
      $D$2:$D172,
      $A$2:$A172&gt;=A172-30,
      $A$2:$A172&lt;=A172,
      $D$2:$D172&gt;0
    )
  ),
"""")
"),5.09586230536885)</f>
        <v>5.0958623053688497</v>
      </c>
      <c r="H172" s="14"/>
    </row>
    <row r="173" spans="1:8" ht="15.75" customHeight="1" x14ac:dyDescent="0.25">
      <c r="A173" s="9">
        <v>46072</v>
      </c>
      <c r="B173" s="10">
        <v>3630</v>
      </c>
      <c r="C173" s="10">
        <v>77</v>
      </c>
      <c r="D173" s="11">
        <f t="shared" si="0"/>
        <v>2.1212121212121215</v>
      </c>
      <c r="E173" s="13">
        <v>3</v>
      </c>
      <c r="F173" s="14">
        <f t="shared" si="1"/>
        <v>0.87878787878787845</v>
      </c>
      <c r="G173" s="14">
        <f ca="1">IFERROR(__xludf.DUMMYFUNCTION("IFERROR(
  AVERAGE(
    FILTER(
      $D$2:$D173,
      $A$2:$A173&gt;=A173-30,
      $A$2:$A173&lt;=A173,
      $D$2:$D173&gt;0
    )
  ),
"""")
"),5.05909871266242)</f>
        <v>5.0590987126624203</v>
      </c>
      <c r="H173" s="14"/>
    </row>
    <row r="174" spans="1:8" ht="15.75" customHeight="1" x14ac:dyDescent="0.25">
      <c r="A174" s="9">
        <v>46073</v>
      </c>
      <c r="B174" s="10">
        <v>4008</v>
      </c>
      <c r="C174" s="10">
        <v>127</v>
      </c>
      <c r="D174" s="11">
        <f t="shared" si="0"/>
        <v>3.1686626746506983</v>
      </c>
      <c r="E174" s="13">
        <v>3</v>
      </c>
      <c r="F174" s="14">
        <f t="shared" si="1"/>
        <v>-0.16866267465069829</v>
      </c>
      <c r="G174" s="14">
        <f ca="1">IFERROR(__xludf.DUMMYFUNCTION("IFERROR(
  AVERAGE(
    FILTER(
      $D$2:$D174,
      $A$2:$A174&gt;=A174-30,
      $A$2:$A174&lt;=A174,
      $D$2:$D174&gt;0
    )
  ),
"""")
"),5.06338556099723)</f>
        <v>5.0633855609972303</v>
      </c>
      <c r="H174" s="14"/>
    </row>
    <row r="175" spans="1:8" ht="15.75" customHeight="1" x14ac:dyDescent="0.25">
      <c r="A175" s="9">
        <v>46074</v>
      </c>
      <c r="B175" s="10">
        <v>5037</v>
      </c>
      <c r="C175" s="10">
        <v>152</v>
      </c>
      <c r="D175" s="11">
        <f t="shared" si="0"/>
        <v>3.0176692475679969</v>
      </c>
      <c r="E175" s="13">
        <v>3</v>
      </c>
      <c r="F175" s="14">
        <f t="shared" si="1"/>
        <v>-1.7669247567996926E-2</v>
      </c>
      <c r="G175" s="14">
        <f ca="1">IFERROR(__xludf.DUMMYFUNCTION("IFERROR(
  AVERAGE(
    FILTER(
      $D$2:$D175,
      $A$2:$A175&gt;=A175-30,
      $A$2:$A175&lt;=A175,
      $D$2:$D175&gt;0
    )
  ),
"""")
"),5.00583335736682)</f>
        <v>5.0058333573668197</v>
      </c>
      <c r="H175" s="14"/>
    </row>
    <row r="176" spans="1:8" ht="15.75" customHeight="1" x14ac:dyDescent="0.25">
      <c r="A176" s="9">
        <v>46075</v>
      </c>
      <c r="B176" s="10">
        <v>1085</v>
      </c>
      <c r="C176" s="10">
        <v>36</v>
      </c>
      <c r="D176" s="11">
        <f t="shared" si="0"/>
        <v>3.317972350230415</v>
      </c>
      <c r="E176" s="13">
        <v>3</v>
      </c>
      <c r="F176" s="14">
        <f t="shared" si="1"/>
        <v>-0.31797235023041504</v>
      </c>
      <c r="G176" s="14">
        <f ca="1">IFERROR(__xludf.DUMMYFUNCTION("IFERROR(
  AVERAGE(
    FILTER(
      $D$2:$D176,
      $A$2:$A176&gt;=A176-30,
      $A$2:$A176&lt;=A176,
      $D$2:$D176&gt;0
    )
  ),
"""")
"),4.98244550760325)</f>
        <v>4.9824455076032503</v>
      </c>
      <c r="H176" s="14"/>
    </row>
    <row r="177" spans="1:8" ht="15.75" customHeight="1" x14ac:dyDescent="0.25">
      <c r="A177" s="9">
        <v>46076</v>
      </c>
      <c r="B177" s="10">
        <v>3852</v>
      </c>
      <c r="C177" s="10">
        <v>143</v>
      </c>
      <c r="D177" s="11">
        <f t="shared" si="0"/>
        <v>3.7123572170301142</v>
      </c>
      <c r="E177" s="13">
        <v>3</v>
      </c>
      <c r="F177" s="14">
        <f t="shared" si="1"/>
        <v>-0.71235721703011423</v>
      </c>
      <c r="G177" s="14">
        <f ca="1">IFERROR(__xludf.DUMMYFUNCTION("IFERROR(
  AVERAGE(
    FILTER(
      $D$2:$D177,
      $A$2:$A177&gt;=A177-30,
      $A$2:$A177&lt;=A177,
      $D$2:$D177&gt;0
    )
  ),
"""")
"),4.88579316822278)</f>
        <v>4.8857931682227802</v>
      </c>
      <c r="H177" s="14"/>
    </row>
    <row r="178" spans="1:8" ht="15.75" customHeight="1" x14ac:dyDescent="0.25">
      <c r="A178" s="9">
        <v>46077</v>
      </c>
      <c r="B178" s="10">
        <v>3679</v>
      </c>
      <c r="C178" s="10">
        <v>146</v>
      </c>
      <c r="D178" s="11">
        <f t="shared" si="0"/>
        <v>3.9684696928513183</v>
      </c>
      <c r="E178" s="13">
        <v>3</v>
      </c>
      <c r="F178" s="14">
        <f t="shared" si="1"/>
        <v>-0.96846969285131834</v>
      </c>
      <c r="G178" s="14">
        <f ca="1">IFERROR(__xludf.DUMMYFUNCTION("IFERROR(
  AVERAGE(
    FILTER(
      $D$2:$D178,
      $A$2:$A178&gt;=A178-30,
      $A$2:$A178&lt;=A178,
      $D$2:$D178&gt;0
    )
  ),
"""")
"),4.86308015985191)</f>
        <v>4.8630801598519096</v>
      </c>
      <c r="H178" s="14"/>
    </row>
    <row r="179" spans="1:8" ht="15.75" customHeight="1" x14ac:dyDescent="0.25">
      <c r="A179" s="9">
        <v>46078</v>
      </c>
      <c r="B179" s="10">
        <f>1938+1709</f>
        <v>3647</v>
      </c>
      <c r="C179" s="10">
        <v>132</v>
      </c>
      <c r="D179" s="11">
        <f t="shared" si="0"/>
        <v>3.619413216342199</v>
      </c>
      <c r="E179" s="13">
        <v>3</v>
      </c>
      <c r="F179" s="14">
        <f t="shared" si="1"/>
        <v>-0.61941321634219904</v>
      </c>
      <c r="G179" s="14">
        <f ca="1">IFERROR(__xludf.DUMMYFUNCTION("IFERROR(
  AVERAGE(
    FILTER(
      $D$2:$D179,
      $A$2:$A179&gt;=A179-30,
      $A$2:$A179&lt;=A179,
      $D$2:$D179&gt;0
    )
  ),
"""")
"),4.86953477114162)</f>
        <v>4.8695347711416197</v>
      </c>
      <c r="H179" s="14"/>
    </row>
    <row r="180" spans="1:8" ht="15.75" customHeight="1" x14ac:dyDescent="0.25">
      <c r="A180" s="9">
        <v>46079</v>
      </c>
      <c r="B180" s="10">
        <v>3687</v>
      </c>
      <c r="C180" s="10">
        <v>108</v>
      </c>
      <c r="D180" s="11">
        <f t="shared" si="0"/>
        <v>2.9292107404393817</v>
      </c>
      <c r="E180" s="13">
        <v>3</v>
      </c>
      <c r="F180" s="14">
        <f t="shared" si="1"/>
        <v>7.0789259560618323E-2</v>
      </c>
      <c r="G180" s="14">
        <f ca="1">IFERROR(__xludf.DUMMYFUNCTION("IFERROR(
  AVERAGE(
    FILTER(
      $D$2:$D180,
      $A$2:$A180&gt;=A180-30,
      $A$2:$A180&lt;=A180,
      $D$2:$D180&gt;0
    )
  ),
"""")
"),4.80694367337703)</f>
        <v>4.8069436733770301</v>
      </c>
      <c r="H180" s="14"/>
    </row>
    <row r="181" spans="1:8" ht="15.75" customHeight="1" x14ac:dyDescent="0.25">
      <c r="A181" s="9">
        <v>46080</v>
      </c>
      <c r="B181" s="10">
        <v>3292</v>
      </c>
      <c r="C181" s="10">
        <v>130</v>
      </c>
      <c r="D181" s="11">
        <f t="shared" si="0"/>
        <v>3.9489671931956258</v>
      </c>
      <c r="E181" s="13">
        <v>3</v>
      </c>
      <c r="F181" s="14">
        <f t="shared" si="1"/>
        <v>-0.94896719319562584</v>
      </c>
      <c r="G181" s="14">
        <f ca="1">IFERROR(__xludf.DUMMYFUNCTION("IFERROR(
  AVERAGE(
    FILTER(
      $D$2:$D181,
      $A$2:$A181&gt;=A181-30,
      $A$2:$A181&lt;=A181,
      $D$2:$D181&gt;0
    )
  ),
"""")
"),4.77635182877084)</f>
        <v>4.7763518287708404</v>
      </c>
      <c r="H181" s="14"/>
    </row>
    <row r="182" spans="1:8" ht="15.75" customHeight="1" x14ac:dyDescent="0.25">
      <c r="A182" s="9">
        <v>46081</v>
      </c>
      <c r="B182" s="10">
        <v>5743</v>
      </c>
      <c r="C182" s="10">
        <v>245</v>
      </c>
      <c r="D182" s="11">
        <f t="shared" si="0"/>
        <v>4.2660630332578791</v>
      </c>
      <c r="E182" s="13">
        <v>3</v>
      </c>
      <c r="F182" s="14">
        <f t="shared" si="1"/>
        <v>-1.2660630332578791</v>
      </c>
      <c r="G182" s="14">
        <f ca="1">IFERROR(__xludf.DUMMYFUNCTION("IFERROR(
  AVERAGE(
    FILTER(
      $D$2:$D182,
      $A$2:$A182&gt;=A182-30,
      $A$2:$A182&lt;=A182,
      $D$2:$D182&gt;0
    )
  ),
"""")
"),4.73249453057946)</f>
        <v>4.7324945305794603</v>
      </c>
      <c r="H182" s="14"/>
    </row>
    <row r="183" spans="1:8" ht="15.75" customHeight="1" x14ac:dyDescent="0.25">
      <c r="A183" s="9">
        <v>46082</v>
      </c>
      <c r="B183" s="10">
        <v>1118.3499999999999</v>
      </c>
      <c r="C183" s="10">
        <v>23</v>
      </c>
      <c r="D183" s="11">
        <f t="shared" si="0"/>
        <v>2.0566012429024902</v>
      </c>
      <c r="E183" s="13">
        <v>3</v>
      </c>
      <c r="F183" s="14">
        <f t="shared" si="1"/>
        <v>0.94339875709750975</v>
      </c>
      <c r="G183" s="14">
        <f ca="1">IFERROR(__xludf.DUMMYFUNCTION("IFERROR(
  AVERAGE(
    FILTER(
      $D$2:$D183,
      $A$2:$A183&gt;=A183-30,
      $A$2:$A183&lt;=A183,
      $D$2:$D183&gt;0
    )
  ),
"""")
"),4.60062319175377)</f>
        <v>4.6006231917537699</v>
      </c>
      <c r="H183" s="14"/>
    </row>
    <row r="184" spans="1:8" ht="15.75" customHeight="1" x14ac:dyDescent="0.25">
      <c r="A184" s="9">
        <v>46083</v>
      </c>
      <c r="B184" s="10">
        <v>4601</v>
      </c>
      <c r="C184" s="10">
        <v>141</v>
      </c>
      <c r="D184" s="11">
        <f t="shared" si="0"/>
        <v>3.0645511845251034</v>
      </c>
      <c r="E184" s="13">
        <v>3</v>
      </c>
      <c r="F184" s="14">
        <f t="shared" si="1"/>
        <v>-6.4551184525103444E-2</v>
      </c>
      <c r="G184" s="14">
        <f ca="1">IFERROR(__xludf.DUMMYFUNCTION("IFERROR(
  AVERAGE(
    FILTER(
      $D$2:$D184,
      $A$2:$A184&gt;=A184-30,
      $A$2:$A184&lt;=A184,
      $D$2:$D184&gt;0
    )
  ),
"""")
"),4.51298077469277)</f>
        <v>4.5129807746927701</v>
      </c>
      <c r="H184" s="14"/>
    </row>
    <row r="185" spans="1:8" ht="15.75" customHeight="1" x14ac:dyDescent="0.25">
      <c r="A185" s="9">
        <v>46084</v>
      </c>
      <c r="B185" s="10">
        <f>1280+841</f>
        <v>2121</v>
      </c>
      <c r="C185" s="10">
        <v>110</v>
      </c>
      <c r="D185" s="11">
        <f t="shared" si="0"/>
        <v>5.1862329090051862</v>
      </c>
      <c r="E185" s="13">
        <v>3</v>
      </c>
      <c r="F185" s="14">
        <f t="shared" si="1"/>
        <v>-2.1862329090051862</v>
      </c>
      <c r="G185" s="14">
        <f ca="1">IFERROR(__xludf.DUMMYFUNCTION("IFERROR(
  AVERAGE(
    FILTER(
      $D$2:$D185,
      $A$2:$A185&gt;=A185-30,
      $A$2:$A185&lt;=A185,
      $D$2:$D185&gt;0
    )
  ),
"""")
"),4.48811535949412)</f>
        <v>4.4881153594941203</v>
      </c>
      <c r="H185" s="14"/>
    </row>
    <row r="186" spans="1:8" ht="15.75" customHeight="1" x14ac:dyDescent="0.25">
      <c r="A186" s="9">
        <v>46085</v>
      </c>
      <c r="B186" s="10">
        <v>0</v>
      </c>
      <c r="C186" s="10">
        <v>0</v>
      </c>
      <c r="D186" s="11" t="e">
        <f t="shared" si="0"/>
        <v>#DIV/0!</v>
      </c>
      <c r="E186" s="13">
        <v>3</v>
      </c>
      <c r="F186" s="14" t="e">
        <f t="shared" si="1"/>
        <v>#DIV/0!</v>
      </c>
      <c r="G186" s="14">
        <f ca="1">IFERROR(__xludf.DUMMYFUNCTION("IFERROR(
  AVERAGE(
    FILTER(
      $D$2:$D186,
      $A$2:$A186&gt;=A186-30,
      $A$2:$A186&lt;=A186,
      $D$2:$D186&gt;0
    )
  ),
"""")
"),4.49844343879387)</f>
        <v>4.4984434387938697</v>
      </c>
      <c r="H186" s="14"/>
    </row>
    <row r="187" spans="1:8" ht="15.75" customHeight="1" x14ac:dyDescent="0.25">
      <c r="A187" s="9">
        <v>46086</v>
      </c>
      <c r="B187" s="10">
        <v>4372</v>
      </c>
      <c r="C187" s="10">
        <v>297</v>
      </c>
      <c r="D187" s="11">
        <f t="shared" si="0"/>
        <v>6.7932296431838974</v>
      </c>
      <c r="E187" s="13">
        <v>3</v>
      </c>
      <c r="F187" s="14">
        <f t="shared" si="1"/>
        <v>-3.7932296431838974</v>
      </c>
      <c r="G187" s="14">
        <f ca="1">IFERROR(__xludf.DUMMYFUNCTION("IFERROR(
  AVERAGE(
    FILTER(
      $D$2:$D187,
      $A$2:$A187&gt;=A187-30,
      $A$2:$A187&lt;=A187,
      $D$2:$D187&gt;0
    )
  ),
"""")
"),4.56643372267465)</f>
        <v>4.5664337226746499</v>
      </c>
      <c r="H187" s="14"/>
    </row>
    <row r="188" spans="1:8" ht="15.75" customHeight="1" x14ac:dyDescent="0.25">
      <c r="A188" s="9">
        <v>46087</v>
      </c>
      <c r="B188" s="10">
        <v>2578</v>
      </c>
      <c r="C188" s="10">
        <v>94</v>
      </c>
      <c r="D188" s="11">
        <f t="shared" si="0"/>
        <v>3.6462373933281613</v>
      </c>
      <c r="E188" s="13">
        <v>3</v>
      </c>
      <c r="F188" s="14">
        <f t="shared" si="1"/>
        <v>-0.64623739332816132</v>
      </c>
      <c r="G188" s="14">
        <f ca="1">IFERROR(__xludf.DUMMYFUNCTION("IFERROR(
  AVERAGE(
    FILTER(
      $D$2:$D188,
      $A$2:$A188&gt;=A188-30,
      $A$2:$A188&lt;=A188,
      $D$2:$D188&gt;0
    )
  ),
"""")
"),4.53002423665309)</f>
        <v>4.5300242366530901</v>
      </c>
      <c r="H188" s="14"/>
    </row>
    <row r="189" spans="1:8" ht="15.75" customHeight="1" x14ac:dyDescent="0.25">
      <c r="A189" s="9">
        <v>46088</v>
      </c>
      <c r="B189" s="10">
        <v>2505</v>
      </c>
      <c r="C189" s="10">
        <v>99</v>
      </c>
      <c r="D189" s="11">
        <f t="shared" si="0"/>
        <v>3.952095808383234</v>
      </c>
      <c r="E189" s="13">
        <v>3</v>
      </c>
      <c r="F189" s="14">
        <f t="shared" si="1"/>
        <v>-0.95209580838323404</v>
      </c>
      <c r="G189" s="14">
        <f ca="1">IFERROR(__xludf.DUMMYFUNCTION("IFERROR(
  AVERAGE(
    FILTER(
      $D$2:$D189,
      $A$2:$A189&gt;=A189-30,
      $A$2:$A189&lt;=A189,
      $D$2:$D189&gt;0
    )
  ),
"""")
"),4.4704970869935)</f>
        <v>4.4704970869935003</v>
      </c>
      <c r="H189" s="14"/>
    </row>
    <row r="190" spans="1:8" ht="15.75" customHeight="1" x14ac:dyDescent="0.25">
      <c r="A190" s="9">
        <v>46089</v>
      </c>
      <c r="B190" s="10">
        <v>372</v>
      </c>
      <c r="C190" s="10">
        <v>9</v>
      </c>
      <c r="D190" s="11">
        <f t="shared" si="0"/>
        <v>2.4193548387096775</v>
      </c>
      <c r="E190" s="13">
        <v>3</v>
      </c>
      <c r="F190" s="14">
        <f t="shared" si="1"/>
        <v>0.58064516129032251</v>
      </c>
      <c r="G190" s="14">
        <f ca="1">IFERROR(__xludf.DUMMYFUNCTION("IFERROR(
  AVERAGE(
    FILTER(
      $D$2:$D190,
      $A$2:$A190&gt;=A190-30,
      $A$2:$A190&lt;=A190,
      $D$2:$D190&gt;0
    )
  ),
"""")
"),4.32907464232337)</f>
        <v>4.3290746423233699</v>
      </c>
      <c r="H190" s="14"/>
    </row>
    <row r="191" spans="1:8" ht="15.75" customHeight="1" x14ac:dyDescent="0.25">
      <c r="A191" s="9">
        <v>46090</v>
      </c>
      <c r="B191" s="10">
        <v>2361.5</v>
      </c>
      <c r="C191" s="10">
        <v>75</v>
      </c>
      <c r="D191" s="11">
        <f t="shared" si="0"/>
        <v>3.1759474910014824</v>
      </c>
      <c r="E191" s="13">
        <v>3</v>
      </c>
      <c r="F191" s="14">
        <f t="shared" si="1"/>
        <v>-0.17594749100148244</v>
      </c>
      <c r="G191" s="14">
        <f ca="1">IFERROR(__xludf.DUMMYFUNCTION("IFERROR(
  AVERAGE(
    FILTER(
      $D$2:$D191,
      $A$2:$A191&gt;=A191-30,
      $A$2:$A191&lt;=A191,
      $D$2:$D191&gt;0
    )
  ),
"""")
"),4.25867325897185)</f>
        <v>4.2586732589718501</v>
      </c>
      <c r="H191" s="14"/>
    </row>
    <row r="192" spans="1:8" ht="15.75" customHeight="1" x14ac:dyDescent="0.25">
      <c r="A192" s="9">
        <v>46091</v>
      </c>
      <c r="B192" s="10">
        <v>2362</v>
      </c>
      <c r="C192" s="10">
        <v>75</v>
      </c>
      <c r="D192" s="11">
        <f t="shared" si="0"/>
        <v>3.1752751905165111</v>
      </c>
      <c r="E192" s="13">
        <v>3</v>
      </c>
      <c r="F192" s="14">
        <f t="shared" si="1"/>
        <v>-0.17527519051651108</v>
      </c>
      <c r="G192" s="14">
        <f ca="1">IFERROR(__xludf.DUMMYFUNCTION("IFERROR(
  AVERAGE(
    FILTER(
      $D$2:$D192,
      $A$2:$A192&gt;=A192-30,
      $A$2:$A192&lt;=A192,
      $D$2:$D192&gt;0
    )
  ),
"""")
"),4.17594805237093)</f>
        <v>4.1759480523709298</v>
      </c>
      <c r="H192" s="14"/>
    </row>
    <row r="193" spans="1:8" ht="15.75" customHeight="1" x14ac:dyDescent="0.25">
      <c r="A193" s="9">
        <v>46092</v>
      </c>
      <c r="B193" s="10">
        <v>2611</v>
      </c>
      <c r="C193" s="10">
        <v>67</v>
      </c>
      <c r="D193" s="11">
        <f t="shared" si="0"/>
        <v>2.5660666411336654</v>
      </c>
      <c r="E193" s="13">
        <v>3</v>
      </c>
      <c r="F193" s="14">
        <f t="shared" si="1"/>
        <v>0.43393335886633455</v>
      </c>
      <c r="G193" s="14">
        <f ca="1">IFERROR(__xludf.DUMMYFUNCTION("IFERROR(
  AVERAGE(
    FILTER(
      $D$2:$D193,
      $A$2:$A193&gt;=A193-30,
      $A$2:$A193&lt;=A193,
      $D$2:$D193&gt;0
    )
  ),
"""")
"),4.14254679871878)</f>
        <v>4.1425467987187803</v>
      </c>
      <c r="H193" s="14"/>
    </row>
    <row r="194" spans="1:8" ht="15.75" customHeight="1" x14ac:dyDescent="0.25">
      <c r="A194" s="9">
        <v>46093</v>
      </c>
      <c r="B194" s="10">
        <f>1343+1032</f>
        <v>2375</v>
      </c>
      <c r="C194" s="10">
        <v>132</v>
      </c>
      <c r="D194" s="11">
        <f t="shared" si="0"/>
        <v>5.5578947368421057</v>
      </c>
      <c r="E194" s="13">
        <v>3</v>
      </c>
      <c r="F194" s="14">
        <f t="shared" si="1"/>
        <v>-2.5578947368421057</v>
      </c>
      <c r="G194" s="14">
        <f ca="1">IFERROR(__xludf.DUMMYFUNCTION("IFERROR(
  AVERAGE(
    FILTER(
      $D$2:$D194,
      $A$2:$A194&gt;=A194-30,
      $A$2:$A194&lt;=A194,
      $D$2:$D194&gt;0
    )
  ),
"""")
"),4.08398425266512)</f>
        <v>4.08398425266512</v>
      </c>
      <c r="H194" s="14"/>
    </row>
    <row r="195" spans="1:8" ht="15.75" customHeight="1" x14ac:dyDescent="0.25">
      <c r="A195" s="9">
        <v>46094</v>
      </c>
      <c r="B195" s="10">
        <v>3032</v>
      </c>
      <c r="C195" s="10">
        <v>131</v>
      </c>
      <c r="D195" s="11">
        <f t="shared" si="0"/>
        <v>4.3205804749340366</v>
      </c>
      <c r="E195" s="13">
        <v>3</v>
      </c>
      <c r="F195" s="14">
        <f t="shared" si="1"/>
        <v>-1.3205804749340366</v>
      </c>
      <c r="G195" s="14">
        <f ca="1">IFERROR(__xludf.DUMMYFUNCTION("IFERROR(
  AVERAGE(
    FILTER(
      $D$2:$D195,
      $A$2:$A195&gt;=A195-30,
      $A$2:$A195&lt;=A195,
      $D$2:$D195&gt;0
    )
  ),
"""")
"),4.03314622939085)</f>
        <v>4.0331462293908498</v>
      </c>
      <c r="H195" s="14"/>
    </row>
    <row r="196" spans="1:8" ht="15.75" customHeight="1" x14ac:dyDescent="0.25">
      <c r="A196" s="9">
        <v>46095</v>
      </c>
      <c r="B196" s="10">
        <v>2743</v>
      </c>
      <c r="C196" s="10">
        <v>110</v>
      </c>
      <c r="D196" s="11">
        <f t="shared" si="0"/>
        <v>4.0102078016769962</v>
      </c>
      <c r="E196" s="13">
        <v>3</v>
      </c>
      <c r="F196" s="14">
        <f t="shared" si="1"/>
        <v>-1.0102078016769962</v>
      </c>
      <c r="G196" s="14">
        <f ca="1">IFERROR(__xludf.DUMMYFUNCTION("IFERROR(
  AVERAGE(
    FILTER(
      $D$2:$D196,
      $A$2:$A196&gt;=A196-30,
      $A$2:$A196&lt;=A196,
      $D$2:$D196&gt;0
    )
  ),
"""")
"),3.91248110345034)</f>
        <v>3.9124811034503399</v>
      </c>
      <c r="H196" s="14"/>
    </row>
    <row r="197" spans="1:8" ht="15.75" customHeight="1" x14ac:dyDescent="0.25">
      <c r="A197" s="9">
        <v>46096</v>
      </c>
      <c r="B197" s="10">
        <v>561.5</v>
      </c>
      <c r="C197" s="10">
        <v>16.5</v>
      </c>
      <c r="D197" s="11">
        <f t="shared" si="0"/>
        <v>2.9385574354407837</v>
      </c>
      <c r="E197" s="13">
        <v>3</v>
      </c>
      <c r="F197" s="14">
        <f t="shared" si="1"/>
        <v>6.1442564559216262E-2</v>
      </c>
      <c r="G197" s="14">
        <f ca="1">IFERROR(__xludf.DUMMYFUNCTION("IFERROR(
  AVERAGE(
    FILTER(
      $D$2:$D197,
      $A$2:$A197&gt;=A197-30,
      $A$2:$A197&lt;=A197,
      $D$2:$D197&gt;0
    )
  ),
"""")
"),3.86171065218841)</f>
        <v>3.8617106521884099</v>
      </c>
      <c r="H197" s="14"/>
    </row>
    <row r="198" spans="1:8" ht="15.75" customHeight="1" x14ac:dyDescent="0.25">
      <c r="A198" s="9">
        <v>46097</v>
      </c>
      <c r="B198" s="10">
        <f>1071+833</f>
        <v>1904</v>
      </c>
      <c r="C198" s="10">
        <v>94</v>
      </c>
      <c r="D198" s="11">
        <f t="shared" si="0"/>
        <v>4.9369747899159666</v>
      </c>
      <c r="E198" s="13">
        <v>3</v>
      </c>
      <c r="F198" s="14">
        <f t="shared" si="1"/>
        <v>-1.9369747899159666</v>
      </c>
      <c r="G198" s="14">
        <f ca="1">IFERROR(__xludf.DUMMYFUNCTION("IFERROR(
  AVERAGE(
    FILTER(
      $D$2:$D198,
      $A$2:$A198&gt;=A198-30,
      $A$2:$A198&lt;=A198,
      $D$2:$D198&gt;0
    )
  ),
"""")
"),3.87814123975979)</f>
        <v>3.8781412397597901</v>
      </c>
      <c r="H198" s="14"/>
    </row>
    <row r="199" spans="1:8" ht="15.75" customHeight="1" x14ac:dyDescent="0.25">
      <c r="A199" s="9">
        <v>46098</v>
      </c>
      <c r="B199" s="10">
        <v>2749</v>
      </c>
      <c r="C199" s="10">
        <v>161</v>
      </c>
      <c r="D199" s="11">
        <f t="shared" si="0"/>
        <v>5.8566751546016729</v>
      </c>
      <c r="E199" s="13">
        <v>3</v>
      </c>
      <c r="F199" s="14">
        <f t="shared" si="1"/>
        <v>-2.8566751546016729</v>
      </c>
      <c r="G199" s="14">
        <f ca="1">IFERROR(__xludf.DUMMYFUNCTION("IFERROR(
  AVERAGE(
    FILTER(
      $D$2:$D199,
      $A$2:$A199&gt;=A199-30,
      $A$2:$A199&lt;=A199,
      $D$2:$D199&gt;0
    )
  ),
"""")
"),3.91228737576404)</f>
        <v>3.91228737576404</v>
      </c>
      <c r="H199" s="14"/>
    </row>
    <row r="200" spans="1:8" ht="15.75" customHeight="1" x14ac:dyDescent="0.25">
      <c r="A200" s="9">
        <v>46099</v>
      </c>
      <c r="B200" s="10">
        <v>2832</v>
      </c>
      <c r="C200" s="10">
        <v>126</v>
      </c>
      <c r="D200" s="11">
        <f t="shared" si="0"/>
        <v>4.4491525423728815</v>
      </c>
      <c r="E200" s="13">
        <v>3</v>
      </c>
      <c r="F200" s="14">
        <f t="shared" si="1"/>
        <v>-1.4491525423728815</v>
      </c>
      <c r="G200" s="14">
        <f ca="1">IFERROR(__xludf.DUMMYFUNCTION("IFERROR(
  AVERAGE(
    FILTER(
      $D$2:$D200,
      $A$2:$A200&gt;=A200-30,
      $A$2:$A200&lt;=A200,
      $D$2:$D200&gt;0
    )
  ),
"""")
"),3.86252808958926)</f>
        <v>3.8625280895892602</v>
      </c>
      <c r="H200" s="14"/>
    </row>
    <row r="201" spans="1:8" ht="15.75" customHeight="1" x14ac:dyDescent="0.25">
      <c r="A201" s="9">
        <v>46100</v>
      </c>
      <c r="B201" s="10">
        <v>2609</v>
      </c>
      <c r="C201" s="10">
        <v>176</v>
      </c>
      <c r="D201" s="11">
        <f t="shared" si="0"/>
        <v>6.7458796473744727</v>
      </c>
      <c r="E201" s="13">
        <v>3</v>
      </c>
      <c r="F201" s="14">
        <f t="shared" si="1"/>
        <v>-3.7458796473744727</v>
      </c>
      <c r="G201" s="14">
        <f ca="1">IFERROR(__xludf.DUMMYFUNCTION("IFERROR(
  AVERAGE(
    FILTER(
      $D$2:$D201,
      $A$2:$A201&gt;=A201-30,
      $A$2:$A201&lt;=A201,
      $D$2:$D201&gt;0
    )
  ),
"""")
"),3.96913842168825)</f>
        <v>3.9691384216882502</v>
      </c>
      <c r="H201" s="14"/>
    </row>
    <row r="202" spans="1:8" ht="15.75" customHeight="1" x14ac:dyDescent="0.25">
      <c r="A202" s="9">
        <v>46101</v>
      </c>
      <c r="B202" s="10">
        <v>2351</v>
      </c>
      <c r="C202" s="10">
        <v>178</v>
      </c>
      <c r="D202" s="11">
        <f t="shared" si="0"/>
        <v>7.5712462781794985</v>
      </c>
      <c r="E202" s="13">
        <v>3</v>
      </c>
      <c r="F202" s="14">
        <f t="shared" si="1"/>
        <v>-4.5712462781794985</v>
      </c>
      <c r="G202" s="14">
        <f ca="1">IFERROR(__xludf.DUMMYFUNCTION("IFERROR(
  AVERAGE(
    FILTER(
      $D$2:$D202,
      $A$2:$A202&gt;=A202-30,
      $A$2:$A202&lt;=A202,
      $D$2:$D202&gt;0
    )
  ),
"""")
"),3.99305197090035)</f>
        <v>3.9930519709003498</v>
      </c>
      <c r="H202" s="14"/>
    </row>
    <row r="203" spans="1:8" ht="15.75" customHeight="1" x14ac:dyDescent="0.25">
      <c r="A203" s="9">
        <v>46102</v>
      </c>
      <c r="B203" s="10">
        <v>2877</v>
      </c>
      <c r="C203" s="10">
        <v>132</v>
      </c>
      <c r="D203" s="11">
        <f t="shared" si="0"/>
        <v>4.5881126173096973</v>
      </c>
      <c r="E203" s="13">
        <v>3</v>
      </c>
      <c r="F203" s="14">
        <f t="shared" si="1"/>
        <v>-1.5881126173096973</v>
      </c>
      <c r="G203" s="14">
        <f ca="1">IFERROR(__xludf.DUMMYFUNCTION("IFERROR(
  AVERAGE(
    FILTER(
      $D$2:$D203,
      $A$2:$A203&gt;=A203-30,
      $A$2:$A203&lt;=A203,
      $D$2:$D203&gt;0
    )
  ),
"""")
"),4.03602904360384)</f>
        <v>4.0360290436038397</v>
      </c>
      <c r="H203" s="14"/>
    </row>
    <row r="204" spans="1:8" ht="15.75" customHeight="1" x14ac:dyDescent="0.25">
      <c r="A204" s="9">
        <v>46103</v>
      </c>
      <c r="B204" s="10">
        <v>0</v>
      </c>
      <c r="C204" s="10">
        <v>0</v>
      </c>
      <c r="D204" s="11" t="e">
        <f t="shared" si="0"/>
        <v>#DIV/0!</v>
      </c>
      <c r="E204" s="13">
        <v>3</v>
      </c>
      <c r="F204" s="14" t="e">
        <f t="shared" si="1"/>
        <v>#DIV/0!</v>
      </c>
      <c r="G204" s="14">
        <f ca="1">IFERROR(__xludf.DUMMYFUNCTION("IFERROR(
  AVERAGE(
    FILTER(
      $D$2:$D204,
      $A$2:$A204&gt;=A204-30,
      $A$2:$A204&lt;=A204,
      $D$2:$D204&gt;0
    )
  ),
"""")
"),4.10205721334148)</f>
        <v>4.1020572133414799</v>
      </c>
      <c r="H204" s="14"/>
    </row>
    <row r="205" spans="1:8" ht="15.75" customHeight="1" x14ac:dyDescent="0.25">
      <c r="A205" s="9">
        <v>46104</v>
      </c>
      <c r="B205" s="10">
        <v>2846</v>
      </c>
      <c r="C205" s="10">
        <v>112</v>
      </c>
      <c r="D205" s="11">
        <f t="shared" si="0"/>
        <v>3.9353478566408993</v>
      </c>
      <c r="E205" s="13">
        <v>3</v>
      </c>
      <c r="F205" s="14">
        <f t="shared" si="1"/>
        <v>-0.93534785664089926</v>
      </c>
      <c r="G205" s="14">
        <f ca="1">IFERROR(__xludf.DUMMYFUNCTION("IFERROR(
  AVERAGE(
    FILTER(
      $D$2:$D205,
      $A$2:$A205&gt;=A205-30,
      $A$2:$A205&lt;=A205,
      $D$2:$D205&gt;0
    )
  ),
"""")
"),4.12849463341011)</f>
        <v>4.12849463341011</v>
      </c>
      <c r="H205" s="14"/>
    </row>
    <row r="206" spans="1:8" ht="15.75" customHeight="1" x14ac:dyDescent="0.25">
      <c r="A206" s="9">
        <v>46105</v>
      </c>
      <c r="B206" s="10">
        <v>3659</v>
      </c>
      <c r="C206" s="10">
        <v>135</v>
      </c>
      <c r="D206" s="11">
        <f t="shared" si="0"/>
        <v>3.6895326591965016</v>
      </c>
      <c r="E206" s="13">
        <v>3</v>
      </c>
      <c r="F206" s="14">
        <f t="shared" si="1"/>
        <v>-0.68953265919650164</v>
      </c>
      <c r="G206" s="14">
        <f ca="1">IFERROR(__xludf.DUMMYFUNCTION("IFERROR(
  AVERAGE(
    FILTER(
      $D$2:$D206,
      $A$2:$A206&gt;=A206-30,
      $A$2:$A206&lt;=A206,
      $D$2:$D206&gt;0
    )
  ),
"""")
"),4.15166233725937)</f>
        <v>4.1516623372593697</v>
      </c>
      <c r="H206" s="14"/>
    </row>
    <row r="207" spans="1:8" ht="15.75" customHeight="1" x14ac:dyDescent="0.25">
      <c r="A207" s="9">
        <v>46106</v>
      </c>
      <c r="B207" s="10">
        <v>4612</v>
      </c>
      <c r="C207" s="10">
        <v>162</v>
      </c>
      <c r="D207" s="11">
        <f t="shared" si="0"/>
        <v>3.5125758889852561</v>
      </c>
      <c r="E207" s="13">
        <v>3</v>
      </c>
      <c r="F207" s="14">
        <f t="shared" si="1"/>
        <v>-0.51257588898525608</v>
      </c>
      <c r="G207" s="14">
        <f ca="1">IFERROR(__xludf.DUMMYFUNCTION("IFERROR(
  AVERAGE(
    FILTER(
      $D$2:$D207,
      $A$2:$A207&gt;=A207-30,
      $A$2:$A207&lt;=A207,
      $D$2:$D207&gt;0
    )
  ),
"""")
"),4.15837280411298)</f>
        <v>4.1583728041129797</v>
      </c>
      <c r="H207" s="14"/>
    </row>
    <row r="208" spans="1:8" ht="15.75" customHeight="1" x14ac:dyDescent="0.25">
      <c r="A208" s="9">
        <v>46107</v>
      </c>
      <c r="B208" s="10">
        <f>1210.35+1629.2</f>
        <v>2839.55</v>
      </c>
      <c r="C208" s="10">
        <v>143</v>
      </c>
      <c r="D208" s="11">
        <f t="shared" si="0"/>
        <v>5.036009226814107</v>
      </c>
      <c r="E208" s="13">
        <v>3</v>
      </c>
      <c r="F208" s="14">
        <f t="shared" si="1"/>
        <v>-2.036009226814107</v>
      </c>
      <c r="G208" s="14">
        <f ca="1">IFERROR(__xludf.DUMMYFUNCTION("IFERROR(
  AVERAGE(
    FILTER(
      $D$2:$D208,
      $A$2:$A208&gt;=A208-30,
      $A$2:$A208&lt;=A208,
      $D$2:$D208&gt;0
    )
  ),
"""")
"),4.20401597686416)</f>
        <v>4.2040159768641603</v>
      </c>
      <c r="H208" s="14"/>
    </row>
    <row r="209" spans="1:8" ht="15.75" customHeight="1" x14ac:dyDescent="0.25">
      <c r="A209" s="9">
        <v>46108</v>
      </c>
      <c r="B209" s="10">
        <v>4922</v>
      </c>
      <c r="C209" s="10">
        <v>114</v>
      </c>
      <c r="D209" s="11">
        <f t="shared" si="0"/>
        <v>2.3161316537992684</v>
      </c>
      <c r="E209" s="13">
        <v>3</v>
      </c>
      <c r="F209" s="14">
        <f t="shared" si="1"/>
        <v>0.68386834620073156</v>
      </c>
      <c r="G209" s="14">
        <f ca="1">IFERROR(__xludf.DUMMYFUNCTION("IFERROR(
  AVERAGE(
    FILTER(
      $D$2:$D209,
      $A$2:$A209&gt;=A209-30,
      $A$2:$A209&lt;=A209,
      $D$2:$D209&gt;0
    )
  ),
"""")
"),4.14703880310374)</f>
        <v>4.1470388031037402</v>
      </c>
      <c r="H209" s="14"/>
    </row>
    <row r="210" spans="1:8" ht="15.75" customHeight="1" x14ac:dyDescent="0.25">
      <c r="A210" s="9">
        <v>46109</v>
      </c>
      <c r="B210" s="10">
        <v>6005</v>
      </c>
      <c r="C210" s="10">
        <v>258</v>
      </c>
      <c r="D210" s="11">
        <f t="shared" si="0"/>
        <v>4.2964196502914245</v>
      </c>
      <c r="E210" s="13">
        <v>3</v>
      </c>
      <c r="F210" s="14">
        <f t="shared" si="1"/>
        <v>-1.2964196502914245</v>
      </c>
      <c r="G210" s="14">
        <f ca="1">IFERROR(__xludf.DUMMYFUNCTION("IFERROR(
  AVERAGE(
    FILTER(
      $D$2:$D210,
      $A$2:$A210&gt;=A210-30,
      $A$2:$A210&lt;=A210,
      $D$2:$D210&gt;0
    )
  ),
"""")
"),4.17038385255027)</f>
        <v>4.1703838525502697</v>
      </c>
      <c r="H210" s="14"/>
    </row>
    <row r="211" spans="1:8" ht="15.75" customHeight="1" x14ac:dyDescent="0.25">
      <c r="A211" s="9">
        <v>46110</v>
      </c>
      <c r="B211" s="10">
        <v>0</v>
      </c>
      <c r="C211" s="10">
        <v>0</v>
      </c>
      <c r="D211" s="11" t="e">
        <f t="shared" si="0"/>
        <v>#DIV/0!</v>
      </c>
      <c r="E211" s="13">
        <v>3</v>
      </c>
      <c r="F211" s="14" t="e">
        <f t="shared" si="1"/>
        <v>#DIV/0!</v>
      </c>
      <c r="G211" s="14">
        <f ca="1">IFERROR(__xludf.DUMMYFUNCTION("IFERROR(
  AVERAGE(
    FILTER(
      $D$2:$D211,
      $A$2:$A211&gt;=A211-30,
      $A$2:$A211&lt;=A211,
      $D$2:$D211&gt;0
    )
  ),
"""")
"),4.21471146369708)</f>
        <v>4.2147114636970802</v>
      </c>
      <c r="H211" s="14"/>
    </row>
    <row r="212" spans="1:8" ht="15.75" customHeight="1" x14ac:dyDescent="0.25">
      <c r="A212" s="9">
        <v>46111</v>
      </c>
      <c r="B212" s="10">
        <v>2687</v>
      </c>
      <c r="C212" s="10">
        <v>152</v>
      </c>
      <c r="D212" s="11">
        <f t="shared" si="0"/>
        <v>5.6568663937476744</v>
      </c>
      <c r="E212" s="13">
        <v>3</v>
      </c>
      <c r="F212" s="14">
        <f t="shared" si="1"/>
        <v>-2.6568663937476744</v>
      </c>
      <c r="G212" s="14">
        <f ca="1">IFERROR(__xludf.DUMMYFUNCTION("IFERROR(
  AVERAGE(
    FILTER(
      $D$2:$D212,
      $A$2:$A212&gt;=A212-30,
      $A$2:$A212&lt;=A212,
      $D$2:$D212&gt;0
    )
  ),
"""")
"),4.2757078637168)</f>
        <v>4.2757078637168</v>
      </c>
      <c r="H212" s="14"/>
    </row>
    <row r="213" spans="1:8" ht="15.75" customHeight="1" x14ac:dyDescent="0.25">
      <c r="A213" s="9">
        <v>46112</v>
      </c>
      <c r="B213" s="10">
        <v>2949</v>
      </c>
      <c r="C213" s="10">
        <v>163</v>
      </c>
      <c r="D213" s="11">
        <f t="shared" si="0"/>
        <v>5.5272973889454056</v>
      </c>
      <c r="E213" s="13">
        <v>3</v>
      </c>
      <c r="F213" s="14">
        <f t="shared" si="1"/>
        <v>-2.5272973889454056</v>
      </c>
      <c r="G213" s="14">
        <f ca="1">IFERROR(__xludf.DUMMYFUNCTION("IFERROR(
  AVERAGE(
    FILTER(
      $D$2:$D213,
      $A$2:$A213&gt;=A213-30,
      $A$2:$A213&lt;=A213,
      $D$2:$D213&gt;0
    )
  ),
"""")
"),4.3207519478485)</f>
        <v>4.3207519478484997</v>
      </c>
      <c r="H213" s="14"/>
    </row>
    <row r="214" spans="1:8" ht="15.75" customHeight="1" x14ac:dyDescent="0.25">
      <c r="A214" s="9">
        <v>46113</v>
      </c>
      <c r="B214" s="10">
        <v>3143</v>
      </c>
      <c r="C214" s="10">
        <v>160</v>
      </c>
      <c r="D214" s="11">
        <f t="shared" si="0"/>
        <v>5.090677696468342</v>
      </c>
      <c r="E214" s="13">
        <v>3</v>
      </c>
      <c r="F214" s="14">
        <f t="shared" si="1"/>
        <v>-2.090677696468342</v>
      </c>
      <c r="G214" s="14">
        <f ca="1">IFERROR(__xludf.DUMMYFUNCTION("IFERROR(
  AVERAGE(
    FILTER(
      $D$2:$D214,
      $A$2:$A214&gt;=A214-30,
      $A$2:$A214&lt;=A214,
      $D$2:$D214&gt;0
    )
  ),
"""")
"),4.42911182119014)</f>
        <v>4.4291118211901397</v>
      </c>
      <c r="H214" s="14"/>
    </row>
    <row r="215" spans="1:8" ht="15.75" customHeight="1" x14ac:dyDescent="0.25">
      <c r="A215" s="9">
        <v>46114</v>
      </c>
      <c r="B215" s="10">
        <v>3150</v>
      </c>
      <c r="C215" s="10">
        <v>184</v>
      </c>
      <c r="D215" s="11">
        <f t="shared" si="0"/>
        <v>5.8412698412698418</v>
      </c>
      <c r="E215" s="13">
        <v>3</v>
      </c>
      <c r="F215" s="14">
        <f t="shared" si="1"/>
        <v>-2.8412698412698418</v>
      </c>
      <c r="G215" s="14">
        <f ca="1">IFERROR(__xludf.DUMMYFUNCTION("IFERROR(
  AVERAGE(
    FILTER(
      $D$2:$D215,
      $A$2:$A215&gt;=A215-30,
      $A$2:$A215&lt;=A215,
      $D$2:$D215&gt;0
    )
  ),
"""")
"),4.5282803446453)</f>
        <v>4.5282803446453004</v>
      </c>
      <c r="H215" s="14"/>
    </row>
    <row r="216" spans="1:8" ht="15.75" customHeight="1" x14ac:dyDescent="0.25">
      <c r="A216" s="9">
        <v>46115</v>
      </c>
      <c r="B216" s="10">
        <v>3780</v>
      </c>
      <c r="C216" s="10">
        <f>58+70</f>
        <v>128</v>
      </c>
      <c r="D216" s="11">
        <f t="shared" si="0"/>
        <v>3.3862433862433865</v>
      </c>
      <c r="E216" s="13">
        <v>3</v>
      </c>
      <c r="F216" s="14">
        <f t="shared" si="1"/>
        <v>-0.3862433862433865</v>
      </c>
      <c r="G216" s="14">
        <f ca="1">IFERROR(__xludf.DUMMYFUNCTION("IFERROR(
  AVERAGE(
    FILTER(
      $D$2:$D216,
      $A$2:$A216&gt;=A216-30,
      $A$2:$A216&lt;=A216,
      $D$2:$D216&gt;0
    )
  ),
"""")
"),4.46399500454667)</f>
        <v>4.4639950045466703</v>
      </c>
      <c r="H216" s="14"/>
    </row>
    <row r="217" spans="1:8" ht="15.75" customHeight="1" x14ac:dyDescent="0.25">
      <c r="A217" s="9">
        <v>46116</v>
      </c>
      <c r="B217" s="10">
        <v>3034</v>
      </c>
      <c r="C217" s="10">
        <v>145</v>
      </c>
      <c r="D217" s="11">
        <f t="shared" si="0"/>
        <v>4.7791694133157554</v>
      </c>
      <c r="E217" s="13">
        <v>3</v>
      </c>
      <c r="F217" s="14">
        <f t="shared" si="1"/>
        <v>-1.7791694133157554</v>
      </c>
      <c r="G217" s="14">
        <f ca="1">IFERROR(__xludf.DUMMYFUNCTION("IFERROR(
  AVERAGE(
    FILTER(
      $D$2:$D217,
      $A$2:$A217&gt;=A217-30,
      $A$2:$A217&lt;=A217,
      $D$2:$D217&gt;0
    )
  ),
"""")
"),4.47486308760767)</f>
        <v>4.4748630876076696</v>
      </c>
      <c r="H217" s="14"/>
    </row>
    <row r="218" spans="1:8" ht="15.75" customHeight="1" x14ac:dyDescent="0.25">
      <c r="A218" s="9">
        <v>46117</v>
      </c>
      <c r="B218" s="10">
        <v>414</v>
      </c>
      <c r="C218" s="10">
        <v>21</v>
      </c>
      <c r="D218" s="11">
        <f t="shared" si="0"/>
        <v>5.0724637681159424</v>
      </c>
      <c r="E218" s="13">
        <v>3</v>
      </c>
      <c r="F218" s="14">
        <f t="shared" si="1"/>
        <v>-2.0724637681159424</v>
      </c>
      <c r="G218" s="14">
        <f ca="1">IFERROR(__xludf.DUMMYFUNCTION("IFERROR(
  AVERAGE(
    FILTER(
      $D$2:$D218,
      $A$2:$A218&gt;=A218-30,
      $A$2:$A218&lt;=A218,
      $D$2:$D218&gt;0
    )
  ),
"""")
"),4.41552633329498)</f>
        <v>4.4155263332949799</v>
      </c>
      <c r="H218" s="14"/>
    </row>
    <row r="219" spans="1:8" ht="15.75" customHeight="1" x14ac:dyDescent="0.25">
      <c r="A219" s="9">
        <v>46118</v>
      </c>
      <c r="B219" s="10">
        <v>3934</v>
      </c>
      <c r="C219" s="10">
        <v>149</v>
      </c>
      <c r="D219" s="11">
        <f t="shared" si="0"/>
        <v>3.7874936451448904</v>
      </c>
      <c r="E219" s="13">
        <v>3</v>
      </c>
      <c r="F219" s="14">
        <f t="shared" si="1"/>
        <v>-0.7874936451448904</v>
      </c>
      <c r="G219" s="14">
        <f ca="1">IFERROR(__xludf.DUMMYFUNCTION("IFERROR(
  AVERAGE(
    FILTER(
      $D$2:$D219,
      $A$2:$A219&gt;=A219-30,
      $A$2:$A219&lt;=A219,
      $D$2:$D219&gt;0
    )
  ),
"""")
"),4.42039723853004)</f>
        <v>4.4203972385300396</v>
      </c>
      <c r="H219" s="14"/>
    </row>
    <row r="220" spans="1:8" ht="15.75" customHeight="1" x14ac:dyDescent="0.25">
      <c r="A220" s="9">
        <v>46119</v>
      </c>
      <c r="B220" s="10">
        <v>4310</v>
      </c>
      <c r="C220" s="10">
        <v>159</v>
      </c>
      <c r="D220" s="11">
        <f t="shared" si="0"/>
        <v>3.6890951276102091</v>
      </c>
      <c r="E220" s="13">
        <v>3</v>
      </c>
      <c r="F220" s="14">
        <f t="shared" si="1"/>
        <v>-0.68909512761020908</v>
      </c>
      <c r="G220" s="14">
        <f ca="1">IFERROR(__xludf.DUMMYFUNCTION("IFERROR(
  AVERAGE(
    FILTER(
      $D$2:$D220,
      $A$2:$A220&gt;=A220-30,
      $A$2:$A220&lt;=A220,
      $D$2:$D220&gt;0
    )
  ),
"""")
"),4.41132824953787)</f>
        <v>4.4113282495378696</v>
      </c>
      <c r="H220" s="14"/>
    </row>
    <row r="221" spans="1:8" ht="15.75" customHeight="1" x14ac:dyDescent="0.25">
      <c r="A221" s="9">
        <v>46120</v>
      </c>
      <c r="B221" s="10">
        <v>3663</v>
      </c>
      <c r="C221" s="10">
        <v>219</v>
      </c>
      <c r="D221" s="11">
        <f t="shared" si="0"/>
        <v>5.9787059787059791</v>
      </c>
      <c r="E221" s="13">
        <v>3</v>
      </c>
      <c r="F221" s="14">
        <f t="shared" si="1"/>
        <v>-2.9787059787059791</v>
      </c>
      <c r="G221" s="14">
        <f ca="1">IFERROR(__xludf.DUMMYFUNCTION("IFERROR(
  AVERAGE(
    FILTER(
      $D$2:$D221,
      $A$2:$A221&gt;=A221-30,
      $A$2:$A221&lt;=A221,
      $D$2:$D221&gt;0
    )
  ),
"""")
"),4.53406449574464)</f>
        <v>4.5340644957446399</v>
      </c>
      <c r="H221" s="14"/>
    </row>
    <row r="222" spans="1:8" ht="15.75" customHeight="1" x14ac:dyDescent="0.25">
      <c r="A222" s="9">
        <v>46121</v>
      </c>
      <c r="B222" s="10">
        <v>2968</v>
      </c>
      <c r="C222" s="10">
        <v>164</v>
      </c>
      <c r="D222" s="11">
        <f t="shared" si="0"/>
        <v>5.5256064690026951</v>
      </c>
      <c r="E222" s="13">
        <v>3</v>
      </c>
      <c r="F222" s="14">
        <f t="shared" si="1"/>
        <v>-2.5256064690026951</v>
      </c>
      <c r="G222" s="14">
        <f ca="1">IFERROR(__xludf.DUMMYFUNCTION("IFERROR(
  AVERAGE(
    FILTER(
      $D$2:$D222,
      $A$2:$A222&gt;=A222-30,
      $A$2:$A222&lt;=A222,
      $D$2:$D222&gt;0
    )
  ),
"""")
"),4.61508721912399)</f>
        <v>4.61508721912399</v>
      </c>
      <c r="H222" s="14"/>
    </row>
    <row r="223" spans="1:8" ht="15.75" customHeight="1" x14ac:dyDescent="0.25">
      <c r="A223" s="9">
        <v>46122</v>
      </c>
      <c r="B223" s="10">
        <v>3578</v>
      </c>
      <c r="C223" s="10">
        <f>104+113</f>
        <v>217</v>
      </c>
      <c r="D223" s="11">
        <f t="shared" si="0"/>
        <v>6.0648406931246504</v>
      </c>
      <c r="E223" s="13">
        <v>3</v>
      </c>
      <c r="F223" s="14">
        <f t="shared" si="1"/>
        <v>-3.0648406931246504</v>
      </c>
      <c r="G223" s="14">
        <f ca="1">IFERROR(__xludf.DUMMYFUNCTION("IFERROR(
  AVERAGE(
    FILTER(
      $D$2:$D223,
      $A$2:$A223&gt;=A223-30,
      $A$2:$A223&lt;=A223,
      $D$2:$D223&gt;0
    )
  ),
"""")
"),4.7147274088691)</f>
        <v>4.7147274088691002</v>
      </c>
      <c r="H223" s="14"/>
    </row>
    <row r="224" spans="1:8" ht="15.75" customHeight="1" x14ac:dyDescent="0.25">
      <c r="A224" s="9">
        <v>46123</v>
      </c>
      <c r="B224" s="10">
        <v>3740</v>
      </c>
      <c r="C224" s="10">
        <v>144</v>
      </c>
      <c r="D224" s="11">
        <f t="shared" si="0"/>
        <v>3.8502673796791447</v>
      </c>
      <c r="E224" s="13">
        <v>3</v>
      </c>
      <c r="F224" s="14">
        <f t="shared" si="1"/>
        <v>-0.85026737967914467</v>
      </c>
      <c r="G224" s="14">
        <f ca="1">IFERROR(__xludf.DUMMYFUNCTION("IFERROR(
  AVERAGE(
    FILTER(
      $D$2:$D224,
      $A$2:$A224&gt;=A224-30,
      $A$2:$A224&lt;=A224,
      $D$2:$D224&gt;0
    )
  ),
"""")
"),4.75901019295687)</f>
        <v>4.75901019295687</v>
      </c>
      <c r="H224" s="14"/>
    </row>
    <row r="225" spans="1:8" ht="15.75" customHeight="1" x14ac:dyDescent="0.25">
      <c r="A225" s="9">
        <v>46124</v>
      </c>
      <c r="B225" s="10">
        <v>439</v>
      </c>
      <c r="C225" s="10">
        <v>16</v>
      </c>
      <c r="D225" s="11">
        <f t="shared" si="0"/>
        <v>3.6446469248291571</v>
      </c>
      <c r="E225" s="13">
        <v>3</v>
      </c>
      <c r="F225" s="14">
        <f t="shared" si="1"/>
        <v>-0.64464692482915709</v>
      </c>
      <c r="G225" s="14">
        <f ca="1">IFERROR(__xludf.DUMMYFUNCTION("IFERROR(
  AVERAGE(
    FILTER(
      $D$2:$D225,
      $A$2:$A225&gt;=A225-30,
      $A$2:$A225&lt;=A225,
      $D$2:$D225&gt;0
    )
  ),
"""")
"),4.69303613047367)</f>
        <v>4.6930361304736703</v>
      </c>
      <c r="H225" s="14"/>
    </row>
    <row r="226" spans="1:8" ht="15.75" customHeight="1" x14ac:dyDescent="0.25">
      <c r="A226" s="9">
        <v>46125</v>
      </c>
      <c r="B226" s="10">
        <v>3754</v>
      </c>
      <c r="C226" s="10">
        <v>131</v>
      </c>
      <c r="D226" s="11">
        <f t="shared" si="0"/>
        <v>3.4896110815130528</v>
      </c>
      <c r="E226" s="13">
        <v>3</v>
      </c>
      <c r="F226" s="14">
        <f t="shared" si="1"/>
        <v>-0.48961108151305277</v>
      </c>
      <c r="G226" s="14">
        <f ca="1">IFERROR(__xludf.DUMMYFUNCTION("IFERROR(
  AVERAGE(
    FILTER(
      $D$2:$D226,
      $A$2:$A226&gt;=A226-30,
      $A$2:$A226&lt;=A226,
      $D$2:$D226&gt;0
    )
  ),
"""")
"),4.66438201345915)</f>
        <v>4.66438201345915</v>
      </c>
      <c r="H226" s="14"/>
    </row>
    <row r="227" spans="1:8" ht="15.75" customHeight="1" x14ac:dyDescent="0.25">
      <c r="A227" s="9">
        <v>46126</v>
      </c>
      <c r="B227" s="10">
        <v>2358</v>
      </c>
      <c r="C227" s="10">
        <v>139</v>
      </c>
      <c r="D227" s="11">
        <f t="shared" si="0"/>
        <v>5.8948261238337576</v>
      </c>
      <c r="E227" s="13">
        <v>3</v>
      </c>
      <c r="F227" s="14">
        <f t="shared" si="1"/>
        <v>-2.8948261238337576</v>
      </c>
      <c r="G227" s="14">
        <f ca="1">IFERROR(__xludf.DUMMYFUNCTION("IFERROR(
  AVERAGE(
    FILTER(
      $D$2:$D227,
      $A$2:$A227&gt;=A227-30,
      $A$2:$A227&lt;=A227,
      $D$2:$D227&gt;0
    )
  ),
"""")
"),4.72936885215421)</f>
        <v>4.7293688521542103</v>
      </c>
      <c r="H227" s="14"/>
    </row>
    <row r="228" spans="1:8" ht="15.75" customHeight="1" x14ac:dyDescent="0.25">
      <c r="A228" s="9">
        <v>46127</v>
      </c>
      <c r="B228" s="10">
        <v>0</v>
      </c>
      <c r="C228" s="10">
        <v>0</v>
      </c>
      <c r="D228" s="11" t="e">
        <f t="shared" si="0"/>
        <v>#DIV/0!</v>
      </c>
      <c r="E228" s="13">
        <v>3</v>
      </c>
      <c r="F228" s="14" t="e">
        <f t="shared" si="1"/>
        <v>#DIV/0!</v>
      </c>
      <c r="G228" s="14">
        <f ca="1">IFERROR(__xludf.DUMMYFUNCTION("IFERROR(
  AVERAGE(
    FILTER(
      $D$2:$D228,
      $A$2:$A228&gt;=A228-30,
      $A$2:$A228&lt;=A228,
      $D$2:$D228&gt;0
    )
  ),
"""")
"),4.79332640275112)</f>
        <v>4.79332640275112</v>
      </c>
      <c r="H228" s="14"/>
    </row>
    <row r="229" spans="1:8" ht="15.75" customHeight="1" x14ac:dyDescent="0.25">
      <c r="A229" s="9">
        <v>46128</v>
      </c>
      <c r="B229" s="10">
        <f>1521+2568</f>
        <v>4089</v>
      </c>
      <c r="C229" s="10">
        <f>69+53</f>
        <v>122</v>
      </c>
      <c r="D229" s="11">
        <f t="shared" si="0"/>
        <v>2.9836145756908778</v>
      </c>
      <c r="E229" s="13">
        <v>3</v>
      </c>
      <c r="F229" s="14">
        <f t="shared" si="1"/>
        <v>1.6385424309122154E-2</v>
      </c>
      <c r="G229" s="14">
        <f ca="1">IFERROR(__xludf.DUMMYFUNCTION("IFERROR(
  AVERAGE(
    FILTER(
      $D$2:$D229,
      $A$2:$A229&gt;=A229-30,
      $A$2:$A229&lt;=A229,
      $D$2:$D229&gt;0
    )
  ),
"""")
"),4.72356353795737)</f>
        <v>4.7235635379573697</v>
      </c>
      <c r="H229" s="14"/>
    </row>
    <row r="230" spans="1:8" ht="15.75" customHeight="1" x14ac:dyDescent="0.25">
      <c r="A230" s="9">
        <v>46129</v>
      </c>
      <c r="B230" s="10">
        <v>4549</v>
      </c>
      <c r="C230" s="10">
        <v>154</v>
      </c>
      <c r="D230" s="11">
        <f t="shared" si="0"/>
        <v>3.3853594196526711</v>
      </c>
      <c r="E230" s="13">
        <v>3</v>
      </c>
      <c r="F230" s="14">
        <f t="shared" si="1"/>
        <v>-0.38535941965267106</v>
      </c>
      <c r="G230" s="14">
        <f ca="1">IFERROR(__xludf.DUMMYFUNCTION("IFERROR(
  AVERAGE(
    FILTER(
      $D$2:$D230,
      $A$2:$A230&gt;=A230-30,
      $A$2:$A230&lt;=A230,
      $D$2:$D230&gt;0
    )
  ),
"""")
"),4.63530226170919)</f>
        <v>4.6353022617091897</v>
      </c>
      <c r="H230" s="14"/>
    </row>
    <row r="231" spans="1:8" ht="15.75" customHeight="1" x14ac:dyDescent="0.25">
      <c r="A231" s="9">
        <v>46130</v>
      </c>
      <c r="B231" s="10">
        <v>4049</v>
      </c>
      <c r="C231" s="10">
        <v>122</v>
      </c>
      <c r="D231" s="11">
        <f t="shared" si="0"/>
        <v>3.0130896517658678</v>
      </c>
      <c r="E231" s="13">
        <v>3</v>
      </c>
      <c r="F231" s="14">
        <f t="shared" si="1"/>
        <v>-1.3089651765867849E-2</v>
      </c>
      <c r="G231" s="14">
        <f ca="1">IFERROR(__xludf.DUMMYFUNCTION("IFERROR(
  AVERAGE(
    FILTER(
      $D$2:$D231,
      $A$2:$A231&gt;=A231-30,
      $A$2:$A231&lt;=A231,
      $D$2:$D231&gt;0
    )
  ),
"""")
"),4.58401430133037)</f>
        <v>4.5840143013303702</v>
      </c>
      <c r="H231" s="14"/>
    </row>
    <row r="232" spans="1:8" ht="15.75" customHeight="1" x14ac:dyDescent="0.25">
      <c r="A232" s="9">
        <v>46131</v>
      </c>
      <c r="B232" s="10">
        <v>547</v>
      </c>
      <c r="C232" s="10">
        <v>8</v>
      </c>
      <c r="D232" s="11">
        <f t="shared" si="0"/>
        <v>1.4625228519195612</v>
      </c>
      <c r="E232" s="13">
        <v>3</v>
      </c>
      <c r="F232" s="14">
        <f t="shared" si="1"/>
        <v>1.5374771480804388</v>
      </c>
      <c r="G232" s="14">
        <f ca="1">IFERROR(__xludf.DUMMYFUNCTION("IFERROR(
  AVERAGE(
    FILTER(
      $D$2:$D232,
      $A$2:$A232&gt;=A232-30,
      $A$2:$A232&lt;=A232,
      $D$2:$D232&gt;0
    )
  ),
"""")
"),4.39532298720698)</f>
        <v>4.3953229872069803</v>
      </c>
      <c r="H232" s="14"/>
    </row>
    <row r="233" spans="1:8" ht="15.75" customHeight="1" x14ac:dyDescent="0.25">
      <c r="A233" s="9">
        <v>46132</v>
      </c>
      <c r="B233" s="10">
        <v>2255</v>
      </c>
      <c r="C233" s="10">
        <v>120</v>
      </c>
      <c r="D233" s="11">
        <f t="shared" si="0"/>
        <v>5.3215077605321506</v>
      </c>
      <c r="E233" s="13">
        <v>3</v>
      </c>
      <c r="F233" s="14">
        <f t="shared" si="1"/>
        <v>-2.3215077605321506</v>
      </c>
      <c r="G233" s="14">
        <f ca="1">IFERROR(__xludf.DUMMYFUNCTION("IFERROR(
  AVERAGE(
    FILTER(
      $D$2:$D233,
      $A$2:$A233&gt;=A233-30,
      $A$2:$A233&lt;=A233,
      $D$2:$D233&gt;0
    )
  ),
"""")
"),4.31497518300529)</f>
        <v>4.3149751830052896</v>
      </c>
      <c r="H233" s="14"/>
    </row>
    <row r="234" spans="1:8" ht="15.75" customHeight="1" x14ac:dyDescent="0.25">
      <c r="A234" s="9">
        <v>46133</v>
      </c>
      <c r="B234" s="10">
        <v>3255</v>
      </c>
      <c r="C234" s="10">
        <f>73+79</f>
        <v>152</v>
      </c>
      <c r="D234" s="11">
        <f t="shared" si="0"/>
        <v>4.6697388632872503</v>
      </c>
      <c r="E234" s="13">
        <v>3</v>
      </c>
      <c r="F234" s="14">
        <f t="shared" si="1"/>
        <v>-1.6697388632872503</v>
      </c>
      <c r="G234" s="14">
        <f ca="1">IFERROR(__xludf.DUMMYFUNCTION("IFERROR(
  AVERAGE(
    FILTER(
      $D$2:$D234,
      $A$2:$A234&gt;=A234-30,
      $A$2:$A234&lt;=A234,
      $D$2:$D234&gt;0
    )
  ),
"""")
"),4.31789040607591)</f>
        <v>4.31789040607591</v>
      </c>
      <c r="H234" s="14"/>
    </row>
    <row r="235" spans="1:8" ht="15.75" customHeight="1" x14ac:dyDescent="0.25">
      <c r="A235" s="9">
        <v>46134</v>
      </c>
      <c r="B235" s="10">
        <v>5991</v>
      </c>
      <c r="C235" s="10">
        <v>154</v>
      </c>
      <c r="D235" s="11">
        <f t="shared" si="0"/>
        <v>2.57052245034218</v>
      </c>
      <c r="E235" s="13">
        <v>3</v>
      </c>
      <c r="F235" s="14">
        <f t="shared" si="1"/>
        <v>0.42947754965782003</v>
      </c>
      <c r="G235" s="14">
        <f ca="1">IFERROR(__xludf.DUMMYFUNCTION("IFERROR(
  AVERAGE(
    FILTER(
      $D$2:$D235,
      $A$2:$A235&gt;=A235-30,
      $A$2:$A235&lt;=A235,
      $D$2:$D235&gt;0
    )
  ),
"""")
"),4.25763633863682)</f>
        <v>4.2576363386368197</v>
      </c>
      <c r="H235" s="14"/>
    </row>
    <row r="236" spans="1:8" ht="15.75" customHeight="1" x14ac:dyDescent="0.25">
      <c r="A236" s="9">
        <v>46135</v>
      </c>
      <c r="B236" s="10">
        <v>2032</v>
      </c>
      <c r="C236" s="10">
        <v>81</v>
      </c>
      <c r="D236" s="11">
        <f t="shared" si="0"/>
        <v>3.9862204724409449</v>
      </c>
      <c r="E236" s="13">
        <v>3</v>
      </c>
      <c r="F236" s="14">
        <f t="shared" si="1"/>
        <v>-0.98622047244094491</v>
      </c>
      <c r="G236" s="14">
        <f ca="1">IFERROR(__xludf.DUMMYFUNCTION("IFERROR(
  AVERAGE(
    FILTER(
      $D$2:$D236,
      $A$2:$A236&gt;=A236-30,
      $A$2:$A236&lt;=A236,
      $D$2:$D236&gt;0
    )
  ),
"""")
"),4.25939056676786)</f>
        <v>4.25939056676786</v>
      </c>
      <c r="H236" s="14"/>
    </row>
    <row r="237" spans="1:8" ht="15.75" customHeight="1" x14ac:dyDescent="0.25">
      <c r="A237" s="9">
        <v>46136</v>
      </c>
      <c r="B237" s="10">
        <v>1732</v>
      </c>
      <c r="C237" s="10">
        <v>78.849999999999994</v>
      </c>
      <c r="D237" s="11">
        <f t="shared" si="0"/>
        <v>4.5525404157043878</v>
      </c>
      <c r="E237" s="13">
        <v>3</v>
      </c>
      <c r="F237" s="14">
        <f t="shared" si="1"/>
        <v>-1.5525404157043878</v>
      </c>
      <c r="G237" s="14">
        <f ca="1">IFERROR(__xludf.DUMMYFUNCTION("IFERROR(
  AVERAGE(
    FILTER(
      $D$2:$D237,
      $A$2:$A237&gt;=A237-30,
      $A$2:$A237&lt;=A237,
      $D$2:$D237&gt;0
    )
  ),
"""")
"),4.2891494549233)</f>
        <v>4.2891494549233</v>
      </c>
      <c r="H237" s="14"/>
    </row>
    <row r="238" spans="1:8" ht="15.75" customHeight="1" x14ac:dyDescent="0.25">
      <c r="A238" s="9">
        <v>46137</v>
      </c>
      <c r="B238" s="10">
        <v>1487</v>
      </c>
      <c r="C238" s="10">
        <v>100</v>
      </c>
      <c r="D238" s="11">
        <f t="shared" si="0"/>
        <v>6.7249495628782778</v>
      </c>
      <c r="E238" s="13">
        <v>3</v>
      </c>
      <c r="F238" s="14">
        <f t="shared" si="1"/>
        <v>-3.7249495628782778</v>
      </c>
      <c r="G238" s="14">
        <f ca="1">IFERROR(__xludf.DUMMYFUNCTION("IFERROR(
  AVERAGE(
    FILTER(
      $D$2:$D238,
      $A$2:$A238&gt;=A238-30,
      $A$2:$A238&lt;=A238,
      $D$2:$D238&gt;0
    )
  ),
"""")
"),4.39992096091961)</f>
        <v>4.3999209609196104</v>
      </c>
      <c r="H238" s="14"/>
    </row>
    <row r="239" spans="1:8" ht="15.75" customHeight="1" x14ac:dyDescent="0.25">
      <c r="A239" s="9">
        <v>46138</v>
      </c>
      <c r="B239" s="10">
        <v>76</v>
      </c>
      <c r="C239" s="10">
        <v>1.5</v>
      </c>
      <c r="D239" s="11">
        <f t="shared" si="0"/>
        <v>1.9736842105263157</v>
      </c>
      <c r="E239" s="13">
        <v>3</v>
      </c>
      <c r="F239" s="14">
        <f t="shared" si="1"/>
        <v>1.0263157894736843</v>
      </c>
      <c r="G239" s="14">
        <f ca="1">IFERROR(__xludf.DUMMYFUNCTION("IFERROR(
  AVERAGE(
    FILTER(
      $D$2:$D239,
      $A$2:$A239&gt;=A239-30,
      $A$2:$A239&lt;=A239,
      $D$2:$D239&gt;0
    )
  ),
"""")
"),4.29432354656486)</f>
        <v>4.2943235465648604</v>
      </c>
      <c r="H239" s="14"/>
    </row>
    <row r="240" spans="1:8" ht="15.75" customHeight="1" x14ac:dyDescent="0.25">
      <c r="A240" s="9">
        <v>46139</v>
      </c>
      <c r="B240" s="10">
        <v>2350</v>
      </c>
      <c r="C240" s="10">
        <v>128</v>
      </c>
      <c r="D240" s="11">
        <f t="shared" si="0"/>
        <v>5.4468085106382977</v>
      </c>
      <c r="E240" s="13">
        <v>3</v>
      </c>
      <c r="F240" s="14">
        <f t="shared" si="1"/>
        <v>-2.4468085106382977</v>
      </c>
      <c r="G240" s="14">
        <f ca="1">IFERROR(__xludf.DUMMYFUNCTION("IFERROR(
  AVERAGE(
    FILTER(
      $D$2:$D240,
      $A$2:$A240&gt;=A240-30,
      $A$2:$A240&lt;=A240,
      $D$2:$D240&gt;0
    )
  ),
"""")
"),4.40227792093862)</f>
        <v>4.4022779209386202</v>
      </c>
      <c r="H240" s="14"/>
    </row>
    <row r="241" spans="1:8" ht="15.75" customHeight="1" x14ac:dyDescent="0.25">
      <c r="A241" s="9">
        <v>46140</v>
      </c>
      <c r="B241" s="10">
        <v>1503</v>
      </c>
      <c r="C241" s="10">
        <v>74</v>
      </c>
      <c r="D241" s="11">
        <f t="shared" si="0"/>
        <v>4.9234863606121095</v>
      </c>
      <c r="E241" s="13">
        <v>3</v>
      </c>
      <c r="F241" s="14">
        <f t="shared" si="1"/>
        <v>-1.9234863606121095</v>
      </c>
      <c r="G241" s="14">
        <f ca="1">IFERROR(__xludf.DUMMYFUNCTION("IFERROR(
  AVERAGE(
    FILTER(
      $D$2:$D241,
      $A$2:$A241&gt;=A241-30,
      $A$2:$A241&lt;=A241,
      $D$2:$D241&gt;0
    )
  ),
"""")
"),4.42390091094968)</f>
        <v>4.4239009109496799</v>
      </c>
      <c r="H241" s="14"/>
    </row>
    <row r="242" spans="1:8" ht="15.75" customHeight="1" x14ac:dyDescent="0.25">
      <c r="A242" s="9">
        <v>46141</v>
      </c>
      <c r="B242" s="10">
        <v>1279</v>
      </c>
      <c r="C242" s="10">
        <v>78</v>
      </c>
      <c r="D242" s="11">
        <f t="shared" si="0"/>
        <v>6.0985144644253326</v>
      </c>
      <c r="E242" s="13">
        <v>3</v>
      </c>
      <c r="F242" s="14">
        <f t="shared" si="1"/>
        <v>-3.0985144644253326</v>
      </c>
      <c r="G242" s="14">
        <f ca="1">IFERROR(__xludf.DUMMYFUNCTION("IFERROR(
  AVERAGE(
    FILTER(
      $D$2:$D242,
      $A$2:$A242&gt;=A242-30,
      $A$2:$A242&lt;=A242,
      $D$2:$D242&gt;0
    )
  ),
"""")
"),4.4797213627322)</f>
        <v>4.4797213627322003</v>
      </c>
      <c r="H242" s="14"/>
    </row>
    <row r="243" spans="1:8" ht="15.75" customHeight="1" x14ac:dyDescent="0.25">
      <c r="A243" s="9">
        <v>46142</v>
      </c>
      <c r="B243" s="10">
        <v>921</v>
      </c>
      <c r="C243" s="10">
        <v>84</v>
      </c>
      <c r="D243" s="11">
        <f t="shared" si="0"/>
        <v>9.120521172638437</v>
      </c>
      <c r="E243" s="13">
        <v>3</v>
      </c>
      <c r="F243" s="14">
        <f t="shared" si="1"/>
        <v>-6.120521172638437</v>
      </c>
      <c r="G243" s="14">
        <f ca="1">IFERROR(__xludf.DUMMYFUNCTION("IFERROR(
  AVERAGE(
    FILTER(
      $D$2:$D243,
      $A$2:$A243&gt;=A243-30,
      $A$2:$A243&lt;=A243,
      $D$2:$D243&gt;0
    )
  ),
"""")
"),4.59517652202856)</f>
        <v>4.5951765220285603</v>
      </c>
      <c r="H243" s="14"/>
    </row>
    <row r="244" spans="1:8" ht="15.75" customHeight="1" x14ac:dyDescent="0.25">
      <c r="A244" s="9">
        <v>46143</v>
      </c>
      <c r="B244" s="10"/>
      <c r="C244" s="10"/>
      <c r="D244" s="11" t="e">
        <f t="shared" si="0"/>
        <v>#DIV/0!</v>
      </c>
      <c r="E244" s="13">
        <v>3</v>
      </c>
      <c r="F244" s="14" t="e">
        <f t="shared" si="1"/>
        <v>#DIV/0!</v>
      </c>
      <c r="G244" s="14">
        <f ca="1">IFERROR(__xludf.DUMMYFUNCTION("IFERROR(
  AVERAGE(
    FILTER(
      $D$2:$D244,
      $A$2:$A244&gt;=A244-30,
      $A$2:$A244&lt;=A244,
      $D$2:$D244&gt;0
    )
  ),
"""")
"),4.56303442316936)</f>
        <v>4.56303442316936</v>
      </c>
      <c r="H244" s="14"/>
    </row>
    <row r="245" spans="1:8" ht="15.75" customHeight="1" x14ac:dyDescent="0.25">
      <c r="A245" s="9">
        <v>46144</v>
      </c>
      <c r="B245" s="10"/>
      <c r="C245" s="10"/>
      <c r="D245" s="11" t="e">
        <f t="shared" si="0"/>
        <v>#DIV/0!</v>
      </c>
      <c r="E245" s="13">
        <v>3</v>
      </c>
      <c r="F245" s="14" t="e">
        <f t="shared" si="1"/>
        <v>#DIV/0!</v>
      </c>
      <c r="G245" s="14">
        <f ca="1">IFERROR(__xludf.DUMMYFUNCTION("IFERROR(
  AVERAGE(
    FILTER(
      $D$2:$D245,
      $A$2:$A245&gt;=A245-30,
      $A$2:$A245&lt;=A245,
      $D$2:$D245&gt;0
    )
  ),
"""")
"),4.54419002055154)</f>
        <v>4.5441900205515404</v>
      </c>
      <c r="H245" s="14"/>
    </row>
    <row r="246" spans="1:8" ht="15.75" customHeight="1" x14ac:dyDescent="0.25">
      <c r="A246" s="9">
        <v>46145</v>
      </c>
      <c r="B246" s="10"/>
      <c r="C246" s="10"/>
      <c r="D246" s="11" t="e">
        <f t="shared" si="0"/>
        <v>#DIV/0!</v>
      </c>
      <c r="E246" s="13">
        <v>3</v>
      </c>
      <c r="F246" s="14" t="e">
        <f t="shared" si="1"/>
        <v>#DIV/0!</v>
      </c>
      <c r="G246" s="14">
        <f ca="1">IFERROR(__xludf.DUMMYFUNCTION("IFERROR(
  AVERAGE(
    FILTER(
      $D$2:$D246,
      $A$2:$A246&gt;=A246-30,
      $A$2:$A246&lt;=A246,
      $D$2:$D246&gt;0
    )
  ),
"""")
"),4.4961500271916)</f>
        <v>4.4961500271916002</v>
      </c>
      <c r="H246" s="14"/>
    </row>
    <row r="247" spans="1:8" ht="15.75" customHeight="1" x14ac:dyDescent="0.25">
      <c r="A247" s="9">
        <v>46146</v>
      </c>
      <c r="B247" s="10"/>
      <c r="C247" s="10"/>
      <c r="D247" s="11" t="e">
        <f t="shared" si="0"/>
        <v>#DIV/0!</v>
      </c>
      <c r="E247" s="13">
        <v>3</v>
      </c>
      <c r="F247" s="14" t="e">
        <f t="shared" si="1"/>
        <v>#DIV/0!</v>
      </c>
      <c r="G247" s="14">
        <f ca="1">IFERROR(__xludf.DUMMYFUNCTION("IFERROR(
  AVERAGE(
    FILTER(
      $D$2:$D247,
      $A$2:$A247&gt;=A247-30,
      $A$2:$A247&lt;=A247,
      $D$2:$D247&gt;0
    )
  ),
"""")
"),4.53883874415115)</f>
        <v>4.5388387441511497</v>
      </c>
      <c r="H247" s="14"/>
    </row>
    <row r="248" spans="1:8" ht="15.75" customHeight="1" x14ac:dyDescent="0.25">
      <c r="A248" s="9">
        <v>46147</v>
      </c>
      <c r="B248" s="10"/>
      <c r="C248" s="10"/>
      <c r="D248" s="11" t="e">
        <f t="shared" si="0"/>
        <v>#DIV/0!</v>
      </c>
      <c r="E248" s="13">
        <v>3</v>
      </c>
      <c r="F248" s="14" t="e">
        <f t="shared" si="1"/>
        <v>#DIV/0!</v>
      </c>
      <c r="G248" s="14">
        <f ca="1">IFERROR(__xludf.DUMMYFUNCTION("IFERROR(
  AVERAGE(
    FILTER(
      $D$2:$D248,
      $A$2:$A248&gt;=A248-30,
      $A$2:$A248&lt;=A248,
      $D$2:$D248&gt;0
    )
  ),
"""")
"),4.52922551738456)</f>
        <v>4.5292255173845604</v>
      </c>
      <c r="H248" s="14"/>
    </row>
    <row r="249" spans="1:8" ht="15.75" customHeight="1" x14ac:dyDescent="0.25">
      <c r="A249" s="9">
        <v>46148</v>
      </c>
      <c r="B249" s="10"/>
      <c r="C249" s="10"/>
      <c r="D249" s="11" t="e">
        <f t="shared" si="0"/>
        <v>#DIV/0!</v>
      </c>
      <c r="E249" s="13">
        <v>3</v>
      </c>
      <c r="F249" s="14" t="e">
        <f t="shared" si="1"/>
        <v>#DIV/0!</v>
      </c>
      <c r="G249" s="14">
        <f ca="1">IFERROR(__xludf.DUMMYFUNCTION("IFERROR(
  AVERAGE(
    FILTER(
      $D$2:$D249,
      $A$2:$A249&gt;=A249-30,
      $A$2:$A249&lt;=A249,
      $D$2:$D249&gt;0
    )
  ),
"""")
"),4.50659059027075)</f>
        <v>4.5065905902707497</v>
      </c>
      <c r="H249" s="14"/>
    </row>
    <row r="250" spans="1:8" ht="15.75" customHeight="1" x14ac:dyDescent="0.25">
      <c r="A250" s="9">
        <v>46149</v>
      </c>
      <c r="B250" s="10"/>
      <c r="C250" s="10"/>
      <c r="D250" s="11" t="e">
        <f t="shared" si="0"/>
        <v>#DIV/0!</v>
      </c>
      <c r="E250" s="13">
        <v>3</v>
      </c>
      <c r="F250" s="14" t="e">
        <f t="shared" si="1"/>
        <v>#DIV/0!</v>
      </c>
      <c r="G250" s="14">
        <f ca="1">IFERROR(__xludf.DUMMYFUNCTION("IFERROR(
  AVERAGE(
    FILTER(
      $D$2:$D250,
      $A$2:$A250&gt;=A250-30,
      $A$2:$A250&lt;=A250,
      $D$2:$D250&gt;0
    )
  ),
"""")
"),4.53785567484144)</f>
        <v>4.53785567484144</v>
      </c>
      <c r="H250" s="14"/>
    </row>
    <row r="251" spans="1:8" ht="15.75" customHeight="1" x14ac:dyDescent="0.25">
      <c r="A251" s="9">
        <v>46150</v>
      </c>
      <c r="B251" s="10"/>
      <c r="C251" s="10"/>
      <c r="D251" s="11" t="e">
        <f t="shared" si="0"/>
        <v>#DIV/0!</v>
      </c>
      <c r="E251" s="13">
        <v>3</v>
      </c>
      <c r="F251" s="14" t="e">
        <f t="shared" si="1"/>
        <v>#DIV/0!</v>
      </c>
      <c r="G251" s="14">
        <f ca="1">IFERROR(__xludf.DUMMYFUNCTION("IFERROR(
  AVERAGE(
    FILTER(
      $D$2:$D251,
      $A$2:$A251&gt;=A251-30,
      $A$2:$A251&lt;=A251,
      $D$2:$D251&gt;0
    )
  ),
"""")
"),4.57643569971559)</f>
        <v>4.5764356997155904</v>
      </c>
      <c r="H251" s="14"/>
    </row>
    <row r="252" spans="1:8" ht="15.75" customHeight="1" x14ac:dyDescent="0.25">
      <c r="A252" s="9">
        <v>46151</v>
      </c>
      <c r="B252" s="10"/>
      <c r="C252" s="10"/>
      <c r="D252" s="11" t="e">
        <f t="shared" si="0"/>
        <v>#DIV/0!</v>
      </c>
      <c r="E252" s="13">
        <v>3</v>
      </c>
      <c r="F252" s="14" t="e">
        <f t="shared" si="1"/>
        <v>#DIV/0!</v>
      </c>
      <c r="G252" s="14">
        <f ca="1">IFERROR(__xludf.DUMMYFUNCTION("IFERROR(
  AVERAGE(
    FILTER(
      $D$2:$D252,
      $A$2:$A252&gt;=A252-30,
      $A$2:$A252&lt;=A252,
      $D$2:$D252&gt;0
    )
  ),
"""")
"),4.50966092452557)</f>
        <v>4.5096609245255701</v>
      </c>
      <c r="H252" s="14"/>
    </row>
    <row r="253" spans="1:8" ht="15.75" customHeight="1" x14ac:dyDescent="0.25">
      <c r="A253" s="9">
        <v>46152</v>
      </c>
      <c r="B253" s="10"/>
      <c r="C253" s="10"/>
      <c r="D253" s="11" t="e">
        <f t="shared" si="0"/>
        <v>#DIV/0!</v>
      </c>
      <c r="E253" s="13">
        <v>3</v>
      </c>
      <c r="F253" s="14" t="e">
        <f t="shared" si="1"/>
        <v>#DIV/0!</v>
      </c>
      <c r="G253" s="14">
        <f ca="1">IFERROR(__xludf.DUMMYFUNCTION("IFERROR(
  AVERAGE(
    FILTER(
      $D$2:$D253,
      $A$2:$A253&gt;=A253-30,
      $A$2:$A253&lt;=A253,
      $D$2:$D253&gt;0
    )
  ),
"""")
"),4.45886364730172)</f>
        <v>4.4588636473017198</v>
      </c>
      <c r="H253" s="14"/>
    </row>
    <row r="254" spans="1:8" ht="15.75" customHeight="1" x14ac:dyDescent="0.25">
      <c r="A254" s="9">
        <v>46153</v>
      </c>
      <c r="B254" s="10"/>
      <c r="C254" s="10"/>
      <c r="D254" s="11" t="e">
        <f t="shared" si="0"/>
        <v>#DIV/0!</v>
      </c>
      <c r="E254" s="13">
        <v>3</v>
      </c>
      <c r="F254" s="14" t="e">
        <f t="shared" si="1"/>
        <v>#DIV/0!</v>
      </c>
      <c r="G254" s="14">
        <f ca="1">IFERROR(__xludf.DUMMYFUNCTION("IFERROR(
  AVERAGE(
    FILTER(
      $D$2:$D254,
      $A$2:$A254&gt;=A254-30,
      $A$2:$A254&lt;=A254,
      $D$2:$D254&gt;0
    )
  ),
"""")
"),4.37433853962683)</f>
        <v>4.3743385396268302</v>
      </c>
      <c r="H254" s="14"/>
    </row>
    <row r="255" spans="1:8" ht="15.75" customHeight="1" x14ac:dyDescent="0.25">
      <c r="A255" s="9">
        <v>46154</v>
      </c>
      <c r="B255" s="10"/>
      <c r="C255" s="10"/>
      <c r="D255" s="11" t="e">
        <f t="shared" si="0"/>
        <v>#DIV/0!</v>
      </c>
      <c r="E255" s="13">
        <v>3</v>
      </c>
      <c r="F255" s="14" t="e">
        <f t="shared" si="1"/>
        <v>#DIV/0!</v>
      </c>
      <c r="G255" s="14">
        <f ca="1">IFERROR(__xludf.DUMMYFUNCTION("IFERROR(
  AVERAGE(
    FILTER(
      $D$2:$D255,
      $A$2:$A255&gt;=A255-30,
      $A$2:$A255&lt;=A255,
      $D$2:$D255&gt;0
    )
  ),
"""")
"),4.40345360406836)</f>
        <v>4.4034536040683596</v>
      </c>
      <c r="H255" s="14"/>
    </row>
    <row r="256" spans="1:8" ht="15.75" customHeight="1" x14ac:dyDescent="0.25">
      <c r="A256" s="9">
        <v>46155</v>
      </c>
      <c r="B256" s="10"/>
      <c r="C256" s="10"/>
      <c r="D256" s="11" t="e">
        <f t="shared" si="0"/>
        <v>#DIV/0!</v>
      </c>
      <c r="E256" s="13">
        <v>3</v>
      </c>
      <c r="F256" s="14" t="e">
        <f t="shared" si="1"/>
        <v>#DIV/0!</v>
      </c>
      <c r="G256" s="14">
        <f ca="1">IFERROR(__xludf.DUMMYFUNCTION("IFERROR(
  AVERAGE(
    FILTER(
      $D$2:$D256,
      $A$2:$A256&gt;=A256-30,
      $A$2:$A256&lt;=A256,
      $D$2:$D256&gt;0
    )
  ),
"""")
"),4.44808929108243)</f>
        <v>4.4480892910824297</v>
      </c>
      <c r="H256" s="14"/>
    </row>
    <row r="257" spans="1:8" ht="15.75" customHeight="1" x14ac:dyDescent="0.25">
      <c r="A257" s="9">
        <v>46156</v>
      </c>
      <c r="B257" s="10"/>
      <c r="C257" s="10"/>
      <c r="D257" s="11" t="e">
        <f t="shared" ref="D257:D260" si="2">C257/B257*100</f>
        <v>#DIV/0!</v>
      </c>
      <c r="E257" s="13">
        <v>3</v>
      </c>
      <c r="F257" s="14" t="e">
        <f t="shared" ref="F257:F260" si="3">E257-D257</f>
        <v>#DIV/0!</v>
      </c>
      <c r="G257" s="14">
        <f ca="1">IFERROR(__xludf.DUMMYFUNCTION("IFERROR(
  AVERAGE(
    FILTER(
      $D$2:$D257,
      $A$2:$A257&gt;=A257-30,
      $A$2:$A257&lt;=A257,
      $D$2:$D257&gt;0
    )
  ),
"""")
"),4.50799417918052)</f>
        <v>4.5079941791805203</v>
      </c>
      <c r="H257" s="14"/>
    </row>
    <row r="258" spans="1:8" ht="15.75" customHeight="1" x14ac:dyDescent="0.25">
      <c r="A258" s="9">
        <v>46157</v>
      </c>
      <c r="B258" s="10"/>
      <c r="C258" s="10"/>
      <c r="D258" s="11" t="e">
        <f t="shared" si="2"/>
        <v>#DIV/0!</v>
      </c>
      <c r="E258" s="13">
        <v>3</v>
      </c>
      <c r="F258" s="14" t="e">
        <f t="shared" si="3"/>
        <v>#DIV/0!</v>
      </c>
      <c r="G258" s="14">
        <f ca="1">IFERROR(__xludf.DUMMYFUNCTION("IFERROR(
  AVERAGE(
    FILTER(
      $D$2:$D258,
      $A$2:$A258&gt;=A258-30,
      $A$2:$A258&lt;=A258,
      $D$2:$D258&gt;0
    )
  ),
"""")
"),4.41553871620364)</f>
        <v>4.4155387162036401</v>
      </c>
      <c r="H258" s="14"/>
    </row>
    <row r="259" spans="1:8" ht="15.75" customHeight="1" x14ac:dyDescent="0.25">
      <c r="A259" s="9">
        <v>46158</v>
      </c>
      <c r="B259" s="10"/>
      <c r="C259" s="10"/>
      <c r="D259" s="11" t="e">
        <f t="shared" si="2"/>
        <v>#DIV/0!</v>
      </c>
      <c r="E259" s="13">
        <v>3</v>
      </c>
      <c r="F259" s="14" t="e">
        <f t="shared" si="3"/>
        <v>#DIV/0!</v>
      </c>
      <c r="G259" s="14">
        <f ca="1">IFERROR(__xludf.DUMMYFUNCTION("IFERROR(
  AVERAGE(
    FILTER(
      $D$2:$D259,
      $A$2:$A259&gt;=A259-30,
      $A$2:$A259&lt;=A259,
      $D$2:$D259&gt;0
    )
  ),
"""")
"),4.41553871620364)</f>
        <v>4.4155387162036401</v>
      </c>
      <c r="H259" s="14"/>
    </row>
    <row r="260" spans="1:8" ht="15.75" customHeight="1" x14ac:dyDescent="0.25">
      <c r="A260" s="9">
        <v>46159</v>
      </c>
      <c r="B260" s="10"/>
      <c r="C260" s="10"/>
      <c r="D260" s="11" t="e">
        <f t="shared" si="2"/>
        <v>#DIV/0!</v>
      </c>
      <c r="E260" s="13">
        <v>3</v>
      </c>
      <c r="F260" s="14" t="e">
        <f t="shared" si="3"/>
        <v>#DIV/0!</v>
      </c>
      <c r="G260" s="14">
        <f ca="1">IFERROR(__xludf.DUMMYFUNCTION("IFERROR(
  AVERAGE(
    FILTER(
      $D$2:$D260,
      $A$2:$A260&gt;=A260-30,
      $A$2:$A260&lt;=A260,
      $D$2:$D260&gt;0
    )
  ),
"""")
"),4.51781901195455)</f>
        <v>4.5178190119545496</v>
      </c>
      <c r="H260" s="14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72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10.5703125" customWidth="1"/>
    <col min="2" max="2" width="10.28515625" customWidth="1"/>
    <col min="3" max="3" width="10.140625" customWidth="1"/>
    <col min="4" max="4" width="12.28515625" customWidth="1"/>
    <col min="5" max="5" width="13.42578125" customWidth="1"/>
    <col min="6" max="6" width="11.140625" customWidth="1"/>
    <col min="7" max="8" width="10.140625" customWidth="1"/>
  </cols>
  <sheetData>
    <row r="1" spans="1:8" ht="48" x14ac:dyDescent="0.25">
      <c r="A1" s="15" t="s">
        <v>0</v>
      </c>
      <c r="B1" s="2" t="s">
        <v>50</v>
      </c>
      <c r="C1" s="2" t="s">
        <v>51</v>
      </c>
      <c r="D1" s="3" t="s">
        <v>52</v>
      </c>
      <c r="E1" s="6" t="s">
        <v>53</v>
      </c>
      <c r="F1" s="7" t="s">
        <v>54</v>
      </c>
      <c r="G1" s="8" t="s">
        <v>49</v>
      </c>
      <c r="H1" s="7" t="s">
        <v>24</v>
      </c>
    </row>
    <row r="2" spans="1:8" x14ac:dyDescent="0.25">
      <c r="A2" s="9">
        <v>45901</v>
      </c>
      <c r="B2" s="10">
        <v>646</v>
      </c>
      <c r="C2" s="10">
        <v>148</v>
      </c>
      <c r="D2" s="11">
        <f t="shared" ref="D2:D256" si="0">C2/B2*100</f>
        <v>22.910216718266255</v>
      </c>
      <c r="E2" s="13">
        <v>18</v>
      </c>
      <c r="F2" s="14">
        <f t="shared" ref="F2:F256" si="1">E2-D2</f>
        <v>-4.9102167182662555</v>
      </c>
      <c r="G2" s="14">
        <f ca="1">IFERROR(__xludf.DUMMYFUNCTION("IFERROR(
  AVERAGE(
    FILTER(
      $D$2:$D2,
      $A$2:$A2 &gt;= A2 - 30,
      $A$2:$A2 &lt;= A2,
      $D$2:$D2 &gt; 0
    )
  ),
"""")
"),22.9102167182662)</f>
        <v>22.910216718266199</v>
      </c>
      <c r="H2" s="14"/>
    </row>
    <row r="3" spans="1:8" x14ac:dyDescent="0.25">
      <c r="A3" s="9">
        <v>45902</v>
      </c>
      <c r="B3" s="10">
        <v>506</v>
      </c>
      <c r="C3" s="10">
        <v>79</v>
      </c>
      <c r="D3" s="11">
        <f t="shared" si="0"/>
        <v>15.612648221343871</v>
      </c>
      <c r="E3" s="13">
        <v>18</v>
      </c>
      <c r="F3" s="14">
        <f t="shared" si="1"/>
        <v>2.3873517786561287</v>
      </c>
      <c r="G3" s="14">
        <f ca="1">IFERROR(__xludf.DUMMYFUNCTION("IFERROR(
  AVERAGE(
    FILTER(
      $D$2:$D3,
      $A$2:$A3 &gt;= A3 - 30,
      $A$2:$A3 &lt;= A3,
      $D$2:$D3 &gt; 0
    )
  ),
"""")
"),19.261432469805)</f>
        <v>19.261432469805001</v>
      </c>
      <c r="H3" s="14"/>
    </row>
    <row r="4" spans="1:8" x14ac:dyDescent="0.25">
      <c r="A4" s="9">
        <v>45903</v>
      </c>
      <c r="B4" s="10">
        <v>540</v>
      </c>
      <c r="C4" s="10">
        <v>135</v>
      </c>
      <c r="D4" s="11">
        <f t="shared" si="0"/>
        <v>25</v>
      </c>
      <c r="E4" s="13">
        <v>18</v>
      </c>
      <c r="F4" s="14">
        <f t="shared" si="1"/>
        <v>-7</v>
      </c>
      <c r="G4" s="14">
        <f ca="1">IFERROR(__xludf.DUMMYFUNCTION("IFERROR(
  AVERAGE(
    FILTER(
      $D$2:$D4,
      $A$2:$A4 &gt;= A4 - 30,
      $A$2:$A4 &lt;= A4,
      $D$2:$D4 &gt; 0
    )
  ),
"""")
"),21.1742883132033)</f>
        <v>21.174288313203299</v>
      </c>
      <c r="H4" s="14"/>
    </row>
    <row r="5" spans="1:8" x14ac:dyDescent="0.25">
      <c r="A5" s="9">
        <v>45904</v>
      </c>
      <c r="B5" s="10">
        <v>580</v>
      </c>
      <c r="C5" s="10">
        <v>167</v>
      </c>
      <c r="D5" s="11">
        <f t="shared" si="0"/>
        <v>28.793103448275865</v>
      </c>
      <c r="E5" s="13">
        <v>18</v>
      </c>
      <c r="F5" s="14">
        <f t="shared" si="1"/>
        <v>-10.793103448275865</v>
      </c>
      <c r="G5" s="14">
        <f ca="1">IFERROR(__xludf.DUMMYFUNCTION("IFERROR(
  AVERAGE(
    FILTER(
      $D$2:$D5,
      $A$2:$A5 &gt;= A5 - 30,
      $A$2:$A5 &lt;= A5,
      $D$2:$D5 &gt; 0
    )
  ),
"""")
"),23.0789920969714)</f>
        <v>23.078992096971401</v>
      </c>
      <c r="H5" s="14"/>
    </row>
    <row r="6" spans="1:8" x14ac:dyDescent="0.25">
      <c r="A6" s="9">
        <v>45905</v>
      </c>
      <c r="B6" s="10">
        <v>527</v>
      </c>
      <c r="C6" s="10">
        <v>82</v>
      </c>
      <c r="D6" s="11">
        <f t="shared" si="0"/>
        <v>15.559772296015181</v>
      </c>
      <c r="E6" s="13">
        <v>18</v>
      </c>
      <c r="F6" s="14">
        <f t="shared" si="1"/>
        <v>2.440227703984819</v>
      </c>
      <c r="G6" s="14">
        <f ca="1">IFERROR(__xludf.DUMMYFUNCTION("IFERROR(
  AVERAGE(
    FILTER(
      $D$2:$D6,
      $A$2:$A6 &gt;= A6 - 30,
      $A$2:$A6 &lt;= A6,
      $D$2:$D6 &gt; 0
    )
  ),
"""")
"),21.5751481367802)</f>
        <v>21.5751481367802</v>
      </c>
      <c r="H6" s="14"/>
    </row>
    <row r="7" spans="1:8" x14ac:dyDescent="0.25">
      <c r="A7" s="9">
        <v>45906</v>
      </c>
      <c r="B7" s="10">
        <v>563</v>
      </c>
      <c r="C7" s="10">
        <v>148</v>
      </c>
      <c r="D7" s="11">
        <f t="shared" si="0"/>
        <v>26.287744227353464</v>
      </c>
      <c r="E7" s="13">
        <v>18</v>
      </c>
      <c r="F7" s="14">
        <f t="shared" si="1"/>
        <v>-8.2877442273534641</v>
      </c>
      <c r="G7" s="14">
        <f ca="1">IFERROR(__xludf.DUMMYFUNCTION("IFERROR(
  AVERAGE(
    FILTER(
      $D$2:$D7,
      $A$2:$A7 &gt;= A7 - 30,
      $A$2:$A7 &lt;= A7,
      $D$2:$D7 &gt; 0
    )
  ),
"""")
"),22.3605808185424)</f>
        <v>22.360580818542399</v>
      </c>
      <c r="H7" s="14"/>
    </row>
    <row r="8" spans="1:8" x14ac:dyDescent="0.25">
      <c r="A8" s="9">
        <v>45907</v>
      </c>
      <c r="B8" s="10">
        <v>0</v>
      </c>
      <c r="C8" s="10">
        <v>0</v>
      </c>
      <c r="D8" s="11" t="e">
        <f t="shared" si="0"/>
        <v>#DIV/0!</v>
      </c>
      <c r="E8" s="13">
        <v>18</v>
      </c>
      <c r="F8" s="14" t="e">
        <f t="shared" si="1"/>
        <v>#DIV/0!</v>
      </c>
      <c r="G8" s="14">
        <f ca="1">IFERROR(__xludf.DUMMYFUNCTION("IFERROR(
  AVERAGE(
    FILTER(
      $D$2:$D8,
      $A$2:$A8 &gt;= A8 - 30,
      $A$2:$A8 &lt;= A8,
      $D$2:$D8 &gt; 0
    )
  ),
"""")
"),22.3605808185424)</f>
        <v>22.360580818542399</v>
      </c>
      <c r="H8" s="14"/>
    </row>
    <row r="9" spans="1:8" x14ac:dyDescent="0.25">
      <c r="A9" s="9">
        <v>45908</v>
      </c>
      <c r="B9" s="10">
        <v>543</v>
      </c>
      <c r="C9" s="10">
        <v>157</v>
      </c>
      <c r="D9" s="11">
        <f t="shared" si="0"/>
        <v>28.913443830570902</v>
      </c>
      <c r="E9" s="13">
        <v>18</v>
      </c>
      <c r="F9" s="14">
        <f t="shared" si="1"/>
        <v>-10.913443830570902</v>
      </c>
      <c r="G9" s="14">
        <f ca="1">IFERROR(__xludf.DUMMYFUNCTION("IFERROR(
  AVERAGE(
    FILTER(
      $D$2:$D9,
      $A$2:$A9 &gt;= A9 - 30,
      $A$2:$A9 &lt;= A9,
      $D$2:$D9 &gt; 0
    )
  ),
"""")
"),23.296704105975)</f>
        <v>23.296704105975</v>
      </c>
      <c r="H9" s="14"/>
    </row>
    <row r="10" spans="1:8" x14ac:dyDescent="0.25">
      <c r="A10" s="9">
        <v>45909</v>
      </c>
      <c r="B10" s="10">
        <v>665</v>
      </c>
      <c r="C10" s="10">
        <v>204</v>
      </c>
      <c r="D10" s="11">
        <f t="shared" si="0"/>
        <v>30.676691729323309</v>
      </c>
      <c r="E10" s="13">
        <v>18</v>
      </c>
      <c r="F10" s="14">
        <f t="shared" si="1"/>
        <v>-12.676691729323309</v>
      </c>
      <c r="G10" s="14">
        <f ca="1">IFERROR(__xludf.DUMMYFUNCTION("IFERROR(
  AVERAGE(
    FILTER(
      $D$2:$D10,
      $A$2:$A10 &gt;= A10 - 30,
      $A$2:$A10 &lt;= A10,
      $D$2:$D10 &gt; 0
    )
  ),
"""")
"),24.2192025588936)</f>
        <v>24.219202558893599</v>
      </c>
      <c r="H10" s="14"/>
    </row>
    <row r="11" spans="1:8" x14ac:dyDescent="0.25">
      <c r="A11" s="9">
        <v>45910</v>
      </c>
      <c r="B11" s="10">
        <v>390</v>
      </c>
      <c r="C11" s="10">
        <v>60</v>
      </c>
      <c r="D11" s="11">
        <f t="shared" si="0"/>
        <v>15.384615384615385</v>
      </c>
      <c r="E11" s="13">
        <v>18</v>
      </c>
      <c r="F11" s="14">
        <f t="shared" si="1"/>
        <v>2.615384615384615</v>
      </c>
      <c r="G11" s="14">
        <f ca="1">IFERROR(__xludf.DUMMYFUNCTION("IFERROR(
  AVERAGE(
    FILTER(
      $D$2:$D11,
      $A$2:$A11 &gt;= A11 - 30,
      $A$2:$A11 &lt;= A11,
      $D$2:$D11 &gt; 0
    )
  ),
"""")
"),23.2375817617515)</f>
        <v>23.2375817617515</v>
      </c>
      <c r="H11" s="14"/>
    </row>
    <row r="12" spans="1:8" x14ac:dyDescent="0.25">
      <c r="A12" s="9">
        <v>45911</v>
      </c>
      <c r="B12" s="10">
        <v>808</v>
      </c>
      <c r="C12" s="10">
        <v>132</v>
      </c>
      <c r="D12" s="11">
        <f t="shared" si="0"/>
        <v>16.336633663366339</v>
      </c>
      <c r="E12" s="13">
        <v>18</v>
      </c>
      <c r="F12" s="14">
        <f t="shared" si="1"/>
        <v>1.6633663366336613</v>
      </c>
      <c r="G12" s="14">
        <f ca="1">IFERROR(__xludf.DUMMYFUNCTION("IFERROR(
  AVERAGE(
    FILTER(
      $D$2:$D12,
      $A$2:$A12 &gt;= A12 - 30,
      $A$2:$A12 &lt;= A12,
      $D$2:$D12 &gt; 0
    )
  ),
"""")
"),22.547486951913)</f>
        <v>22.547486951913001</v>
      </c>
      <c r="H12" s="14"/>
    </row>
    <row r="13" spans="1:8" x14ac:dyDescent="0.25">
      <c r="A13" s="9">
        <v>45912</v>
      </c>
      <c r="B13" s="10">
        <v>780</v>
      </c>
      <c r="C13" s="10">
        <v>90</v>
      </c>
      <c r="D13" s="11">
        <f t="shared" si="0"/>
        <v>11.538461538461538</v>
      </c>
      <c r="E13" s="13">
        <v>18</v>
      </c>
      <c r="F13" s="14">
        <f t="shared" si="1"/>
        <v>6.4615384615384617</v>
      </c>
      <c r="G13" s="14">
        <f ca="1">IFERROR(__xludf.DUMMYFUNCTION("IFERROR(
  AVERAGE(
    FILTER(
      $D$2:$D13,
      $A$2:$A13 &gt;= A13 - 30,
      $A$2:$A13 &lt;= A13,
      $D$2:$D13 &gt; 0
    )
  ),
"""")
"),21.5466664597811)</f>
        <v>21.5466664597811</v>
      </c>
      <c r="H13" s="14"/>
    </row>
    <row r="14" spans="1:8" x14ac:dyDescent="0.25">
      <c r="A14" s="9">
        <v>45913</v>
      </c>
      <c r="B14" s="10">
        <v>463</v>
      </c>
      <c r="C14" s="10">
        <v>69</v>
      </c>
      <c r="D14" s="11">
        <f t="shared" si="0"/>
        <v>14.902807775377969</v>
      </c>
      <c r="E14" s="13">
        <v>18</v>
      </c>
      <c r="F14" s="14">
        <f t="shared" si="1"/>
        <v>3.0971922246220309</v>
      </c>
      <c r="G14" s="14">
        <f ca="1">IFERROR(__xludf.DUMMYFUNCTION("IFERROR(
  AVERAGE(
    FILTER(
      $D$2:$D14,
      $A$2:$A14 &gt;= A14 - 30,
      $A$2:$A14 &lt;= A14,
      $D$2:$D14 &gt; 0
    )
  ),
"""")
"),20.9930115694141)</f>
        <v>20.993011569414101</v>
      </c>
      <c r="H14" s="14"/>
    </row>
    <row r="15" spans="1:8" x14ac:dyDescent="0.25">
      <c r="A15" s="9">
        <v>45914</v>
      </c>
      <c r="B15" s="10">
        <v>0</v>
      </c>
      <c r="C15" s="10">
        <v>0</v>
      </c>
      <c r="D15" s="11" t="e">
        <f t="shared" si="0"/>
        <v>#DIV/0!</v>
      </c>
      <c r="E15" s="13">
        <v>18</v>
      </c>
      <c r="F15" s="14" t="e">
        <f t="shared" si="1"/>
        <v>#DIV/0!</v>
      </c>
      <c r="G15" s="14">
        <f ca="1">IFERROR(__xludf.DUMMYFUNCTION("IFERROR(
  AVERAGE(
    FILTER(
      $D$2:$D15,
      $A$2:$A15 &gt;= A15 - 30,
      $A$2:$A15 &lt;= A15,
      $D$2:$D15 &gt; 0
    )
  ),
"""")
"),20.9930115694141)</f>
        <v>20.993011569414101</v>
      </c>
      <c r="H15" s="14"/>
    </row>
    <row r="16" spans="1:8" x14ac:dyDescent="0.25">
      <c r="A16" s="9">
        <v>45915</v>
      </c>
      <c r="B16" s="10">
        <v>871</v>
      </c>
      <c r="C16" s="10">
        <v>183</v>
      </c>
      <c r="D16" s="11">
        <f t="shared" si="0"/>
        <v>21.010332950631458</v>
      </c>
      <c r="E16" s="13">
        <v>18</v>
      </c>
      <c r="F16" s="14">
        <f t="shared" si="1"/>
        <v>-3.010332950631458</v>
      </c>
      <c r="G16" s="14">
        <f ca="1">IFERROR(__xludf.DUMMYFUNCTION("IFERROR(
  AVERAGE(
    FILTER(
      $D$2:$D16,
      $A$2:$A16 &gt;= A16 - 30,
      $A$2:$A16 &lt;= A16,
      $D$2:$D16 &gt; 0
    )
  ),
"""")
"),20.9943439833539)</f>
        <v>20.9943439833539</v>
      </c>
      <c r="H16" s="14"/>
    </row>
    <row r="17" spans="1:8" x14ac:dyDescent="0.25">
      <c r="A17" s="9">
        <v>45916</v>
      </c>
      <c r="B17" s="10">
        <v>815</v>
      </c>
      <c r="C17" s="10">
        <v>110</v>
      </c>
      <c r="D17" s="11">
        <f t="shared" si="0"/>
        <v>13.496932515337424</v>
      </c>
      <c r="E17" s="13">
        <v>18</v>
      </c>
      <c r="F17" s="14">
        <f t="shared" si="1"/>
        <v>4.5030674846625764</v>
      </c>
      <c r="G17" s="14">
        <f ca="1">IFERROR(__xludf.DUMMYFUNCTION("IFERROR(
  AVERAGE(
    FILTER(
      $D$2:$D17,
      $A$2:$A17 &gt;= A17 - 30,
      $A$2:$A17 &lt;= A17,
      $D$2:$D17 &gt; 0
    )
  ),
"""")
"),20.4588145927813)</f>
        <v>20.458814592781302</v>
      </c>
      <c r="H17" s="14"/>
    </row>
    <row r="18" spans="1:8" x14ac:dyDescent="0.25">
      <c r="A18" s="9">
        <v>45917</v>
      </c>
      <c r="B18" s="10">
        <v>240</v>
      </c>
      <c r="C18" s="10">
        <v>40</v>
      </c>
      <c r="D18" s="11">
        <f t="shared" si="0"/>
        <v>16.666666666666664</v>
      </c>
      <c r="E18" s="13">
        <v>18</v>
      </c>
      <c r="F18" s="14">
        <f t="shared" si="1"/>
        <v>1.3333333333333357</v>
      </c>
      <c r="G18" s="14">
        <f ca="1">IFERROR(__xludf.DUMMYFUNCTION("IFERROR(
  AVERAGE(
    FILTER(
      $D$2:$D18,
      $A$2:$A18 &gt;= A18 - 30,
      $A$2:$A18 &lt;= A18,
      $D$2:$D18 &gt; 0
    )
  ),
"""")
"),20.2060047310403)</f>
        <v>20.206004731040299</v>
      </c>
      <c r="H18" s="14"/>
    </row>
    <row r="19" spans="1:8" ht="15.75" customHeight="1" x14ac:dyDescent="0.25">
      <c r="A19" s="9">
        <v>45918</v>
      </c>
      <c r="B19" s="10">
        <v>353</v>
      </c>
      <c r="C19" s="10">
        <v>51</v>
      </c>
      <c r="D19" s="11">
        <f t="shared" si="0"/>
        <v>14.447592067988669</v>
      </c>
      <c r="E19" s="13">
        <v>18</v>
      </c>
      <c r="F19" s="14">
        <f t="shared" si="1"/>
        <v>3.5524079320113309</v>
      </c>
      <c r="G19" s="14">
        <f ca="1">IFERROR(__xludf.DUMMYFUNCTION("IFERROR(
  AVERAGE(
    FILTER(
      $D$2:$D19,
      $A$2:$A19 &gt;= A19 - 30,
      $A$2:$A19 &lt;= A19,
      $D$2:$D19 &gt; 0
    )
  ),
"""")
"),19.8461039395996)</f>
        <v>19.846103939599601</v>
      </c>
      <c r="H19" s="14"/>
    </row>
    <row r="20" spans="1:8" ht="15.75" customHeight="1" x14ac:dyDescent="0.25">
      <c r="A20" s="9">
        <v>45919</v>
      </c>
      <c r="B20" s="10">
        <v>421.5</v>
      </c>
      <c r="C20" s="10">
        <v>84.5</v>
      </c>
      <c r="D20" s="11">
        <f t="shared" si="0"/>
        <v>20.047449584816132</v>
      </c>
      <c r="E20" s="13">
        <v>18</v>
      </c>
      <c r="F20" s="14">
        <f t="shared" si="1"/>
        <v>-2.0474495848161318</v>
      </c>
      <c r="G20" s="14">
        <f ca="1">IFERROR(__xludf.DUMMYFUNCTION("IFERROR(
  AVERAGE(
    FILTER(
      $D$2:$D20,
      $A$2:$A20 &gt;= A20 - 30,
      $A$2:$A20 &lt;= A20,
      $D$2:$D20 &gt; 0
    )
  ),
"""")
"),19.8579478010829)</f>
        <v>19.857947801082901</v>
      </c>
      <c r="H20" s="14"/>
    </row>
    <row r="21" spans="1:8" ht="15.75" customHeight="1" x14ac:dyDescent="0.25">
      <c r="A21" s="9">
        <v>45920</v>
      </c>
      <c r="B21" s="10">
        <v>343</v>
      </c>
      <c r="C21" s="10">
        <v>70</v>
      </c>
      <c r="D21" s="11">
        <f t="shared" si="0"/>
        <v>20.408163265306122</v>
      </c>
      <c r="E21" s="13">
        <v>18</v>
      </c>
      <c r="F21" s="14">
        <f t="shared" si="1"/>
        <v>-2.408163265306122</v>
      </c>
      <c r="G21" s="14">
        <f ca="1">IFERROR(__xludf.DUMMYFUNCTION("IFERROR(
  AVERAGE(
    FILTER(
      $D$2:$D21,
      $A$2:$A21 &gt;= A21 - 30,
      $A$2:$A21 &lt;= A21,
      $D$2:$D21 &gt; 0
    )
  ),
"""")
"),19.8885153268731)</f>
        <v>19.888515326873101</v>
      </c>
      <c r="H21" s="14"/>
    </row>
    <row r="22" spans="1:8" ht="15.75" customHeight="1" x14ac:dyDescent="0.25">
      <c r="A22" s="9">
        <v>45921</v>
      </c>
      <c r="B22" s="10">
        <v>0</v>
      </c>
      <c r="C22" s="10">
        <v>0</v>
      </c>
      <c r="D22" s="11" t="e">
        <f t="shared" si="0"/>
        <v>#DIV/0!</v>
      </c>
      <c r="E22" s="13">
        <v>18</v>
      </c>
      <c r="F22" s="14" t="e">
        <f t="shared" si="1"/>
        <v>#DIV/0!</v>
      </c>
      <c r="G22" s="14">
        <f ca="1">IFERROR(__xludf.DUMMYFUNCTION("IFERROR(
  AVERAGE(
    FILTER(
      $D$2:$D22,
      $A$2:$A22 &gt;= A22 - 30,
      $A$2:$A22 &lt;= A22,
      $D$2:$D22 &gt; 0
    )
  ),
"""")
"),19.8885153268731)</f>
        <v>19.888515326873101</v>
      </c>
      <c r="H22" s="14"/>
    </row>
    <row r="23" spans="1:8" ht="15.75" customHeight="1" x14ac:dyDescent="0.25">
      <c r="A23" s="9">
        <v>45922</v>
      </c>
      <c r="B23" s="10">
        <v>150</v>
      </c>
      <c r="C23" s="10">
        <v>65</v>
      </c>
      <c r="D23" s="11">
        <f t="shared" si="0"/>
        <v>43.333333333333336</v>
      </c>
      <c r="E23" s="13">
        <v>18</v>
      </c>
      <c r="F23" s="14">
        <f t="shared" si="1"/>
        <v>-25.333333333333336</v>
      </c>
      <c r="G23" s="14">
        <f ca="1">IFERROR(__xludf.DUMMYFUNCTION("IFERROR(
  AVERAGE(
    FILTER(
      $D$2:$D23,
      $A$2:$A23 &gt;= A23 - 30,
      $A$2:$A23 &lt;= A23,
      $D$2:$D23 &gt; 0
    )
  ),
"""")
"),21.1224531166868)</f>
        <v>21.122453116686799</v>
      </c>
      <c r="H23" s="14"/>
    </row>
    <row r="24" spans="1:8" ht="15.75" customHeight="1" x14ac:dyDescent="0.25">
      <c r="A24" s="9">
        <v>45923</v>
      </c>
      <c r="B24" s="10">
        <v>673</v>
      </c>
      <c r="C24" s="10">
        <v>161</v>
      </c>
      <c r="D24" s="11">
        <f t="shared" si="0"/>
        <v>23.922734026745914</v>
      </c>
      <c r="E24" s="13">
        <v>18</v>
      </c>
      <c r="F24" s="14">
        <f t="shared" si="1"/>
        <v>-5.9227340267459141</v>
      </c>
      <c r="G24" s="14">
        <f ca="1">IFERROR(__xludf.DUMMYFUNCTION("IFERROR(
  AVERAGE(
    FILTER(
      $D$2:$D24,
      $A$2:$A24 &gt;= A24 - 30,
      $A$2:$A24 &lt;= A24,
      $D$2:$D24 &gt; 0
    )
  ),
"""")
"),21.2624671621897)</f>
        <v>21.262467162189701</v>
      </c>
      <c r="H24" s="14"/>
    </row>
    <row r="25" spans="1:8" ht="15.75" customHeight="1" x14ac:dyDescent="0.25">
      <c r="A25" s="9">
        <v>45924</v>
      </c>
      <c r="B25" s="10">
        <v>907</v>
      </c>
      <c r="C25" s="10">
        <v>181</v>
      </c>
      <c r="D25" s="11">
        <f t="shared" si="0"/>
        <v>19.955898566703418</v>
      </c>
      <c r="E25" s="13">
        <v>18</v>
      </c>
      <c r="F25" s="14">
        <f t="shared" si="1"/>
        <v>-1.9558985667034179</v>
      </c>
      <c r="G25" s="14">
        <f ca="1">IFERROR(__xludf.DUMMYFUNCTION("IFERROR(
  AVERAGE(
    FILTER(
      $D$2:$D25,
      $A$2:$A25 &gt;= A25 - 30,
      $A$2:$A25 &lt;= A25,
      $D$2:$D25 &gt; 0
    )
  ),
"""")
"),21.2002496100237)</f>
        <v>21.2002496100237</v>
      </c>
      <c r="H25" s="14"/>
    </row>
    <row r="26" spans="1:8" ht="15.75" customHeight="1" x14ac:dyDescent="0.25">
      <c r="A26" s="9">
        <v>45925</v>
      </c>
      <c r="B26" s="10">
        <v>667</v>
      </c>
      <c r="C26" s="10">
        <v>113</v>
      </c>
      <c r="D26" s="11">
        <f t="shared" si="0"/>
        <v>16.941529235382308</v>
      </c>
      <c r="E26" s="13">
        <v>18</v>
      </c>
      <c r="F26" s="14">
        <f t="shared" si="1"/>
        <v>1.0584707646176916</v>
      </c>
      <c r="G26" s="14">
        <f ca="1">IFERROR(__xludf.DUMMYFUNCTION("IFERROR(
  AVERAGE(
    FILTER(
      $D$2:$D26,
      $A$2:$A26 &gt;= A26 - 30,
      $A$2:$A26 &lt;= A26,
      $D$2:$D26 &gt; 0
    )
  ),
"""")
"),21.0066714111764)</f>
        <v>21.006671411176399</v>
      </c>
      <c r="H26" s="14"/>
    </row>
    <row r="27" spans="1:8" ht="15.75" customHeight="1" x14ac:dyDescent="0.25">
      <c r="A27" s="9">
        <v>45926</v>
      </c>
      <c r="B27" s="10">
        <v>314</v>
      </c>
      <c r="C27" s="10">
        <v>58</v>
      </c>
      <c r="D27" s="11">
        <f t="shared" si="0"/>
        <v>18.471337579617835</v>
      </c>
      <c r="E27" s="13">
        <v>18</v>
      </c>
      <c r="F27" s="14">
        <f t="shared" si="1"/>
        <v>-0.47133757961783473</v>
      </c>
      <c r="G27" s="14">
        <f ca="1">IFERROR(__xludf.DUMMYFUNCTION("IFERROR(
  AVERAGE(
    FILTER(
      $D$2:$D27,
      $A$2:$A27 &gt;= A27 - 30,
      $A$2:$A27 &lt;= A27,
      $D$2:$D27 &gt; 0
    )
  ),
"""")
"),20.8964395054564)</f>
        <v>20.896439505456399</v>
      </c>
      <c r="H27" s="14"/>
    </row>
    <row r="28" spans="1:8" ht="15.75" customHeight="1" x14ac:dyDescent="0.25">
      <c r="A28" s="9">
        <v>45927</v>
      </c>
      <c r="B28" s="10">
        <v>391</v>
      </c>
      <c r="C28" s="10">
        <v>80</v>
      </c>
      <c r="D28" s="11">
        <f t="shared" si="0"/>
        <v>20.460358056265985</v>
      </c>
      <c r="E28" s="13">
        <v>18</v>
      </c>
      <c r="F28" s="14">
        <f t="shared" si="1"/>
        <v>-2.460358056265985</v>
      </c>
      <c r="G28" s="14">
        <f ca="1">IFERROR(__xludf.DUMMYFUNCTION("IFERROR(
  AVERAGE(
    FILTER(
      $D$2:$D28,
      $A$2:$A28 &gt;= A28 - 30,
      $A$2:$A28 &lt;= A28,
      $D$2:$D28 &gt; 0
    )
  ),
"""")
"),20.8782694450735)</f>
        <v>20.878269445073499</v>
      </c>
      <c r="H28" s="14"/>
    </row>
    <row r="29" spans="1:8" ht="15.75" customHeight="1" x14ac:dyDescent="0.25">
      <c r="A29" s="9">
        <v>45928</v>
      </c>
      <c r="B29" s="10">
        <v>0</v>
      </c>
      <c r="C29" s="10">
        <v>0</v>
      </c>
      <c r="D29" s="11" t="e">
        <f t="shared" si="0"/>
        <v>#DIV/0!</v>
      </c>
      <c r="E29" s="13">
        <v>18</v>
      </c>
      <c r="F29" s="14" t="e">
        <f t="shared" si="1"/>
        <v>#DIV/0!</v>
      </c>
      <c r="G29" s="14">
        <f ca="1">IFERROR(__xludf.DUMMYFUNCTION("IFERROR(
  AVERAGE(
    FILTER(
      $D$2:$D29,
      $A$2:$A29 &gt;= A29 - 30,
      $A$2:$A29 &lt;= A29,
      $D$2:$D29 &gt; 0
    )
  ),
"""")
"),20.8782694450735)</f>
        <v>20.878269445073499</v>
      </c>
      <c r="H29" s="14"/>
    </row>
    <row r="30" spans="1:8" ht="15.75" customHeight="1" x14ac:dyDescent="0.25">
      <c r="A30" s="9">
        <v>45929</v>
      </c>
      <c r="B30" s="10">
        <v>569.5</v>
      </c>
      <c r="C30" s="10">
        <v>62.5</v>
      </c>
      <c r="D30" s="11">
        <f t="shared" si="0"/>
        <v>10.974539069359086</v>
      </c>
      <c r="E30" s="13">
        <v>18</v>
      </c>
      <c r="F30" s="14">
        <f t="shared" si="1"/>
        <v>7.0254609306409144</v>
      </c>
      <c r="G30" s="14">
        <f ca="1">IFERROR(__xludf.DUMMYFUNCTION("IFERROR(
  AVERAGE(
    FILTER(
      $D$2:$D30,
      $A$2:$A30 &gt;= A30 - 30,
      $A$2:$A30 &lt;= A30,
      $D$2:$D30 &gt; 0
    )
  ),
"""")
"),20.4821202300449)</f>
        <v>20.482120230044899</v>
      </c>
      <c r="H30" s="14"/>
    </row>
    <row r="31" spans="1:8" ht="15.75" customHeight="1" x14ac:dyDescent="0.25">
      <c r="A31" s="9">
        <v>45930</v>
      </c>
      <c r="B31" s="10">
        <v>683.6</v>
      </c>
      <c r="C31" s="10">
        <v>149.6</v>
      </c>
      <c r="D31" s="11">
        <f t="shared" si="0"/>
        <v>21.884142773551783</v>
      </c>
      <c r="E31" s="13">
        <v>18</v>
      </c>
      <c r="F31" s="14">
        <f t="shared" si="1"/>
        <v>-3.8841427735517833</v>
      </c>
      <c r="G31" s="14">
        <f ca="1">IFERROR(__xludf.DUMMYFUNCTION("IFERROR(
  AVERAGE(
    FILTER(
      $D$2:$D31,
      $A$2:$A31 &gt;= A31 - 30,
      $A$2:$A31 &lt;= A31,
      $D$2:$D31 &gt; 0
    )
  ),
"""")
"),20.536044174026)</f>
        <v>20.536044174025999</v>
      </c>
      <c r="H31" s="14"/>
    </row>
    <row r="32" spans="1:8" ht="15.75" customHeight="1" x14ac:dyDescent="0.25">
      <c r="A32" s="9">
        <v>45931</v>
      </c>
      <c r="B32" s="10">
        <v>454</v>
      </c>
      <c r="C32" s="10">
        <v>91</v>
      </c>
      <c r="D32" s="11">
        <f t="shared" si="0"/>
        <v>20.044052863436125</v>
      </c>
      <c r="E32" s="13">
        <v>18</v>
      </c>
      <c r="F32" s="14">
        <f t="shared" si="1"/>
        <v>-2.044052863436125</v>
      </c>
      <c r="G32" s="14">
        <f ca="1">IFERROR(__xludf.DUMMYFUNCTION("IFERROR(
  AVERAGE(
    FILTER(
      $D$2:$D32,
      $A$2:$A32 &gt;= A32 - 30,
      $A$2:$A32 &lt;= A32,
      $D$2:$D32 &gt; 0
    )
  ),
"""")
"),20.5178222736337)</f>
        <v>20.517822273633701</v>
      </c>
      <c r="H32" s="14"/>
    </row>
    <row r="33" spans="1:8" ht="15.75" customHeight="1" x14ac:dyDescent="0.25">
      <c r="A33" s="9">
        <v>45932</v>
      </c>
      <c r="B33" s="10">
        <v>0</v>
      </c>
      <c r="C33" s="10">
        <v>0</v>
      </c>
      <c r="D33" s="11" t="e">
        <f t="shared" si="0"/>
        <v>#DIV/0!</v>
      </c>
      <c r="E33" s="13">
        <v>18</v>
      </c>
      <c r="F33" s="14" t="e">
        <f t="shared" si="1"/>
        <v>#DIV/0!</v>
      </c>
      <c r="G33" s="14">
        <f ca="1">IFERROR(__xludf.DUMMYFUNCTION("IFERROR(
  AVERAGE(
    FILTER(
      $D$2:$D33,
      $A$2:$A33 &gt;= A33 - 30,
      $A$2:$A33 &lt;= A33,
      $D$2:$D33 &gt; 0
    )
  ),
"""")
"),20.4258071026863)</f>
        <v>20.425807102686299</v>
      </c>
      <c r="H33" s="14"/>
    </row>
    <row r="34" spans="1:8" ht="15.75" customHeight="1" x14ac:dyDescent="0.25">
      <c r="A34" s="9">
        <v>45933</v>
      </c>
      <c r="B34" s="10">
        <v>501</v>
      </c>
      <c r="C34" s="10">
        <v>79</v>
      </c>
      <c r="D34" s="11">
        <f t="shared" si="0"/>
        <v>15.768463073852296</v>
      </c>
      <c r="E34" s="13">
        <v>18</v>
      </c>
      <c r="F34" s="14">
        <f t="shared" si="1"/>
        <v>2.2315369261477045</v>
      </c>
      <c r="G34" s="14">
        <f ca="1">IFERROR(__xludf.DUMMYFUNCTION("IFERROR(
  AVERAGE(
    FILTER(
      $D$2:$D34,
      $A$2:$A34 &gt;= A34 - 30,
      $A$2:$A34 &lt;= A34,
      $D$2:$D34 &gt; 0
    )
  ),
"""")
"),20.431799981629)</f>
        <v>20.431799981628998</v>
      </c>
      <c r="H34" s="14"/>
    </row>
    <row r="35" spans="1:8" ht="15.75" customHeight="1" x14ac:dyDescent="0.25">
      <c r="A35" s="9">
        <v>45934</v>
      </c>
      <c r="B35" s="10">
        <v>489</v>
      </c>
      <c r="C35" s="10">
        <v>142</v>
      </c>
      <c r="D35" s="11">
        <f t="shared" si="0"/>
        <v>29.038854805725972</v>
      </c>
      <c r="E35" s="13">
        <v>18</v>
      </c>
      <c r="F35" s="14">
        <f t="shared" si="1"/>
        <v>-11.038854805725972</v>
      </c>
      <c r="G35" s="14">
        <f ca="1">IFERROR(__xludf.DUMMYFUNCTION("IFERROR(
  AVERAGE(
    FILTER(
      $D$2:$D35,
      $A$2:$A35 &gt;= A35 - 30,
      $A$2:$A35 &lt;= A35,
      $D$2:$D35 &gt; 0
    )
  ),
"""")
"),20.58714055108)</f>
        <v>20.587140551080001</v>
      </c>
      <c r="H35" s="14"/>
    </row>
    <row r="36" spans="1:8" ht="15.75" customHeight="1" x14ac:dyDescent="0.25">
      <c r="A36" s="9">
        <v>45935</v>
      </c>
      <c r="B36" s="10">
        <v>498</v>
      </c>
      <c r="C36" s="10">
        <v>5</v>
      </c>
      <c r="D36" s="11">
        <f t="shared" si="0"/>
        <v>1.0040160642570282</v>
      </c>
      <c r="E36" s="13">
        <v>18</v>
      </c>
      <c r="F36" s="14">
        <f t="shared" si="1"/>
        <v>16.99598393574297</v>
      </c>
      <c r="G36" s="14">
        <f ca="1">IFERROR(__xludf.DUMMYFUNCTION("IFERROR(
  AVERAGE(
    FILTER(
      $D$2:$D36,
      $A$2:$A36 &gt;= A36 - 30,
      $A$2:$A36 &lt;= A36,
      $D$2:$D36 &gt; 0
    )
  ),
"""")
"),19.5183294978485)</f>
        <v>19.518329497848502</v>
      </c>
      <c r="H36" s="14"/>
    </row>
    <row r="37" spans="1:8" ht="15.75" customHeight="1" x14ac:dyDescent="0.25">
      <c r="A37" s="9">
        <v>45936</v>
      </c>
      <c r="B37" s="10">
        <v>718</v>
      </c>
      <c r="C37" s="10">
        <v>172</v>
      </c>
      <c r="D37" s="11">
        <f t="shared" si="0"/>
        <v>23.955431754874652</v>
      </c>
      <c r="E37" s="13">
        <v>18</v>
      </c>
      <c r="F37" s="14">
        <f t="shared" si="1"/>
        <v>-5.9554317548746525</v>
      </c>
      <c r="G37" s="14">
        <f ca="1">IFERROR(__xludf.DUMMYFUNCTION("IFERROR(
  AVERAGE(
    FILTER(
      $D$2:$D37,
      $A$2:$A37 &gt;= A37 - 30,
      $A$2:$A37 &lt;= A37,
      $D$2:$D37 &gt; 0
    )
  ),
"""")
"),19.8412394770354)</f>
        <v>19.841239477035401</v>
      </c>
      <c r="H37" s="14"/>
    </row>
    <row r="38" spans="1:8" ht="15.75" customHeight="1" x14ac:dyDescent="0.25">
      <c r="A38" s="9">
        <v>45937</v>
      </c>
      <c r="B38" s="10">
        <v>577</v>
      </c>
      <c r="C38" s="10">
        <v>142</v>
      </c>
      <c r="D38" s="11">
        <f t="shared" si="0"/>
        <v>24.610051993067593</v>
      </c>
      <c r="E38" s="13">
        <v>18</v>
      </c>
      <c r="F38" s="14">
        <f t="shared" si="1"/>
        <v>-6.6100519930675929</v>
      </c>
      <c r="G38" s="14">
        <f ca="1">IFERROR(__xludf.DUMMYFUNCTION("IFERROR(
  AVERAGE(
    FILTER(
      $D$2:$D38,
      $A$2:$A38 &gt;= A38 - 30,
      $A$2:$A38 &lt;= A38,
      $D$2:$D38 &gt; 0
    )
  ),
"""")
"),19.7767128526398)</f>
        <v>19.7767128526398</v>
      </c>
      <c r="H38" s="14"/>
    </row>
    <row r="39" spans="1:8" ht="15.75" customHeight="1" x14ac:dyDescent="0.25">
      <c r="A39" s="9">
        <v>45938</v>
      </c>
      <c r="B39" s="10">
        <v>580</v>
      </c>
      <c r="C39" s="10">
        <v>132</v>
      </c>
      <c r="D39" s="11">
        <f t="shared" si="0"/>
        <v>22.758620689655174</v>
      </c>
      <c r="E39" s="13">
        <v>18</v>
      </c>
      <c r="F39" s="14">
        <f t="shared" si="1"/>
        <v>-4.7586206896551744</v>
      </c>
      <c r="G39" s="14">
        <f ca="1">IFERROR(__xludf.DUMMYFUNCTION("IFERROR(
  AVERAGE(
    FILTER(
      $D$2:$D39,
      $A$2:$A39 &gt;= A39 - 30,
      $A$2:$A39 &lt;= A39,
      $D$2:$D39 &gt; 0
    )
  ),
"""")
"),19.8871538836403)</f>
        <v>19.887153883640298</v>
      </c>
      <c r="H39" s="14"/>
    </row>
    <row r="40" spans="1:8" ht="15.75" customHeight="1" x14ac:dyDescent="0.25">
      <c r="A40" s="9">
        <v>45939</v>
      </c>
      <c r="B40" s="10">
        <v>806</v>
      </c>
      <c r="C40" s="10">
        <v>122</v>
      </c>
      <c r="D40" s="11">
        <f t="shared" si="0"/>
        <v>15.136476426799009</v>
      </c>
      <c r="E40" s="13">
        <v>18</v>
      </c>
      <c r="F40" s="14">
        <f t="shared" si="1"/>
        <v>2.8635235732009914</v>
      </c>
      <c r="G40" s="14">
        <f ca="1">IFERROR(__xludf.DUMMYFUNCTION("IFERROR(
  AVERAGE(
    FILTER(
      $D$2:$D40,
      $A$2:$A40 &gt;= A40 - 30,
      $A$2:$A40 &lt;= A40,
      $D$2:$D40 &gt; 0
    )
  ),
"""")
"),19.3768958316488)</f>
        <v>19.376895831648799</v>
      </c>
      <c r="H40" s="14"/>
    </row>
    <row r="41" spans="1:8" ht="15.75" customHeight="1" x14ac:dyDescent="0.25">
      <c r="A41" s="9">
        <v>45940</v>
      </c>
      <c r="B41" s="10">
        <v>609</v>
      </c>
      <c r="C41" s="10">
        <v>183</v>
      </c>
      <c r="D41" s="11">
        <f t="shared" si="0"/>
        <v>30.049261083743843</v>
      </c>
      <c r="E41" s="13">
        <v>18</v>
      </c>
      <c r="F41" s="14">
        <f t="shared" si="1"/>
        <v>-12.049261083743843</v>
      </c>
      <c r="G41" s="14">
        <f ca="1">IFERROR(__xludf.DUMMYFUNCTION("IFERROR(
  AVERAGE(
    FILTER(
      $D$2:$D41,
      $A$2:$A41 &gt;= A41 - 30,
      $A$2:$A41 &lt;= A41,
      $D$2:$D41 &gt; 0
    )
  ),
"""")
"),19.3536576595903)</f>
        <v>19.353657659590301</v>
      </c>
      <c r="H41" s="14"/>
    </row>
    <row r="42" spans="1:8" ht="15.75" customHeight="1" x14ac:dyDescent="0.25">
      <c r="A42" s="9">
        <v>45941</v>
      </c>
      <c r="B42" s="10">
        <v>633</v>
      </c>
      <c r="C42" s="10">
        <v>102</v>
      </c>
      <c r="D42" s="11">
        <f t="shared" si="0"/>
        <v>16.113744075829384</v>
      </c>
      <c r="E42" s="13">
        <v>18</v>
      </c>
      <c r="F42" s="14">
        <f t="shared" si="1"/>
        <v>1.8862559241706158</v>
      </c>
      <c r="G42" s="14">
        <f ca="1">IFERROR(__xludf.DUMMYFUNCTION("IFERROR(
  AVERAGE(
    FILTER(
      $D$2:$D42,
      $A$2:$A42 &gt;= A42 - 30,
      $A$2:$A42 &lt;= A42,
      $D$2:$D42 &gt; 0
    )
  ),
"""")
"),19.3806624259315)</f>
        <v>19.380662425931501</v>
      </c>
      <c r="H42" s="14"/>
    </row>
    <row r="43" spans="1:8" ht="15.75" customHeight="1" x14ac:dyDescent="0.25">
      <c r="A43" s="9">
        <v>45942</v>
      </c>
      <c r="B43" s="10">
        <v>610</v>
      </c>
      <c r="C43" s="10">
        <v>72</v>
      </c>
      <c r="D43" s="11">
        <f t="shared" si="0"/>
        <v>11.803278688524591</v>
      </c>
      <c r="E43" s="13">
        <v>18</v>
      </c>
      <c r="F43" s="14">
        <f t="shared" si="1"/>
        <v>6.1967213114754092</v>
      </c>
      <c r="G43" s="14">
        <f ca="1">IFERROR(__xludf.DUMMYFUNCTION("IFERROR(
  AVERAGE(
    FILTER(
      $D$2:$D43,
      $A$2:$A43 &gt;= A43 - 30,
      $A$2:$A43 &lt;= A43,
      $D$2:$D43 &gt; 0
    )
  ),
"""")
"),19.2127603898263)</f>
        <v>19.2127603898263</v>
      </c>
      <c r="H43" s="14"/>
    </row>
    <row r="44" spans="1:8" ht="15.75" customHeight="1" x14ac:dyDescent="0.25">
      <c r="A44" s="9">
        <v>45943</v>
      </c>
      <c r="B44" s="10">
        <v>565</v>
      </c>
      <c r="C44" s="10">
        <v>146</v>
      </c>
      <c r="D44" s="11">
        <f t="shared" si="0"/>
        <v>25.840707964601773</v>
      </c>
      <c r="E44" s="13">
        <v>18</v>
      </c>
      <c r="F44" s="14">
        <f t="shared" si="1"/>
        <v>-7.8407079646017728</v>
      </c>
      <c r="G44" s="14">
        <f ca="1">IFERROR(__xludf.DUMMYFUNCTION("IFERROR(
  AVERAGE(
    FILTER(
      $D$2:$D44,
      $A$2:$A44 &gt;= A44 - 30,
      $A$2:$A44 &lt;= A44,
      $D$2:$D44 &gt; 0
    )
  ),
"""")
"),19.7424732204241)</f>
        <v>19.742473220424099</v>
      </c>
      <c r="H44" s="14"/>
    </row>
    <row r="45" spans="1:8" ht="15.75" customHeight="1" x14ac:dyDescent="0.25">
      <c r="A45" s="9">
        <v>45944</v>
      </c>
      <c r="B45" s="10">
        <v>689</v>
      </c>
      <c r="C45" s="10">
        <v>119</v>
      </c>
      <c r="D45" s="11">
        <f t="shared" si="0"/>
        <v>17.271407837445572</v>
      </c>
      <c r="E45" s="13">
        <v>18</v>
      </c>
      <c r="F45" s="14">
        <f t="shared" si="1"/>
        <v>0.7285921625544276</v>
      </c>
      <c r="G45" s="14">
        <f ca="1">IFERROR(__xludf.DUMMYFUNCTION("IFERROR(
  AVERAGE(
    FILTER(
      $D$2:$D45,
      $A$2:$A45 &gt;= A45 - 30,
      $A$2:$A45 &lt;= A45,
      $D$2:$D45 &gt; 0
    )
  ),
"""")
"),19.8301991486488)</f>
        <v>19.830199148648799</v>
      </c>
      <c r="H45" s="14"/>
    </row>
    <row r="46" spans="1:8" ht="15.75" customHeight="1" x14ac:dyDescent="0.25">
      <c r="A46" s="9">
        <v>45945</v>
      </c>
      <c r="B46" s="10">
        <v>667</v>
      </c>
      <c r="C46" s="10">
        <v>132</v>
      </c>
      <c r="D46" s="11">
        <f t="shared" si="0"/>
        <v>19.790104947526238</v>
      </c>
      <c r="E46" s="13">
        <v>18</v>
      </c>
      <c r="F46" s="14">
        <f t="shared" si="1"/>
        <v>-1.7901049475262383</v>
      </c>
      <c r="G46" s="14">
        <f ca="1">IFERROR(__xludf.DUMMYFUNCTION("IFERROR(
  AVERAGE(
    FILTER(
      $D$2:$D46,
      $A$2:$A46 &gt;= A46 - 30,
      $A$2:$A46 &lt;= A46,
      $D$2:$D46 &gt; 0
    )
  ),
"""")
"),19.8287672128944)</f>
        <v>19.828767212894402</v>
      </c>
      <c r="H46" s="14"/>
    </row>
    <row r="47" spans="1:8" ht="15.75" customHeight="1" x14ac:dyDescent="0.25">
      <c r="A47" s="9">
        <v>45946</v>
      </c>
      <c r="B47" s="10">
        <v>825</v>
      </c>
      <c r="C47" s="10">
        <v>154</v>
      </c>
      <c r="D47" s="11">
        <f t="shared" si="0"/>
        <v>18.666666666666668</v>
      </c>
      <c r="E47" s="13">
        <v>18</v>
      </c>
      <c r="F47" s="14">
        <f t="shared" si="1"/>
        <v>-0.66666666666666785</v>
      </c>
      <c r="G47" s="14">
        <f ca="1">IFERROR(__xludf.DUMMYFUNCTION("IFERROR(
  AVERAGE(
    FILTER(
      $D$2:$D47,
      $A$2:$A47 &gt;= A47 - 30,
      $A$2:$A47 &lt;= A47,
      $D$2:$D47 &gt; 0
    )
  ),
"""")
"),19.74506484561)</f>
        <v>19.745064845609999</v>
      </c>
      <c r="H47" s="14"/>
    </row>
    <row r="48" spans="1:8" ht="15.75" customHeight="1" x14ac:dyDescent="0.25">
      <c r="A48" s="9">
        <v>45947</v>
      </c>
      <c r="B48" s="10">
        <v>586</v>
      </c>
      <c r="C48" s="10">
        <v>154</v>
      </c>
      <c r="D48" s="11">
        <f t="shared" si="0"/>
        <v>26.27986348122867</v>
      </c>
      <c r="E48" s="13">
        <v>18</v>
      </c>
      <c r="F48" s="14">
        <f t="shared" si="1"/>
        <v>-8.27986348122867</v>
      </c>
      <c r="G48" s="14">
        <f ca="1">IFERROR(__xludf.DUMMYFUNCTION("IFERROR(
  AVERAGE(
    FILTER(
      $D$2:$D48,
      $A$2:$A48 &gt;= A48 - 30,
      $A$2:$A48 &lt;= A48,
      $D$2:$D48 &gt; 0
    )
  ),
"""")
"),20.2015980943918)</f>
        <v>20.201598094391802</v>
      </c>
      <c r="H48" s="14"/>
    </row>
    <row r="49" spans="1:8" ht="15.75" customHeight="1" x14ac:dyDescent="0.25">
      <c r="A49" s="9">
        <v>45948</v>
      </c>
      <c r="B49" s="10">
        <v>280</v>
      </c>
      <c r="C49" s="10">
        <v>36</v>
      </c>
      <c r="D49" s="11">
        <f t="shared" si="0"/>
        <v>12.857142857142856</v>
      </c>
      <c r="E49" s="13">
        <v>18</v>
      </c>
      <c r="F49" s="14">
        <f t="shared" si="1"/>
        <v>5.1428571428571441</v>
      </c>
      <c r="G49" s="14">
        <f ca="1">IFERROR(__xludf.DUMMYFUNCTION("IFERROR(
  AVERAGE(
    FILTER(
      $D$2:$D49,
      $A$2:$A49 &gt;= A49 - 30,
      $A$2:$A49 &lt;= A49,
      $D$2:$D49 &gt; 0
    )
  ),
"""")
"),20.0655436726231)</f>
        <v>20.0655436726231</v>
      </c>
      <c r="H49" s="14"/>
    </row>
    <row r="50" spans="1:8" ht="15.75" customHeight="1" x14ac:dyDescent="0.25">
      <c r="A50" s="9">
        <v>45949</v>
      </c>
      <c r="B50" s="10">
        <v>0</v>
      </c>
      <c r="C50" s="10">
        <v>0</v>
      </c>
      <c r="D50" s="11" t="e">
        <f t="shared" si="0"/>
        <v>#DIV/0!</v>
      </c>
      <c r="E50" s="13">
        <v>18</v>
      </c>
      <c r="F50" s="14" t="e">
        <f t="shared" si="1"/>
        <v>#DIV/0!</v>
      </c>
      <c r="G50" s="14">
        <f ca="1">IFERROR(__xludf.DUMMYFUNCTION("IFERROR(
  AVERAGE(
    FILTER(
      $D$2:$D50,
      $A$2:$A50 &gt;= A50 - 30,
      $A$2:$A50 &lt;= A50,
      $D$2:$D50 &gt; 0
    )
  ),
"""")
"),20.2736159542762)</f>
        <v>20.273615954276199</v>
      </c>
      <c r="H50" s="14"/>
    </row>
    <row r="51" spans="1:8" ht="15.75" customHeight="1" x14ac:dyDescent="0.25">
      <c r="A51" s="9">
        <v>45950</v>
      </c>
      <c r="B51" s="10">
        <v>0</v>
      </c>
      <c r="C51" s="10">
        <v>0</v>
      </c>
      <c r="D51" s="11" t="e">
        <f t="shared" si="0"/>
        <v>#DIV/0!</v>
      </c>
      <c r="E51" s="13">
        <v>18</v>
      </c>
      <c r="F51" s="14" t="e">
        <f t="shared" si="1"/>
        <v>#DIV/0!</v>
      </c>
      <c r="G51" s="14">
        <f ca="1">IFERROR(__xludf.DUMMYFUNCTION("IFERROR(
  AVERAGE(
    FILTER(
      $D$2:$D51,
      $A$2:$A51 &gt;= A51 - 30,
      $A$2:$A51 &lt;= A51,
      $D$2:$D51 &gt; 0
    )
  ),
"""")
"),20.2823146607939)</f>
        <v>20.282314660793901</v>
      </c>
      <c r="H51" s="14"/>
    </row>
    <row r="52" spans="1:8" ht="15.75" customHeight="1" x14ac:dyDescent="0.25">
      <c r="A52" s="9">
        <v>45951</v>
      </c>
      <c r="B52" s="10">
        <v>0</v>
      </c>
      <c r="C52" s="10">
        <v>0</v>
      </c>
      <c r="D52" s="11" t="e">
        <f t="shared" si="0"/>
        <v>#DIV/0!</v>
      </c>
      <c r="E52" s="13">
        <v>18</v>
      </c>
      <c r="F52" s="14" t="e">
        <f t="shared" si="1"/>
        <v>#DIV/0!</v>
      </c>
      <c r="G52" s="14">
        <f ca="1">IFERROR(__xludf.DUMMYFUNCTION("IFERROR(
  AVERAGE(
    FILTER(
      $D$2:$D52,
      $A$2:$A52 &gt;= A52 - 30,
      $A$2:$A52 &lt;= A52,
      $D$2:$D52 &gt; 0
    )
  ),
"""")
"),20.2772807166134)</f>
        <v>20.277280716613401</v>
      </c>
      <c r="H52" s="14"/>
    </row>
    <row r="53" spans="1:8" ht="15.75" customHeight="1" x14ac:dyDescent="0.25">
      <c r="A53" s="9">
        <v>45952</v>
      </c>
      <c r="B53" s="10">
        <v>905</v>
      </c>
      <c r="C53" s="10">
        <v>119</v>
      </c>
      <c r="D53" s="11">
        <f t="shared" si="0"/>
        <v>13.149171270718233</v>
      </c>
      <c r="E53" s="13">
        <v>18</v>
      </c>
      <c r="F53" s="14">
        <f t="shared" si="1"/>
        <v>4.8508287292817673</v>
      </c>
      <c r="G53" s="14">
        <f ca="1">IFERROR(__xludf.DUMMYFUNCTION("IFERROR(
  AVERAGE(
    FILTER(
      $D$2:$D53,
      $A$2:$A53 &gt;= A53 - 30,
      $A$2:$A53 &lt;= A53,
      $D$2:$D53 &gt; 0
    )
  ),
"""")
"),20.0031226610021)</f>
        <v>20.003122661002099</v>
      </c>
      <c r="H53" s="14"/>
    </row>
    <row r="54" spans="1:8" ht="15.75" customHeight="1" x14ac:dyDescent="0.25">
      <c r="A54" s="9">
        <v>45953</v>
      </c>
      <c r="B54" s="10">
        <v>1248</v>
      </c>
      <c r="C54" s="10">
        <v>145</v>
      </c>
      <c r="D54" s="11">
        <f t="shared" si="0"/>
        <v>11.618589743589745</v>
      </c>
      <c r="E54" s="13">
        <v>18</v>
      </c>
      <c r="F54" s="14">
        <f t="shared" si="1"/>
        <v>6.3814102564102555</v>
      </c>
      <c r="G54" s="14">
        <f ca="1">IFERROR(__xludf.DUMMYFUNCTION("IFERROR(
  AVERAGE(
    FILTER(
      $D$2:$D54,
      $A$2:$A54 &gt;= A54 - 30,
      $A$2:$A54 &lt;= A54,
      $D$2:$D54 &gt; 0
    )
  ),
"""")
"),18.7833248306273)</f>
        <v>18.783324830627301</v>
      </c>
      <c r="H54" s="14"/>
    </row>
    <row r="55" spans="1:8" ht="15.75" customHeight="1" x14ac:dyDescent="0.25">
      <c r="A55" s="9">
        <v>45954</v>
      </c>
      <c r="B55" s="10">
        <v>738</v>
      </c>
      <c r="C55" s="10">
        <v>103</v>
      </c>
      <c r="D55" s="11">
        <f t="shared" si="0"/>
        <v>13.956639566395665</v>
      </c>
      <c r="E55" s="13">
        <v>18</v>
      </c>
      <c r="F55" s="14">
        <f t="shared" si="1"/>
        <v>4.0433604336043345</v>
      </c>
      <c r="G55" s="14">
        <f ca="1">IFERROR(__xludf.DUMMYFUNCTION("IFERROR(
  AVERAGE(
    FILTER(
      $D$2:$D55,
      $A$2:$A55 &gt;= A55 - 30,
      $A$2:$A55 &lt;= A55,
      $D$2:$D55 &gt; 0
    )
  ),
"""")
"),18.4000135052292)</f>
        <v>18.4000135052292</v>
      </c>
      <c r="H55" s="14"/>
    </row>
    <row r="56" spans="1:8" ht="15.75" customHeight="1" x14ac:dyDescent="0.25">
      <c r="A56" s="9">
        <v>45955</v>
      </c>
      <c r="B56" s="10">
        <v>809</v>
      </c>
      <c r="C56" s="10">
        <v>145</v>
      </c>
      <c r="D56" s="11">
        <f t="shared" si="0"/>
        <v>17.923362175525341</v>
      </c>
      <c r="E56" s="13">
        <v>18</v>
      </c>
      <c r="F56" s="14">
        <f t="shared" si="1"/>
        <v>7.6637824474659055E-2</v>
      </c>
      <c r="G56" s="14">
        <f ca="1">IFERROR(__xludf.DUMMYFUNCTION("IFERROR(
  AVERAGE(
    FILTER(
      $D$2:$D56,
      $A$2:$A56 &gt;= A56 - 30,
      $A$2:$A56 &lt;= A56,
      $D$2:$D56 &gt; 0
    )
  ),
"""")
"),18.3218390286455)</f>
        <v>18.321839028645499</v>
      </c>
      <c r="H56" s="14"/>
    </row>
    <row r="57" spans="1:8" ht="15.75" customHeight="1" x14ac:dyDescent="0.25">
      <c r="A57" s="9">
        <v>45956</v>
      </c>
      <c r="B57" s="10">
        <v>0</v>
      </c>
      <c r="C57" s="10">
        <v>0</v>
      </c>
      <c r="D57" s="11" t="e">
        <f t="shared" si="0"/>
        <v>#DIV/0!</v>
      </c>
      <c r="E57" s="13">
        <v>18</v>
      </c>
      <c r="F57" s="14" t="e">
        <f t="shared" si="1"/>
        <v>#DIV/0!</v>
      </c>
      <c r="G57" s="14">
        <f ca="1">IFERROR(__xludf.DUMMYFUNCTION("IFERROR(
  AVERAGE(
    FILTER(
      $D$2:$D57,
      $A$2:$A57 &gt;= A57 - 30,
      $A$2:$A57 &lt;= A57,
      $D$2:$D57 &gt; 0
    )
  ),
"""")
"),18.377051420376)</f>
        <v>18.377051420375999</v>
      </c>
      <c r="H57" s="14"/>
    </row>
    <row r="58" spans="1:8" ht="15.75" customHeight="1" x14ac:dyDescent="0.25">
      <c r="A58" s="9">
        <v>45957</v>
      </c>
      <c r="B58" s="10">
        <v>393</v>
      </c>
      <c r="C58" s="10">
        <v>17</v>
      </c>
      <c r="D58" s="11">
        <f t="shared" si="0"/>
        <v>4.3256997455470731</v>
      </c>
      <c r="E58" s="13">
        <v>18</v>
      </c>
      <c r="F58" s="14">
        <f t="shared" si="1"/>
        <v>13.674300254452927</v>
      </c>
      <c r="G58" s="14">
        <f ca="1">IFERROR(__xludf.DUMMYFUNCTION("IFERROR(
  AVERAGE(
    FILTER(
      $D$2:$D58,
      $A$2:$A58 &gt;= A58 - 30,
      $A$2:$A58 &lt;= A58,
      $D$2:$D58 &gt; 0
    )
  ),
"""")
"),17.8112259070132)</f>
        <v>17.811225907013199</v>
      </c>
      <c r="H58" s="14"/>
    </row>
    <row r="59" spans="1:8" ht="15.75" customHeight="1" x14ac:dyDescent="0.25">
      <c r="A59" s="9">
        <v>45958</v>
      </c>
      <c r="B59" s="10">
        <v>608.5</v>
      </c>
      <c r="C59" s="10">
        <v>72.5</v>
      </c>
      <c r="D59" s="11">
        <f t="shared" si="0"/>
        <v>11.914543960558751</v>
      </c>
      <c r="E59" s="13">
        <v>18</v>
      </c>
      <c r="F59" s="14">
        <f t="shared" si="1"/>
        <v>6.0854560394412491</v>
      </c>
      <c r="G59" s="14">
        <f ca="1">IFERROR(__xludf.DUMMYFUNCTION("IFERROR(
  AVERAGE(
    FILTER(
      $D$2:$D59,
      $A$2:$A59 &gt;= A59 - 30,
      $A$2:$A59 &lt;= A59,
      $D$2:$D59 &gt; 0
    )
  ),
"""")
"),17.4693933431849)</f>
        <v>17.469393343184901</v>
      </c>
      <c r="H59" s="14"/>
    </row>
    <row r="60" spans="1:8" ht="15.75" customHeight="1" x14ac:dyDescent="0.25">
      <c r="A60" s="9">
        <v>45959</v>
      </c>
      <c r="B60" s="10">
        <v>380</v>
      </c>
      <c r="C60" s="10">
        <v>39</v>
      </c>
      <c r="D60" s="11">
        <f t="shared" si="0"/>
        <v>10.263157894736842</v>
      </c>
      <c r="E60" s="13">
        <v>18</v>
      </c>
      <c r="F60" s="14">
        <f t="shared" si="1"/>
        <v>7.7368421052631575</v>
      </c>
      <c r="G60" s="14">
        <f ca="1">IFERROR(__xludf.DUMMYFUNCTION("IFERROR(
  AVERAGE(
    FILTER(
      $D$2:$D60,
      $A$2:$A60 &gt;= A60 - 30,
      $A$2:$A60 &lt;= A60,
      $D$2:$D60 &gt; 0
    )
  ),
"""")
"),17.1922304413215)</f>
        <v>17.192230441321499</v>
      </c>
      <c r="H60" s="14"/>
    </row>
    <row r="61" spans="1:8" ht="15.75" customHeight="1" x14ac:dyDescent="0.25">
      <c r="A61" s="9">
        <v>45960</v>
      </c>
      <c r="B61" s="10">
        <v>371</v>
      </c>
      <c r="C61" s="10">
        <v>65</v>
      </c>
      <c r="D61" s="11">
        <f t="shared" si="0"/>
        <v>17.520215633423181</v>
      </c>
      <c r="E61" s="13">
        <v>18</v>
      </c>
      <c r="F61" s="14">
        <f t="shared" si="1"/>
        <v>0.47978436657681911</v>
      </c>
      <c r="G61" s="14">
        <f ca="1">IFERROR(__xludf.DUMMYFUNCTION("IFERROR(
  AVERAGE(
    FILTER(
      $D$2:$D61,
      $A$2:$A61 &gt;= A61 - 30,
      $A$2:$A61 &lt;= A61,
      $D$2:$D61 &gt; 0
    )
  ),
"""")
"),17.443987232247)</f>
        <v>17.443987232247</v>
      </c>
      <c r="H61" s="14"/>
    </row>
    <row r="62" spans="1:8" ht="15.75" customHeight="1" x14ac:dyDescent="0.25">
      <c r="A62" s="9">
        <v>45961</v>
      </c>
      <c r="B62" s="10">
        <v>465</v>
      </c>
      <c r="C62" s="10">
        <v>105</v>
      </c>
      <c r="D62" s="11">
        <f t="shared" si="0"/>
        <v>22.58064516129032</v>
      </c>
      <c r="E62" s="13">
        <v>18</v>
      </c>
      <c r="F62" s="14">
        <f t="shared" si="1"/>
        <v>-4.5806451612903203</v>
      </c>
      <c r="G62" s="14">
        <f ca="1">IFERROR(__xludf.DUMMYFUNCTION("IFERROR(
  AVERAGE(
    FILTER(
      $D$2:$D62,
      $A$2:$A62 &gt;= A62 - 30,
      $A$2:$A62 &lt;= A62,
      $D$2:$D62 &gt; 0
    )
  ),
"""")
"),17.4707757856216)</f>
        <v>17.470775785621601</v>
      </c>
      <c r="H62" s="14"/>
    </row>
    <row r="63" spans="1:8" ht="15.75" customHeight="1" x14ac:dyDescent="0.25">
      <c r="A63" s="9">
        <v>45962</v>
      </c>
      <c r="B63" s="10">
        <v>334</v>
      </c>
      <c r="C63" s="10">
        <v>71</v>
      </c>
      <c r="D63" s="11">
        <f t="shared" si="0"/>
        <v>21.257485029940121</v>
      </c>
      <c r="E63" s="13">
        <v>18</v>
      </c>
      <c r="F63" s="14">
        <f t="shared" si="1"/>
        <v>-3.2574850299401206</v>
      </c>
      <c r="G63" s="14">
        <f ca="1">IFERROR(__xludf.DUMMYFUNCTION("IFERROR(
  AVERAGE(
    FILTER(
      $D$2:$D63,
      $A$2:$A63 &gt;= A63 - 30,
      $A$2:$A63 &lt;= A63,
      $D$2:$D63 &gt; 0
    )
  ),
"""")
"),17.517446253564)</f>
        <v>17.517446253564</v>
      </c>
      <c r="H63" s="14"/>
    </row>
    <row r="64" spans="1:8" ht="15.75" customHeight="1" x14ac:dyDescent="0.25">
      <c r="A64" s="9">
        <v>45963</v>
      </c>
      <c r="B64" s="10">
        <v>0</v>
      </c>
      <c r="C64" s="10">
        <v>0</v>
      </c>
      <c r="D64" s="11" t="e">
        <f t="shared" si="0"/>
        <v>#DIV/0!</v>
      </c>
      <c r="E64" s="13">
        <v>18</v>
      </c>
      <c r="F64" s="14" t="e">
        <f t="shared" si="1"/>
        <v>#DIV/0!</v>
      </c>
      <c r="G64" s="14">
        <f ca="1">IFERROR(__xludf.DUMMYFUNCTION("IFERROR(
  AVERAGE(
    FILTER(
      $D$2:$D64,
      $A$2:$A64 &gt;= A64 - 30,
      $A$2:$A64 &lt;= A64,
      $D$2:$D64 &gt; 0
    )
  ),
"""")
"),17.517446253564)</f>
        <v>17.517446253564</v>
      </c>
      <c r="H64" s="14"/>
    </row>
    <row r="65" spans="1:8" ht="15.75" customHeight="1" x14ac:dyDescent="0.25">
      <c r="A65" s="9">
        <v>45964</v>
      </c>
      <c r="B65" s="10">
        <v>775</v>
      </c>
      <c r="C65" s="10">
        <v>177</v>
      </c>
      <c r="D65" s="11">
        <f t="shared" si="0"/>
        <v>22.838709677419356</v>
      </c>
      <c r="E65" s="13">
        <v>18</v>
      </c>
      <c r="F65" s="14">
        <f t="shared" si="1"/>
        <v>-4.8387096774193559</v>
      </c>
      <c r="G65" s="14">
        <f ca="1">IFERROR(__xludf.DUMMYFUNCTION("IFERROR(
  AVERAGE(
    FILTER(
      $D$2:$D65,
      $A$2:$A65 &gt;= A65 - 30,
      $A$2:$A65 &lt;= A65,
      $D$2:$D65 &gt; 0
    )
  ),
"""")
"),17.7893788152397)</f>
        <v>17.789378815239701</v>
      </c>
      <c r="H65" s="14"/>
    </row>
    <row r="66" spans="1:8" ht="15.75" customHeight="1" x14ac:dyDescent="0.25">
      <c r="A66" s="9">
        <v>45965</v>
      </c>
      <c r="B66" s="10">
        <v>508.8</v>
      </c>
      <c r="C66" s="10">
        <v>127.8</v>
      </c>
      <c r="D66" s="11">
        <f t="shared" si="0"/>
        <v>25.117924528301888</v>
      </c>
      <c r="E66" s="13">
        <v>18</v>
      </c>
      <c r="F66" s="14">
        <f t="shared" si="1"/>
        <v>-7.1179245283018879</v>
      </c>
      <c r="G66" s="14">
        <f ca="1">IFERROR(__xludf.DUMMYFUNCTION("IFERROR(
  AVERAGE(
    FILTER(
      $D$2:$D66,
      $A$2:$A66 &gt;= A66 - 30,
      $A$2:$A66 &lt;= A66,
      $D$2:$D66 &gt; 0
    )
  ),
"""")
"),17.6385738045695)</f>
        <v>17.6385738045695</v>
      </c>
      <c r="H66" s="14"/>
    </row>
    <row r="67" spans="1:8" ht="15.75" customHeight="1" x14ac:dyDescent="0.25">
      <c r="A67" s="9">
        <v>45966</v>
      </c>
      <c r="B67" s="10">
        <v>552.5</v>
      </c>
      <c r="C67" s="10">
        <v>87.5</v>
      </c>
      <c r="D67" s="11">
        <f t="shared" si="0"/>
        <v>15.837104072398189</v>
      </c>
      <c r="E67" s="13">
        <v>18</v>
      </c>
      <c r="F67" s="14">
        <f t="shared" si="1"/>
        <v>2.1628959276018112</v>
      </c>
      <c r="G67" s="14">
        <f ca="1">IFERROR(__xludf.DUMMYFUNCTION("IFERROR(
  AVERAGE(
    FILTER(
      $D$2:$D67,
      $A$2:$A67 &gt;= A67 - 30,
      $A$2:$A67 &lt;= A67,
      $D$2:$D67 &gt; 0
    )
  ),
"""")
"),18.209077189498)</f>
        <v>18.209077189498</v>
      </c>
      <c r="H67" s="14"/>
    </row>
    <row r="68" spans="1:8" ht="15.75" customHeight="1" x14ac:dyDescent="0.25">
      <c r="A68" s="9">
        <v>45967</v>
      </c>
      <c r="B68" s="10">
        <v>845</v>
      </c>
      <c r="C68" s="10">
        <v>160</v>
      </c>
      <c r="D68" s="11">
        <f t="shared" si="0"/>
        <v>18.934911242603551</v>
      </c>
      <c r="E68" s="13">
        <v>18</v>
      </c>
      <c r="F68" s="14">
        <f t="shared" si="1"/>
        <v>-0.93491124260355107</v>
      </c>
      <c r="G68" s="14">
        <f ca="1">IFERROR(__xludf.DUMMYFUNCTION("IFERROR(
  AVERAGE(
    FILTER(
      $D$2:$D68,
      $A$2:$A68 &gt;= A68 - 30,
      $A$2:$A68 &lt;= A68,
      $D$2:$D68 &gt; 0
    )
  ),
"""")
"),18.0159802467184)</f>
        <v>18.015980246718399</v>
      </c>
      <c r="H68" s="14"/>
    </row>
    <row r="69" spans="1:8" ht="15.75" customHeight="1" x14ac:dyDescent="0.25">
      <c r="A69" s="9">
        <v>45968</v>
      </c>
      <c r="B69" s="10">
        <v>666</v>
      </c>
      <c r="C69" s="10">
        <v>112</v>
      </c>
      <c r="D69" s="11">
        <f t="shared" si="0"/>
        <v>16.816816816816818</v>
      </c>
      <c r="E69" s="13">
        <v>18</v>
      </c>
      <c r="F69" s="14">
        <f t="shared" si="1"/>
        <v>1.1831831831831821</v>
      </c>
      <c r="G69" s="14">
        <f ca="1">IFERROR(__xludf.DUMMYFUNCTION("IFERROR(
  AVERAGE(
    FILTER(
      $D$2:$D69,
      $A$2:$A69 &gt;= A69 - 30,
      $A$2:$A69 &lt;= A69,
      $D$2:$D69 &gt; 0
    )
  ),
"""")
"),17.7162404322472)</f>
        <v>17.716240432247201</v>
      </c>
      <c r="H69" s="14"/>
    </row>
    <row r="70" spans="1:8" ht="15.75" customHeight="1" x14ac:dyDescent="0.25">
      <c r="A70" s="9">
        <v>45969</v>
      </c>
      <c r="B70" s="10">
        <v>434</v>
      </c>
      <c r="C70" s="10">
        <v>116</v>
      </c>
      <c r="D70" s="11">
        <f t="shared" si="0"/>
        <v>26.728110599078342</v>
      </c>
      <c r="E70" s="13">
        <v>18</v>
      </c>
      <c r="F70" s="14">
        <f t="shared" si="1"/>
        <v>-8.7281105990783416</v>
      </c>
      <c r="G70" s="14">
        <f ca="1">IFERROR(__xludf.DUMMYFUNCTION("IFERROR(
  AVERAGE(
    FILTER(
      $D$2:$D70,
      $A$2:$A70 &gt;= A70 - 30,
      $A$2:$A70 &lt;= A70,
      $D$2:$D70 &gt; 0
    )
  ),
"""")
"),17.8689131210712)</f>
        <v>17.868913121071198</v>
      </c>
      <c r="H70" s="14"/>
    </row>
    <row r="71" spans="1:8" ht="15.75" customHeight="1" x14ac:dyDescent="0.25">
      <c r="A71" s="9">
        <v>45970</v>
      </c>
      <c r="B71" s="10">
        <v>0</v>
      </c>
      <c r="C71" s="10">
        <v>0</v>
      </c>
      <c r="D71" s="11" t="e">
        <f t="shared" si="0"/>
        <v>#DIV/0!</v>
      </c>
      <c r="E71" s="13">
        <v>18</v>
      </c>
      <c r="F71" s="14" t="e">
        <f t="shared" si="1"/>
        <v>#DIV/0!</v>
      </c>
      <c r="G71" s="14">
        <f ca="1">IFERROR(__xludf.DUMMYFUNCTION("IFERROR(
  AVERAGE(
    FILTER(
      $D$2:$D71,
      $A$2:$A71 &gt;= A71 - 30,
      $A$2:$A71 &lt;= A71,
      $D$2:$D71 &gt; 0
    )
  ),
"""")
"),17.9782105888421)</f>
        <v>17.978210588842099</v>
      </c>
      <c r="H71" s="14"/>
    </row>
    <row r="72" spans="1:8" ht="15.75" customHeight="1" x14ac:dyDescent="0.25">
      <c r="A72" s="9">
        <v>45971</v>
      </c>
      <c r="B72" s="10">
        <v>361.6</v>
      </c>
      <c r="C72" s="10">
        <v>80.599999999999994</v>
      </c>
      <c r="D72" s="11">
        <f t="shared" si="0"/>
        <v>22.289823008849556</v>
      </c>
      <c r="E72" s="13">
        <v>18</v>
      </c>
      <c r="F72" s="14">
        <f t="shared" si="1"/>
        <v>-4.2898230088495559</v>
      </c>
      <c r="G72" s="14">
        <f ca="1">IFERROR(__xludf.DUMMYFUNCTION("IFERROR(
  AVERAGE(
    FILTER(
      $D$2:$D72,
      $A$2:$A72 &gt;= A72 - 30,
      $A$2:$A72 &lt;= A72,
      $D$2:$D72 &gt; 0
    )
  ),
"""")
"),17.6678330658463)</f>
        <v>17.667833065846299</v>
      </c>
      <c r="H72" s="14"/>
    </row>
    <row r="73" spans="1:8" ht="15.75" customHeight="1" x14ac:dyDescent="0.25">
      <c r="A73" s="9">
        <v>45972</v>
      </c>
      <c r="B73" s="10">
        <v>464</v>
      </c>
      <c r="C73" s="10">
        <v>112</v>
      </c>
      <c r="D73" s="11">
        <f t="shared" si="0"/>
        <v>24.137931034482758</v>
      </c>
      <c r="E73" s="13">
        <v>18</v>
      </c>
      <c r="F73" s="14">
        <f t="shared" si="1"/>
        <v>-6.137931034482758</v>
      </c>
      <c r="G73" s="14">
        <f ca="1">IFERROR(__xludf.DUMMYFUNCTION("IFERROR(
  AVERAGE(
    FILTER(
      $D$2:$D73,
      $A$2:$A73 &gt;= A73 - 30,
      $A$2:$A73 &lt;= A73,
      $D$2:$D73 &gt; 0
    )
  ),
"""")
"),17.9888005441924)</f>
        <v>17.988800544192401</v>
      </c>
      <c r="H73" s="14"/>
    </row>
    <row r="74" spans="1:8" ht="15.75" customHeight="1" x14ac:dyDescent="0.25">
      <c r="A74" s="9">
        <v>45973</v>
      </c>
      <c r="B74" s="10">
        <v>296</v>
      </c>
      <c r="C74" s="10">
        <v>87</v>
      </c>
      <c r="D74" s="11">
        <f t="shared" si="0"/>
        <v>29.391891891891891</v>
      </c>
      <c r="E74" s="13">
        <v>18</v>
      </c>
      <c r="F74" s="14">
        <f t="shared" si="1"/>
        <v>-11.391891891891891</v>
      </c>
      <c r="G74" s="14">
        <f ca="1">IFERROR(__xludf.DUMMYFUNCTION("IFERROR(
  AVERAGE(
    FILTER(
      $D$2:$D74,
      $A$2:$A74 &gt;= A74 - 30,
      $A$2:$A74 &lt;= A74,
      $D$2:$D74 &gt; 0
    )
  ),
"""")
"),18.6923450723271)</f>
        <v>18.6923450723271</v>
      </c>
      <c r="H74" s="14"/>
    </row>
    <row r="75" spans="1:8" ht="15.75" customHeight="1" x14ac:dyDescent="0.25">
      <c r="A75" s="9">
        <v>45974</v>
      </c>
      <c r="B75" s="10">
        <v>535</v>
      </c>
      <c r="C75" s="10">
        <v>152</v>
      </c>
      <c r="D75" s="11">
        <f t="shared" si="0"/>
        <v>28.411214953271031</v>
      </c>
      <c r="E75" s="13">
        <v>18</v>
      </c>
      <c r="F75" s="14">
        <f t="shared" si="1"/>
        <v>-10.411214953271031</v>
      </c>
      <c r="G75" s="14">
        <f ca="1">IFERROR(__xludf.DUMMYFUNCTION("IFERROR(
  AVERAGE(
    FILTER(
      $D$2:$D75,
      $A$2:$A75 &gt;= A75 - 30,
      $A$2:$A75 &lt;= A75,
      $D$2:$D75 &gt; 0
    )
  ),
"""")
"),18.7951653518739)</f>
        <v>18.795165351873901</v>
      </c>
      <c r="H75" s="14"/>
    </row>
    <row r="76" spans="1:8" ht="15.75" customHeight="1" x14ac:dyDescent="0.25">
      <c r="A76" s="9">
        <v>45975</v>
      </c>
      <c r="B76" s="10">
        <v>520</v>
      </c>
      <c r="C76" s="10">
        <v>60</v>
      </c>
      <c r="D76" s="11">
        <f t="shared" si="0"/>
        <v>11.538461538461538</v>
      </c>
      <c r="E76" s="13">
        <v>18</v>
      </c>
      <c r="F76" s="14">
        <f t="shared" si="1"/>
        <v>6.4615384615384617</v>
      </c>
      <c r="G76" s="14">
        <f ca="1">IFERROR(__xludf.DUMMYFUNCTION("IFERROR(
  AVERAGE(
    FILTER(
      $D$2:$D76,
      $A$2:$A76 &gt;= A76 - 30,
      $A$2:$A76 &lt;= A76,
      $D$2:$D76 &gt; 0
    )
  ),
"""")
"),18.5658474999145)</f>
        <v>18.565847499914501</v>
      </c>
      <c r="H76" s="14"/>
    </row>
    <row r="77" spans="1:8" ht="15.75" customHeight="1" x14ac:dyDescent="0.25">
      <c r="A77" s="9">
        <v>45976</v>
      </c>
      <c r="B77" s="10">
        <v>196</v>
      </c>
      <c r="C77" s="10">
        <v>36</v>
      </c>
      <c r="D77" s="11">
        <f t="shared" si="0"/>
        <v>18.367346938775512</v>
      </c>
      <c r="E77" s="13">
        <v>18</v>
      </c>
      <c r="F77" s="14">
        <f t="shared" si="1"/>
        <v>-0.36734693877551194</v>
      </c>
      <c r="G77" s="14">
        <f ca="1">IFERROR(__xludf.DUMMYFUNCTION("IFERROR(
  AVERAGE(
    FILTER(
      $D$2:$D77,
      $A$2:$A77 &gt;= A77 - 30,
      $A$2:$A77 &lt;= A77,
      $D$2:$D77 &gt; 0
    )
  ),
"""")
"),18.5089371795645)</f>
        <v>18.508937179564501</v>
      </c>
      <c r="H77" s="14"/>
    </row>
    <row r="78" spans="1:8" ht="15.75" customHeight="1" x14ac:dyDescent="0.25">
      <c r="A78" s="9">
        <v>45977</v>
      </c>
      <c r="B78" s="10">
        <v>0</v>
      </c>
      <c r="C78" s="10">
        <v>0</v>
      </c>
      <c r="D78" s="11" t="e">
        <f t="shared" si="0"/>
        <v>#DIV/0!</v>
      </c>
      <c r="E78" s="13">
        <v>18</v>
      </c>
      <c r="F78" s="14" t="e">
        <f t="shared" si="1"/>
        <v>#DIV/0!</v>
      </c>
      <c r="G78" s="14">
        <f ca="1">IFERROR(__xludf.DUMMYFUNCTION("IFERROR(
  AVERAGE(
    FILTER(
      $D$2:$D78,
      $A$2:$A78 &gt;= A78 - 30,
      $A$2:$A78 &lt;= A78,
      $D$2:$D78 &gt; 0
    )
  ),
"""")
"),18.5023651176019)</f>
        <v>18.502365117601901</v>
      </c>
      <c r="H78" s="14"/>
    </row>
    <row r="79" spans="1:8" ht="15.75" customHeight="1" x14ac:dyDescent="0.25">
      <c r="A79" s="9">
        <v>45978</v>
      </c>
      <c r="B79" s="10">
        <v>348</v>
      </c>
      <c r="C79" s="10">
        <v>52</v>
      </c>
      <c r="D79" s="11">
        <f t="shared" si="0"/>
        <v>14.942528735632186</v>
      </c>
      <c r="E79" s="13">
        <v>18</v>
      </c>
      <c r="F79" s="14">
        <f t="shared" si="1"/>
        <v>3.0574712643678144</v>
      </c>
      <c r="G79" s="14">
        <f ca="1">IFERROR(__xludf.DUMMYFUNCTION("IFERROR(
  AVERAGE(
    FILTER(
      $D$2:$D79,
      $A$2:$A79 &gt;= A79 - 30,
      $A$2:$A79 &lt;= A79,
      $D$2:$D79 &gt; 0
    )
  ),
"""")
"),18.0299761698687)</f>
        <v>18.0299761698687</v>
      </c>
      <c r="H79" s="14"/>
    </row>
    <row r="80" spans="1:8" ht="15.75" customHeight="1" x14ac:dyDescent="0.25">
      <c r="A80" s="9">
        <v>45979</v>
      </c>
      <c r="B80" s="10">
        <v>422</v>
      </c>
      <c r="C80" s="10">
        <v>90</v>
      </c>
      <c r="D80" s="11">
        <f t="shared" si="0"/>
        <v>21.327014218009481</v>
      </c>
      <c r="E80" s="13">
        <v>18</v>
      </c>
      <c r="F80" s="14">
        <f t="shared" si="1"/>
        <v>-3.3270142180094808</v>
      </c>
      <c r="G80" s="14">
        <f ca="1">IFERROR(__xludf.DUMMYFUNCTION("IFERROR(
  AVERAGE(
    FILTER(
      $D$2:$D80,
      $A$2:$A80 &gt;= A80 - 30,
      $A$2:$A80 &lt;= A80,
      $D$2:$D80 &gt; 0
    )
  ),
"""")
"),18.3828874765715)</f>
        <v>18.382887476571501</v>
      </c>
      <c r="H80" s="14"/>
    </row>
    <row r="81" spans="1:8" ht="15.75" customHeight="1" x14ac:dyDescent="0.25">
      <c r="A81" s="9">
        <v>45980</v>
      </c>
      <c r="B81" s="10">
        <v>400</v>
      </c>
      <c r="C81" s="10">
        <v>73</v>
      </c>
      <c r="D81" s="11">
        <f t="shared" si="0"/>
        <v>18.25</v>
      </c>
      <c r="E81" s="13">
        <v>18</v>
      </c>
      <c r="F81" s="14">
        <f t="shared" si="1"/>
        <v>-0.25</v>
      </c>
      <c r="G81" s="14">
        <f ca="1">IFERROR(__xludf.DUMMYFUNCTION("IFERROR(
  AVERAGE(
    FILTER(
      $D$2:$D81,
      $A$2:$A81 &gt;= A81 - 30,
      $A$2:$A81 &lt;= A81,
      $D$2:$D81 &gt; 0
    )
  ),
"""")
"),18.3775719775086)</f>
        <v>18.377571977508602</v>
      </c>
      <c r="H81" s="14"/>
    </row>
    <row r="82" spans="1:8" ht="15.75" customHeight="1" x14ac:dyDescent="0.25">
      <c r="A82" s="9">
        <v>45981</v>
      </c>
      <c r="B82" s="10">
        <v>1005</v>
      </c>
      <c r="C82" s="10">
        <v>60</v>
      </c>
      <c r="D82" s="11">
        <f t="shared" si="0"/>
        <v>5.9701492537313428</v>
      </c>
      <c r="E82" s="13">
        <v>18</v>
      </c>
      <c r="F82" s="14">
        <f t="shared" si="1"/>
        <v>12.029850746268657</v>
      </c>
      <c r="G82" s="14">
        <f ca="1">IFERROR(__xludf.DUMMYFUNCTION("IFERROR(
  AVERAGE(
    FILTER(
      $D$2:$D82,
      $A$2:$A82 &gt;= A82 - 30,
      $A$2:$A82 &lt;= A82,
      $D$2:$D82 &gt; 0
    )
  ),
"""")
"),17.9003634112095)</f>
        <v>17.900363411209501</v>
      </c>
      <c r="H82" s="14"/>
    </row>
    <row r="83" spans="1:8" ht="15.75" customHeight="1" x14ac:dyDescent="0.25">
      <c r="A83" s="9">
        <v>45982</v>
      </c>
      <c r="B83" s="10">
        <v>577</v>
      </c>
      <c r="C83" s="10">
        <v>100</v>
      </c>
      <c r="D83" s="11">
        <f t="shared" si="0"/>
        <v>17.331022530329289</v>
      </c>
      <c r="E83" s="13">
        <v>18</v>
      </c>
      <c r="F83" s="14">
        <f t="shared" si="1"/>
        <v>0.66897746967071114</v>
      </c>
      <c r="G83" s="14">
        <f ca="1">IFERROR(__xludf.DUMMYFUNCTION("IFERROR(
  AVERAGE(
    FILTER(
      $D$2:$D83,
      $A$2:$A83 &gt;= A83 - 30,
      $A$2:$A83 &lt;= A83,
      $D$2:$D83 &gt; 0
    )
  ),
"""")
"),17.8792767119177)</f>
        <v>17.879276711917701</v>
      </c>
      <c r="H83" s="14"/>
    </row>
    <row r="84" spans="1:8" ht="15.75" customHeight="1" x14ac:dyDescent="0.25">
      <c r="A84" s="9">
        <v>45983</v>
      </c>
      <c r="B84" s="10">
        <v>520</v>
      </c>
      <c r="C84" s="10">
        <v>60</v>
      </c>
      <c r="D84" s="11">
        <f t="shared" si="0"/>
        <v>11.538461538461538</v>
      </c>
      <c r="E84" s="13">
        <v>18</v>
      </c>
      <c r="F84" s="14">
        <f t="shared" si="1"/>
        <v>6.4615384615384617</v>
      </c>
      <c r="G84" s="14">
        <f ca="1">IFERROR(__xludf.DUMMYFUNCTION("IFERROR(
  AVERAGE(
    FILTER(
      $D$2:$D84,
      $A$2:$A84 &gt;= A84 - 30,
      $A$2:$A84 &lt;= A84,
      $D$2:$D84 &gt; 0
    )
  ),
"""")
"),17.8196207959081)</f>
        <v>17.819620795908101</v>
      </c>
      <c r="H84" s="14"/>
    </row>
    <row r="85" spans="1:8" ht="15.75" customHeight="1" x14ac:dyDescent="0.25">
      <c r="A85" s="9">
        <v>45984</v>
      </c>
      <c r="B85" s="10">
        <v>0</v>
      </c>
      <c r="C85" s="10">
        <v>0</v>
      </c>
      <c r="D85" s="11" t="e">
        <f t="shared" si="0"/>
        <v>#DIV/0!</v>
      </c>
      <c r="E85" s="13">
        <v>18</v>
      </c>
      <c r="F85" s="14" t="e">
        <f t="shared" si="1"/>
        <v>#DIV/0!</v>
      </c>
      <c r="G85" s="14">
        <f ca="1">IFERROR(__xludf.DUMMYFUNCTION("IFERROR(
  AVERAGE(
    FILTER(
      $D$2:$D85,
      $A$2:$A85 &gt;= A85 - 30,
      $A$2:$A85 &lt;= A85,
      $D$2:$D85 &gt; 0
    )
  ),
"""")
"),18.0581219902281)</f>
        <v>18.058121990228098</v>
      </c>
      <c r="H85" s="14"/>
    </row>
    <row r="86" spans="1:8" ht="15.75" customHeight="1" x14ac:dyDescent="0.25">
      <c r="A86" s="9">
        <v>45985</v>
      </c>
      <c r="B86" s="10">
        <v>651</v>
      </c>
      <c r="C86" s="10">
        <v>119</v>
      </c>
      <c r="D86" s="11">
        <f t="shared" si="0"/>
        <v>18.27956989247312</v>
      </c>
      <c r="E86" s="13">
        <v>18</v>
      </c>
      <c r="F86" s="14">
        <f t="shared" si="1"/>
        <v>-0.27956989247311981</v>
      </c>
      <c r="G86" s="14">
        <f ca="1">IFERROR(__xludf.DUMMYFUNCTION("IFERROR(
  AVERAGE(
    FILTER(
      $D$2:$D86,
      $A$2:$A86 &gt;= A86 - 30,
      $A$2:$A86 &lt;= A86,
      $D$2:$D86 &gt; 0
    )
  ),
"""")
"),18.2243885412311)</f>
        <v>18.2243885412311</v>
      </c>
      <c r="H86" s="14"/>
    </row>
    <row r="87" spans="1:8" ht="15.75" customHeight="1" x14ac:dyDescent="0.25">
      <c r="A87" s="9">
        <v>45986</v>
      </c>
      <c r="B87" s="10">
        <v>611</v>
      </c>
      <c r="C87" s="10">
        <v>94</v>
      </c>
      <c r="D87" s="11">
        <f t="shared" si="0"/>
        <v>15.384615384615385</v>
      </c>
      <c r="E87" s="13">
        <v>18</v>
      </c>
      <c r="F87" s="14">
        <f t="shared" si="1"/>
        <v>2.615384615384615</v>
      </c>
      <c r="G87" s="14">
        <f ca="1">IFERROR(__xludf.DUMMYFUNCTION("IFERROR(
  AVERAGE(
    FILTER(
      $D$2:$D87,
      $A$2:$A87 &gt;= A87 - 30,
      $A$2:$A87 &lt;= A87,
      $D$2:$D87 &gt; 0
    )
  ),
"""")
"),18.1267444338884)</f>
        <v>18.126744433888401</v>
      </c>
      <c r="H87" s="14"/>
    </row>
    <row r="88" spans="1:8" ht="15.75" customHeight="1" x14ac:dyDescent="0.25">
      <c r="A88" s="9">
        <v>45987</v>
      </c>
      <c r="B88" s="10">
        <v>586</v>
      </c>
      <c r="C88" s="10">
        <v>78</v>
      </c>
      <c r="D88" s="11">
        <f t="shared" si="0"/>
        <v>13.310580204778159</v>
      </c>
      <c r="E88" s="13">
        <v>18</v>
      </c>
      <c r="F88" s="14">
        <f t="shared" si="1"/>
        <v>4.6894197952218413</v>
      </c>
      <c r="G88" s="14">
        <f ca="1">IFERROR(__xludf.DUMMYFUNCTION("IFERROR(
  AVERAGE(
    FILTER(
      $D$2:$D88,
      $A$2:$A88 &gt;= A88 - 30,
      $A$2:$A88 &lt;= A88,
      $D$2:$D88 &gt; 0
    )
  ),
"""")
"),17.9483679809584)</f>
        <v>17.948367980958398</v>
      </c>
      <c r="H88" s="14"/>
    </row>
    <row r="89" spans="1:8" ht="15.75" customHeight="1" x14ac:dyDescent="0.25">
      <c r="A89" s="9">
        <v>45988</v>
      </c>
      <c r="B89" s="10">
        <v>496</v>
      </c>
      <c r="C89" s="10">
        <v>98</v>
      </c>
      <c r="D89" s="11">
        <f t="shared" si="0"/>
        <v>19.758064516129032</v>
      </c>
      <c r="E89" s="13">
        <v>18</v>
      </c>
      <c r="F89" s="14">
        <f t="shared" si="1"/>
        <v>-1.758064516129032</v>
      </c>
      <c r="G89" s="14">
        <f ca="1">IFERROR(__xludf.DUMMYFUNCTION("IFERROR(
  AVERAGE(
    FILTER(
      $D$2:$D89,
      $A$2:$A89 &gt;= A89 - 30,
      $A$2:$A89 &lt;= A89,
      $D$2:$D89 &gt; 0
    )
  ),
"""")
"),18.5199370465355)</f>
        <v>18.5199370465355</v>
      </c>
      <c r="H89" s="14"/>
    </row>
    <row r="90" spans="1:8" ht="15.75" customHeight="1" x14ac:dyDescent="0.25">
      <c r="A90" s="9">
        <v>45989</v>
      </c>
      <c r="B90" s="10">
        <v>390</v>
      </c>
      <c r="C90" s="10">
        <v>75</v>
      </c>
      <c r="D90" s="11">
        <f t="shared" si="0"/>
        <v>19.230769230769234</v>
      </c>
      <c r="E90" s="13">
        <v>18</v>
      </c>
      <c r="F90" s="14">
        <f t="shared" si="1"/>
        <v>-1.2307692307692335</v>
      </c>
      <c r="G90" s="14">
        <f ca="1">IFERROR(__xludf.DUMMYFUNCTION("IFERROR(
  AVERAGE(
    FILTER(
      $D$2:$D90,
      $A$2:$A90 &gt;= A90 - 30,
      $A$2:$A90 &lt;= A90,
      $D$2:$D90 &gt; 0
    )
  ),
"""")
"),18.7909083528396)</f>
        <v>18.790908352839601</v>
      </c>
      <c r="H90" s="14"/>
    </row>
    <row r="91" spans="1:8" ht="15.75" customHeight="1" x14ac:dyDescent="0.25">
      <c r="A91" s="9">
        <v>45990</v>
      </c>
      <c r="B91" s="10">
        <v>318</v>
      </c>
      <c r="C91" s="10">
        <v>50</v>
      </c>
      <c r="D91" s="11">
        <f t="shared" si="0"/>
        <v>15.723270440251572</v>
      </c>
      <c r="E91" s="13">
        <v>18</v>
      </c>
      <c r="F91" s="14">
        <f t="shared" si="1"/>
        <v>2.2767295597484285</v>
      </c>
      <c r="G91" s="14">
        <f ca="1">IFERROR(__xludf.DUMMYFUNCTION("IFERROR(
  AVERAGE(
    FILTER(
      $D$2:$D91,
      $A$2:$A91 &gt;= A91 - 30,
      $A$2:$A91 &lt;= A91,
      $D$2:$D91 &gt; 0
    )
  ),
"""")
"),18.9931347434142)</f>
        <v>18.993134743414199</v>
      </c>
      <c r="H91" s="14"/>
    </row>
    <row r="92" spans="1:8" ht="15.75" customHeight="1" x14ac:dyDescent="0.25">
      <c r="A92" s="9">
        <v>45991</v>
      </c>
      <c r="B92" s="10">
        <v>0</v>
      </c>
      <c r="C92" s="10">
        <v>0</v>
      </c>
      <c r="D92" s="11" t="e">
        <f t="shared" si="0"/>
        <v>#DIV/0!</v>
      </c>
      <c r="E92" s="13">
        <v>18</v>
      </c>
      <c r="F92" s="14" t="e">
        <f t="shared" si="1"/>
        <v>#DIV/0!</v>
      </c>
      <c r="G92" s="14">
        <f ca="1">IFERROR(__xludf.DUMMYFUNCTION("IFERROR(
  AVERAGE(
    FILTER(
      $D$2:$D92,
      $A$2:$A92 &gt;= A92 - 30,
      $A$2:$A92 &lt;= A92,
      $D$2:$D92 &gt; 0
    )
  ),
"""")
"),19.0497854784138)</f>
        <v>19.049785478413799</v>
      </c>
      <c r="H92" s="14"/>
    </row>
    <row r="93" spans="1:8" ht="15.75" customHeight="1" x14ac:dyDescent="0.25">
      <c r="A93" s="9">
        <v>45992</v>
      </c>
      <c r="B93" s="10">
        <v>658</v>
      </c>
      <c r="C93" s="10">
        <v>107</v>
      </c>
      <c r="D93" s="11">
        <f t="shared" si="0"/>
        <v>16.261398176291795</v>
      </c>
      <c r="E93" s="13">
        <v>18</v>
      </c>
      <c r="F93" s="14">
        <f t="shared" si="1"/>
        <v>1.7386018237082048</v>
      </c>
      <c r="G93" s="14">
        <f ca="1">IFERROR(__xludf.DUMMYFUNCTION("IFERROR(
  AVERAGE(
    FILTER(
      $D$2:$D93,
      $A$2:$A93 &gt;= A93 - 30,
      $A$2:$A93 &lt;= A93,
      $D$2:$D93 &gt; 0
    )
  ),
"""")
"),18.8067375174524)</f>
        <v>18.806737517452401</v>
      </c>
      <c r="H93" s="14"/>
    </row>
    <row r="94" spans="1:8" ht="15.75" customHeight="1" x14ac:dyDescent="0.25">
      <c r="A94" s="9">
        <v>45993</v>
      </c>
      <c r="B94" s="10">
        <v>444</v>
      </c>
      <c r="C94" s="10">
        <v>74</v>
      </c>
      <c r="D94" s="11">
        <f t="shared" si="0"/>
        <v>16.666666666666664</v>
      </c>
      <c r="E94" s="13">
        <v>18</v>
      </c>
      <c r="F94" s="14">
        <f t="shared" si="1"/>
        <v>1.3333333333333357</v>
      </c>
      <c r="G94" s="14">
        <f ca="1">IFERROR(__xludf.DUMMYFUNCTION("IFERROR(
  AVERAGE(
    FILTER(
      $D$2:$D94,
      $A$2:$A94 &gt;= A94 - 30,
      $A$2:$A94 &lt;= A94,
      $D$2:$D94 &gt; 0
    )
  ),
"""")
"),18.6301675804034)</f>
        <v>18.630167580403398</v>
      </c>
      <c r="H94" s="14"/>
    </row>
    <row r="95" spans="1:8" ht="15.75" customHeight="1" x14ac:dyDescent="0.25">
      <c r="A95" s="9">
        <v>45994</v>
      </c>
      <c r="B95" s="10">
        <v>354</v>
      </c>
      <c r="C95" s="10">
        <v>77</v>
      </c>
      <c r="D95" s="11">
        <f t="shared" si="0"/>
        <v>21.751412429378529</v>
      </c>
      <c r="E95" s="13">
        <v>18</v>
      </c>
      <c r="F95" s="14">
        <f t="shared" si="1"/>
        <v>-3.7514124293785294</v>
      </c>
      <c r="G95" s="14">
        <f ca="1">IFERROR(__xludf.DUMMYFUNCTION("IFERROR(
  AVERAGE(
    FILTER(
      $D$2:$D95,
      $A$2:$A95 &gt;= A95 - 30,
      $A$2:$A95 &lt;= A95,
      $D$2:$D95 &gt; 0
    )
  ),
"""")
"),18.7457692414765)</f>
        <v>18.745769241476498</v>
      </c>
      <c r="H95" s="14"/>
    </row>
    <row r="96" spans="1:8" ht="15.75" customHeight="1" x14ac:dyDescent="0.25">
      <c r="A96" s="9">
        <v>45995</v>
      </c>
      <c r="B96" s="10">
        <v>525</v>
      </c>
      <c r="C96" s="10">
        <v>108</v>
      </c>
      <c r="D96" s="11">
        <f t="shared" si="0"/>
        <v>20.571428571428569</v>
      </c>
      <c r="E96" s="13">
        <v>18</v>
      </c>
      <c r="F96" s="14">
        <f t="shared" si="1"/>
        <v>-2.5714285714285694</v>
      </c>
      <c r="G96" s="14">
        <f ca="1">IFERROR(__xludf.DUMMYFUNCTION("IFERROR(
  AVERAGE(
    FILTER(
      $D$2:$D96,
      $A$2:$A96 &gt;= A96 - 30,
      $A$2:$A96 &lt;= A96,
      $D$2:$D96 &gt; 0
    )
  ),
"""")
"),18.6617958671806)</f>
        <v>18.661795867180601</v>
      </c>
      <c r="H96" s="14"/>
    </row>
    <row r="97" spans="1:8" ht="15.75" customHeight="1" x14ac:dyDescent="0.25">
      <c r="A97" s="9">
        <v>45996</v>
      </c>
      <c r="B97" s="10">
        <v>1170</v>
      </c>
      <c r="C97" s="10">
        <v>276</v>
      </c>
      <c r="D97" s="11">
        <f t="shared" si="0"/>
        <v>23.589743589743588</v>
      </c>
      <c r="E97" s="13">
        <v>18</v>
      </c>
      <c r="F97" s="14">
        <f t="shared" si="1"/>
        <v>-5.5897435897435876</v>
      </c>
      <c r="G97" s="14">
        <f ca="1">IFERROR(__xludf.DUMMYFUNCTION("IFERROR(
  AVERAGE(
    FILTER(
      $D$2:$D97,
      $A$2:$A97 &gt;= A97 - 30,
      $A$2:$A97 &lt;= A97,
      $D$2:$D97 &gt; 0
    )
  ),
"""")
"),18.6051965731599)</f>
        <v>18.605196573159901</v>
      </c>
      <c r="H97" s="14"/>
    </row>
    <row r="98" spans="1:8" ht="15.75" customHeight="1" x14ac:dyDescent="0.25">
      <c r="A98" s="9">
        <v>45997</v>
      </c>
      <c r="B98" s="10">
        <v>381</v>
      </c>
      <c r="C98" s="10">
        <v>111</v>
      </c>
      <c r="D98" s="11">
        <f t="shared" si="0"/>
        <v>29.133858267716533</v>
      </c>
      <c r="E98" s="13">
        <v>18</v>
      </c>
      <c r="F98" s="14">
        <f t="shared" si="1"/>
        <v>-11.133858267716533</v>
      </c>
      <c r="G98" s="14">
        <f ca="1">IFERROR(__xludf.DUMMYFUNCTION("IFERROR(
  AVERAGE(
    FILTER(
      $D$2:$D98,
      $A$2:$A98 &gt;= A98 - 30,
      $A$2:$A98 &lt;= A98,
      $D$2:$D98 &gt; 0
    )
  ),
"""")
"),19.0976689507643)</f>
        <v>19.097668950764302</v>
      </c>
      <c r="H98" s="14"/>
    </row>
    <row r="99" spans="1:8" ht="15.75" customHeight="1" x14ac:dyDescent="0.25">
      <c r="A99" s="9">
        <v>45998</v>
      </c>
      <c r="B99" s="10">
        <v>225</v>
      </c>
      <c r="C99" s="10">
        <v>60</v>
      </c>
      <c r="D99" s="11">
        <f t="shared" si="0"/>
        <v>26.666666666666668</v>
      </c>
      <c r="E99" s="13">
        <v>18</v>
      </c>
      <c r="F99" s="14">
        <f t="shared" si="1"/>
        <v>-8.6666666666666679</v>
      </c>
      <c r="G99" s="14">
        <f ca="1">IFERROR(__xludf.DUMMYFUNCTION("IFERROR(
  AVERAGE(
    FILTER(
      $D$2:$D99,
      $A$2:$A99 &gt;= A99 - 30,
      $A$2:$A99 &lt;= A99,
      $D$2:$D99 &gt; 0
    )
  ),
"""")
"),19.3840302627666)</f>
        <v>19.384030262766601</v>
      </c>
      <c r="H99" s="14"/>
    </row>
    <row r="100" spans="1:8" ht="15.75" customHeight="1" x14ac:dyDescent="0.25">
      <c r="A100" s="9">
        <v>45999</v>
      </c>
      <c r="B100" s="10">
        <v>293</v>
      </c>
      <c r="C100" s="10">
        <v>100</v>
      </c>
      <c r="D100" s="11">
        <f t="shared" si="0"/>
        <v>34.129692832764505</v>
      </c>
      <c r="E100" s="13">
        <v>18</v>
      </c>
      <c r="F100" s="14">
        <f t="shared" si="1"/>
        <v>-16.129692832764505</v>
      </c>
      <c r="G100" s="14">
        <f ca="1">IFERROR(__xludf.DUMMYFUNCTION("IFERROR(
  AVERAGE(
    FILTER(
      $D$2:$D100,
      $A$2:$A100 &gt;= A100 - 30,
      $A$2:$A100 &lt;= A100,
      $D$2:$D100 &gt; 0
    )
  ),
"""")
"),20.0252478929869)</f>
        <v>20.025247892986901</v>
      </c>
      <c r="H100" s="14"/>
    </row>
    <row r="101" spans="1:8" ht="15.75" customHeight="1" x14ac:dyDescent="0.25">
      <c r="A101" s="9">
        <v>46000</v>
      </c>
      <c r="B101" s="10">
        <v>584</v>
      </c>
      <c r="C101" s="10">
        <v>129</v>
      </c>
      <c r="D101" s="11">
        <f t="shared" si="0"/>
        <v>22.089041095890412</v>
      </c>
      <c r="E101" s="13">
        <v>18</v>
      </c>
      <c r="F101" s="14">
        <f t="shared" si="1"/>
        <v>-4.089041095890412</v>
      </c>
      <c r="G101" s="14">
        <f ca="1">IFERROR(__xludf.DUMMYFUNCTION("IFERROR(
  AVERAGE(
    FILTER(
      $D$2:$D101,
      $A$2:$A101 &gt;= A101 - 30,
      $A$2:$A101 &lt;= A101,
      $D$2:$D101 &gt; 0
    )
  ),
"""")
"),19.8534305039799)</f>
        <v>19.853430503979901</v>
      </c>
      <c r="H101" s="14"/>
    </row>
    <row r="102" spans="1:8" ht="15.75" customHeight="1" x14ac:dyDescent="0.25">
      <c r="A102" s="9">
        <v>46001</v>
      </c>
      <c r="B102" s="10">
        <v>374</v>
      </c>
      <c r="C102" s="10">
        <v>83</v>
      </c>
      <c r="D102" s="11">
        <f t="shared" si="0"/>
        <v>22.192513368983956</v>
      </c>
      <c r="E102" s="13">
        <v>18</v>
      </c>
      <c r="F102" s="14">
        <f t="shared" si="1"/>
        <v>-4.1925133689839562</v>
      </c>
      <c r="G102" s="14">
        <f ca="1">IFERROR(__xludf.DUMMYFUNCTION("IFERROR(
  AVERAGE(
    FILTER(
      $D$2:$D102,
      $A$2:$A102 &gt;= A102 - 30,
      $A$2:$A102 &lt;= A102,
      $D$2:$D102 &gt; 0
    )
  ),
"""")
"),19.9369691777301)</f>
        <v>19.936969177730099</v>
      </c>
      <c r="H102" s="14"/>
    </row>
    <row r="103" spans="1:8" ht="15.75" customHeight="1" x14ac:dyDescent="0.25">
      <c r="A103" s="9">
        <v>46002</v>
      </c>
      <c r="B103" s="10">
        <v>398</v>
      </c>
      <c r="C103" s="10">
        <v>111</v>
      </c>
      <c r="D103" s="11">
        <f t="shared" si="0"/>
        <v>27.889447236180903</v>
      </c>
      <c r="E103" s="13">
        <v>18</v>
      </c>
      <c r="F103" s="14">
        <f t="shared" si="1"/>
        <v>-9.8894472361809029</v>
      </c>
      <c r="G103" s="14">
        <f ca="1">IFERROR(__xludf.DUMMYFUNCTION("IFERROR(
  AVERAGE(
    FILTER(
      $D$2:$D103,
      $A$2:$A103 &gt;= A103 - 30,
      $A$2:$A103 &lt;= A103,
      $D$2:$D103 &gt; 0
    )
  ),
"""")
"),20.1369557572776)</f>
        <v>20.136955757277601</v>
      </c>
      <c r="H103" s="14"/>
    </row>
    <row r="104" spans="1:8" ht="15.75" customHeight="1" x14ac:dyDescent="0.25">
      <c r="A104" s="9">
        <v>46003</v>
      </c>
      <c r="B104" s="10">
        <v>598</v>
      </c>
      <c r="C104" s="10">
        <v>150</v>
      </c>
      <c r="D104" s="11">
        <f t="shared" si="0"/>
        <v>25.083612040133779</v>
      </c>
      <c r="E104" s="13">
        <v>18</v>
      </c>
      <c r="F104" s="14">
        <f t="shared" si="1"/>
        <v>-7.0836120401337794</v>
      </c>
      <c r="G104" s="14">
        <f ca="1">IFERROR(__xludf.DUMMYFUNCTION("IFERROR(
  AVERAGE(
    FILTER(
      $D$2:$D104,
      $A$2:$A104 &gt;= A104 - 30,
      $A$2:$A104 &lt;= A104,
      $D$2:$D104 &gt; 0
    )
  ),
"""")
"),20.170730078908)</f>
        <v>20.170730078908001</v>
      </c>
      <c r="H104" s="14"/>
    </row>
    <row r="105" spans="1:8" ht="15.75" customHeight="1" x14ac:dyDescent="0.25">
      <c r="A105" s="9">
        <v>46004</v>
      </c>
      <c r="B105" s="10">
        <v>615</v>
      </c>
      <c r="C105" s="10">
        <v>103</v>
      </c>
      <c r="D105" s="11">
        <f t="shared" si="0"/>
        <v>16.747967479674799</v>
      </c>
      <c r="E105" s="13">
        <v>18</v>
      </c>
      <c r="F105" s="14">
        <f t="shared" si="1"/>
        <v>1.2520325203252014</v>
      </c>
      <c r="G105" s="14">
        <f ca="1">IFERROR(__xludf.DUMMYFUNCTION("IFERROR(
  AVERAGE(
    FILTER(
      $D$2:$D105,
      $A$2:$A105 &gt;= A105 - 30,
      $A$2:$A105 &lt;= A105,
      $D$2:$D105 &gt; 0
    )
  ),
"""")
"),19.7191613499003)</f>
        <v>19.7191613499003</v>
      </c>
      <c r="H105" s="14"/>
    </row>
    <row r="106" spans="1:8" ht="15.75" customHeight="1" x14ac:dyDescent="0.25">
      <c r="A106" s="9">
        <v>46005</v>
      </c>
      <c r="B106" s="10">
        <v>0</v>
      </c>
      <c r="C106" s="10">
        <v>0</v>
      </c>
      <c r="D106" s="11" t="e">
        <f t="shared" si="0"/>
        <v>#DIV/0!</v>
      </c>
      <c r="E106" s="13">
        <v>18</v>
      </c>
      <c r="F106" s="14" t="e">
        <f t="shared" si="1"/>
        <v>#DIV/0!</v>
      </c>
      <c r="G106" s="14">
        <f ca="1">IFERROR(__xludf.DUMMYFUNCTION("IFERROR(
  AVERAGE(
    FILTER(
      $D$2:$D106,
      $A$2:$A106 &gt;= A106 - 30,
      $A$2:$A106 &lt;= A106,
      $D$2:$D106 &gt; 0
    )
  ),
"""")
"),19.3972334386643)</f>
        <v>19.397233438664301</v>
      </c>
      <c r="H106" s="14"/>
    </row>
    <row r="107" spans="1:8" ht="15.75" customHeight="1" x14ac:dyDescent="0.25">
      <c r="A107" s="9">
        <v>46006</v>
      </c>
      <c r="B107" s="10">
        <v>371</v>
      </c>
      <c r="C107" s="10">
        <v>146</v>
      </c>
      <c r="D107" s="11">
        <f t="shared" si="0"/>
        <v>39.353099730458219</v>
      </c>
      <c r="E107" s="13">
        <v>18</v>
      </c>
      <c r="F107" s="14">
        <f t="shared" si="1"/>
        <v>-21.353099730458219</v>
      </c>
      <c r="G107" s="14">
        <f ca="1">IFERROR(__xludf.DUMMYFUNCTION("IFERROR(
  AVERAGE(
    FILTER(
      $D$2:$D107,
      $A$2:$A107 &gt;= A107 - 30,
      $A$2:$A107 &lt;= A107,
      $D$2:$D107 &gt; 0
    )
  ),
"""")
"),20.4274052235531)</f>
        <v>20.427405223553102</v>
      </c>
      <c r="H107" s="14"/>
    </row>
    <row r="108" spans="1:8" ht="15.75" customHeight="1" x14ac:dyDescent="0.25">
      <c r="A108" s="9">
        <v>46007</v>
      </c>
      <c r="B108" s="10">
        <v>416</v>
      </c>
      <c r="C108" s="10">
        <v>108</v>
      </c>
      <c r="D108" s="11">
        <f t="shared" si="0"/>
        <v>25.961538461538463</v>
      </c>
      <c r="E108" s="13">
        <v>18</v>
      </c>
      <c r="F108" s="14">
        <f t="shared" si="1"/>
        <v>-7.9615384615384635</v>
      </c>
      <c r="G108" s="14">
        <f ca="1">IFERROR(__xludf.DUMMYFUNCTION("IFERROR(
  AVERAGE(
    FILTER(
      $D$2:$D108,
      $A$2:$A108 &gt;= A108 - 30,
      $A$2:$A108 &lt;= A108,
      $D$2:$D108 &gt; 0
    )
  ),
"""")
"),20.708671576248)</f>
        <v>20.708671576248001</v>
      </c>
      <c r="H108" s="14"/>
    </row>
    <row r="109" spans="1:8" ht="15.75" customHeight="1" x14ac:dyDescent="0.25">
      <c r="A109" s="9">
        <v>46008</v>
      </c>
      <c r="B109" s="10">
        <v>285</v>
      </c>
      <c r="C109" s="10">
        <v>111</v>
      </c>
      <c r="D109" s="11">
        <f t="shared" si="0"/>
        <v>38.94736842105263</v>
      </c>
      <c r="E109" s="13">
        <v>18</v>
      </c>
      <c r="F109" s="14">
        <f t="shared" si="1"/>
        <v>-20.94736842105263</v>
      </c>
      <c r="G109" s="14">
        <f ca="1">IFERROR(__xludf.DUMMYFUNCTION("IFERROR(
  AVERAGE(
    FILTER(
      $D$2:$D109,
      $A$2:$A109 &gt;= A109 - 30,
      $A$2:$A109 &lt;= A109,
      $D$2:$D109 &gt; 0
    )
  ),
"""")
"),21.3600536064196)</f>
        <v>21.360053606419601</v>
      </c>
      <c r="H109" s="14"/>
    </row>
    <row r="110" spans="1:8" ht="15.75" customHeight="1" x14ac:dyDescent="0.25">
      <c r="A110" s="9">
        <v>46009</v>
      </c>
      <c r="B110" s="10">
        <v>345</v>
      </c>
      <c r="C110" s="10">
        <v>78</v>
      </c>
      <c r="D110" s="11">
        <f t="shared" si="0"/>
        <v>22.608695652173914</v>
      </c>
      <c r="E110" s="13">
        <v>18</v>
      </c>
      <c r="F110" s="14">
        <f t="shared" si="1"/>
        <v>-4.608695652173914</v>
      </c>
      <c r="G110" s="14">
        <f ca="1">IFERROR(__xludf.DUMMYFUNCTION("IFERROR(
  AVERAGE(
    FILTER(
      $D$2:$D110,
      $A$2:$A110 &gt;= A110 - 30,
      $A$2:$A110 &lt;= A110,
      $D$2:$D110 &gt; 0
    )
  ),
"""")
"),21.6338452820104)</f>
        <v>21.633845282010402</v>
      </c>
      <c r="H110" s="14"/>
    </row>
    <row r="111" spans="1:8" ht="15.75" customHeight="1" x14ac:dyDescent="0.25">
      <c r="A111" s="9">
        <v>46010</v>
      </c>
      <c r="B111" s="10">
        <v>1606</v>
      </c>
      <c r="C111" s="10">
        <v>308</v>
      </c>
      <c r="D111" s="11">
        <f t="shared" si="0"/>
        <v>19.17808219178082</v>
      </c>
      <c r="E111" s="13">
        <v>18</v>
      </c>
      <c r="F111" s="14">
        <f t="shared" si="1"/>
        <v>-1.1780821917808204</v>
      </c>
      <c r="G111" s="14">
        <f ca="1">IFERROR(__xludf.DUMMYFUNCTION("IFERROR(
  AVERAGE(
    FILTER(
      $D$2:$D111,
      $A$2:$A111 &gt;= A111 - 30,
      $A$2:$A111 &lt;= A111,
      $D$2:$D111 &gt; 0
    )
  ),
"""")
"),21.5570977096451)</f>
        <v>21.557097709645099</v>
      </c>
      <c r="H111" s="14"/>
    </row>
    <row r="112" spans="1:8" ht="15.75" customHeight="1" x14ac:dyDescent="0.25">
      <c r="A112" s="9">
        <v>46011</v>
      </c>
      <c r="B112" s="10">
        <v>701</v>
      </c>
      <c r="C112" s="10">
        <v>103</v>
      </c>
      <c r="D112" s="11">
        <f t="shared" si="0"/>
        <v>14.693295292439373</v>
      </c>
      <c r="E112" s="13">
        <v>18</v>
      </c>
      <c r="F112" s="14">
        <f t="shared" si="1"/>
        <v>3.3067047075606268</v>
      </c>
      <c r="G112" s="14">
        <f ca="1">IFERROR(__xludf.DUMMYFUNCTION("IFERROR(
  AVERAGE(
    FILTER(
      $D$2:$D112,
      $A$2:$A112 &gt;= A112 - 30,
      $A$2:$A112 &lt;= A112,
      $D$2:$D112 &gt; 0
    )
  ),
"""")
"),21.4300725415179)</f>
        <v>21.430072541517902</v>
      </c>
      <c r="H112" s="14"/>
    </row>
    <row r="113" spans="1:8" ht="15.75" customHeight="1" x14ac:dyDescent="0.25">
      <c r="A113" s="9">
        <v>46012</v>
      </c>
      <c r="B113" s="10">
        <v>896</v>
      </c>
      <c r="C113" s="10">
        <v>220</v>
      </c>
      <c r="D113" s="11">
        <f t="shared" si="0"/>
        <v>24.553571428571427</v>
      </c>
      <c r="E113" s="13">
        <v>18</v>
      </c>
      <c r="F113" s="14">
        <f t="shared" si="1"/>
        <v>-6.553571428571427</v>
      </c>
      <c r="G113" s="14">
        <f ca="1">IFERROR(__xludf.DUMMYFUNCTION("IFERROR(
  AVERAGE(
    FILTER(
      $D$2:$D113,
      $A$2:$A113 &gt;= A113 - 30,
      $A$2:$A113 &lt;= A113,
      $D$2:$D113 &gt; 0
    )
  ),
"""")
"),22.0937661906193)</f>
        <v>22.093766190619299</v>
      </c>
      <c r="H113" s="14"/>
    </row>
    <row r="114" spans="1:8" ht="15.75" customHeight="1" x14ac:dyDescent="0.25">
      <c r="A114" s="9">
        <v>46013</v>
      </c>
      <c r="B114" s="10">
        <v>335</v>
      </c>
      <c r="C114" s="10">
        <v>88</v>
      </c>
      <c r="D114" s="11">
        <f t="shared" si="0"/>
        <v>26.268656716417908</v>
      </c>
      <c r="E114" s="13">
        <v>18</v>
      </c>
      <c r="F114" s="14">
        <f t="shared" si="1"/>
        <v>-8.2686567164179081</v>
      </c>
      <c r="G114" s="14">
        <f ca="1">IFERROR(__xludf.DUMMYFUNCTION("IFERROR(
  AVERAGE(
    FILTER(
      $D$2:$D114,
      $A$2:$A114 &gt;= A114 - 30,
      $A$2:$A114 &lt;= A114,
      $D$2:$D114 &gt; 0
    )
  ),
"""")
"),22.4129674115511)</f>
        <v>22.412967411551101</v>
      </c>
      <c r="H114" s="14"/>
    </row>
    <row r="115" spans="1:8" ht="15.75" customHeight="1" x14ac:dyDescent="0.25">
      <c r="A115" s="9">
        <v>46014</v>
      </c>
      <c r="B115" s="10">
        <v>228</v>
      </c>
      <c r="C115" s="10">
        <v>48</v>
      </c>
      <c r="D115" s="11">
        <f t="shared" si="0"/>
        <v>21.052631578947366</v>
      </c>
      <c r="E115" s="13">
        <v>18</v>
      </c>
      <c r="F115" s="14">
        <f t="shared" si="1"/>
        <v>-3.0526315789473664</v>
      </c>
      <c r="G115" s="14">
        <f ca="1">IFERROR(__xludf.DUMMYFUNCTION("IFERROR(
  AVERAGE(
    FILTER(
      $D$2:$D115,
      $A$2:$A115 &gt;= A115 - 30,
      $A$2:$A115 &lt;= A115,
      $D$2:$D115 &gt; 0
    )
  ),
"""")
"),22.7527591987113)</f>
        <v>22.752759198711299</v>
      </c>
      <c r="H115" s="14"/>
    </row>
    <row r="116" spans="1:8" ht="15.75" customHeight="1" x14ac:dyDescent="0.25">
      <c r="A116" s="9">
        <v>46015</v>
      </c>
      <c r="B116" s="10">
        <v>233</v>
      </c>
      <c r="C116" s="10">
        <v>40</v>
      </c>
      <c r="D116" s="11">
        <f t="shared" si="0"/>
        <v>17.167381974248926</v>
      </c>
      <c r="E116" s="13">
        <v>18</v>
      </c>
      <c r="F116" s="14">
        <f t="shared" si="1"/>
        <v>0.83261802575107424</v>
      </c>
      <c r="G116" s="14">
        <f ca="1">IFERROR(__xludf.DUMMYFUNCTION("IFERROR(
  AVERAGE(
    FILTER(
      $D$2:$D116,
      $A$2:$A116 &gt;= A116 - 30,
      $A$2:$A116 &lt;= A116,
      $D$2:$D116 &gt; 0
    )
  ),
"""")
"),22.5601599840747)</f>
        <v>22.560159984074701</v>
      </c>
      <c r="H116" s="14"/>
    </row>
    <row r="117" spans="1:8" ht="15.75" customHeight="1" x14ac:dyDescent="0.25">
      <c r="A117" s="9">
        <v>46016</v>
      </c>
      <c r="B117" s="10">
        <v>319</v>
      </c>
      <c r="C117" s="10">
        <v>61</v>
      </c>
      <c r="D117" s="11">
        <f t="shared" si="0"/>
        <v>19.122257053291534</v>
      </c>
      <c r="E117" s="13">
        <v>18</v>
      </c>
      <c r="F117" s="14">
        <f t="shared" si="1"/>
        <v>-1.1222570532915341</v>
      </c>
      <c r="G117" s="14">
        <f ca="1">IFERROR(__xludf.DUMMYFUNCTION("IFERROR(
  AVERAGE(
    FILTER(
      $D$2:$D117,
      $A$2:$A117 &gt;= A117 - 30,
      $A$2:$A117 &lt;= A117,
      $D$2:$D117 &gt; 0
    )
  ),
"""")
"),22.5892181620339)</f>
        <v>22.589218162033902</v>
      </c>
      <c r="H117" s="14"/>
    </row>
    <row r="118" spans="1:8" ht="15.75" customHeight="1" x14ac:dyDescent="0.25">
      <c r="A118" s="9">
        <v>46017</v>
      </c>
      <c r="B118" s="10">
        <v>870</v>
      </c>
      <c r="C118" s="10">
        <v>170</v>
      </c>
      <c r="D118" s="11">
        <f t="shared" si="0"/>
        <v>19.540229885057471</v>
      </c>
      <c r="E118" s="13">
        <v>18</v>
      </c>
      <c r="F118" s="14">
        <f t="shared" si="1"/>
        <v>-1.5402298850574709</v>
      </c>
      <c r="G118" s="14">
        <f ca="1">IFERROR(__xludf.DUMMYFUNCTION("IFERROR(
  AVERAGE(
    FILTER(
      $D$2:$D118,
      $A$2:$A118 &gt;= A118 - 30,
      $A$2:$A118 &lt;= A118,
      $D$2:$D118 &gt; 0
    )
  ),
"""")
"),22.7325152137733)</f>
        <v>22.732515213773301</v>
      </c>
      <c r="H118" s="14"/>
    </row>
    <row r="119" spans="1:8" ht="15.75" customHeight="1" x14ac:dyDescent="0.25">
      <c r="A119" s="9">
        <v>46018</v>
      </c>
      <c r="B119" s="10">
        <v>1108</v>
      </c>
      <c r="C119" s="10">
        <v>150</v>
      </c>
      <c r="D119" s="11">
        <f t="shared" si="0"/>
        <v>13.537906137184116</v>
      </c>
      <c r="E119" s="13">
        <v>18</v>
      </c>
      <c r="F119" s="14">
        <f t="shared" si="1"/>
        <v>4.4620938628158839</v>
      </c>
      <c r="G119" s="14">
        <f ca="1">IFERROR(__xludf.DUMMYFUNCTION("IFERROR(
  AVERAGE(
    FILTER(
      $D$2:$D119,
      $A$2:$A119 &gt;= A119 - 30,
      $A$2:$A119 &lt;= A119,
      $D$2:$D119 &gt; 0
    )
  ),
"""")
"),22.7403540390287)</f>
        <v>22.740354039028698</v>
      </c>
      <c r="H119" s="14"/>
    </row>
    <row r="120" spans="1:8" ht="15.75" customHeight="1" x14ac:dyDescent="0.25">
      <c r="A120" s="9">
        <v>46019</v>
      </c>
      <c r="B120" s="10">
        <v>410</v>
      </c>
      <c r="C120" s="10">
        <v>60</v>
      </c>
      <c r="D120" s="11">
        <f t="shared" si="0"/>
        <v>14.634146341463413</v>
      </c>
      <c r="E120" s="13">
        <v>18</v>
      </c>
      <c r="F120" s="14">
        <f t="shared" si="1"/>
        <v>3.3658536585365866</v>
      </c>
      <c r="G120" s="14">
        <f ca="1">IFERROR(__xludf.DUMMYFUNCTION("IFERROR(
  AVERAGE(
    FILTER(
      $D$2:$D120,
      $A$2:$A120 &gt;= A120 - 30,
      $A$2:$A120 &lt;= A120,
      $D$2:$D120 &gt; 0
    )
  ),
"""")
"),22.5636672054195)</f>
        <v>22.563667205419499</v>
      </c>
      <c r="H120" s="14"/>
    </row>
    <row r="121" spans="1:8" ht="15.75" customHeight="1" x14ac:dyDescent="0.25">
      <c r="A121" s="9">
        <v>46020</v>
      </c>
      <c r="B121" s="10">
        <v>572</v>
      </c>
      <c r="C121" s="10">
        <v>181</v>
      </c>
      <c r="D121" s="11">
        <f t="shared" si="0"/>
        <v>31.643356643356647</v>
      </c>
      <c r="E121" s="13">
        <v>18</v>
      </c>
      <c r="F121" s="14">
        <f t="shared" si="1"/>
        <v>-13.643356643356647</v>
      </c>
      <c r="G121" s="14">
        <f ca="1">IFERROR(__xludf.DUMMYFUNCTION("IFERROR(
  AVERAGE(
    FILTER(
      $D$2:$D121,
      $A$2:$A121 &gt;= A121 - 30,
      $A$2:$A121 &lt;= A121,
      $D$2:$D121 &gt; 0
    )
  ),
"""")
"),22.991687461026)</f>
        <v>22.991687461026</v>
      </c>
      <c r="H121" s="14"/>
    </row>
    <row r="122" spans="1:8" ht="15.75" customHeight="1" x14ac:dyDescent="0.25">
      <c r="A122" s="9">
        <v>46021</v>
      </c>
      <c r="B122" s="10">
        <v>1045</v>
      </c>
      <c r="C122" s="10">
        <v>150</v>
      </c>
      <c r="D122" s="11">
        <f t="shared" si="0"/>
        <v>14.354066985645932</v>
      </c>
      <c r="E122" s="13">
        <v>18</v>
      </c>
      <c r="F122" s="14">
        <f t="shared" si="1"/>
        <v>3.6459330143540676</v>
      </c>
      <c r="G122" s="14">
        <f ca="1">IFERROR(__xludf.DUMMYFUNCTION("IFERROR(
  AVERAGE(
    FILTER(
      $D$2:$D122,
      $A$2:$A122 &gt;= A122 - 30,
      $A$2:$A122 &lt;= A122,
      $D$2:$D122 &gt; 0
    )
  ),
"""")
"),22.9444735487982)</f>
        <v>22.9444735487982</v>
      </c>
      <c r="H122" s="14"/>
    </row>
    <row r="123" spans="1:8" ht="15.75" customHeight="1" x14ac:dyDescent="0.25">
      <c r="A123" s="9">
        <v>46022</v>
      </c>
      <c r="B123" s="10">
        <v>650</v>
      </c>
      <c r="C123" s="10">
        <v>91</v>
      </c>
      <c r="D123" s="11">
        <f t="shared" si="0"/>
        <v>14.000000000000002</v>
      </c>
      <c r="E123" s="13">
        <v>18</v>
      </c>
      <c r="F123" s="14">
        <f t="shared" si="1"/>
        <v>3.9999999999999982</v>
      </c>
      <c r="G123" s="14">
        <f ca="1">IFERROR(__xludf.DUMMYFUNCTION("IFERROR(
  AVERAGE(
    FILTER(
      $D$2:$D123,
      $A$2:$A123 &gt;= A123 - 30,
      $A$2:$A123 &lt;= A123,
      $D$2:$D123 &gt; 0
    )
  ),
"""")
"),22.6463244305049)</f>
        <v>22.646324430504901</v>
      </c>
      <c r="H123" s="14"/>
    </row>
    <row r="124" spans="1:8" ht="15.75" customHeight="1" x14ac:dyDescent="0.25">
      <c r="A124" s="9">
        <v>46023</v>
      </c>
      <c r="B124" s="10">
        <v>650</v>
      </c>
      <c r="C124" s="10">
        <v>91</v>
      </c>
      <c r="D124" s="11">
        <f t="shared" si="0"/>
        <v>14.000000000000002</v>
      </c>
      <c r="E124" s="13">
        <v>18</v>
      </c>
      <c r="F124" s="14">
        <f t="shared" si="1"/>
        <v>3.9999999999999982</v>
      </c>
      <c r="G124" s="14">
        <f ca="1">IFERROR(__xludf.DUMMYFUNCTION("IFERROR(
  AVERAGE(
    FILTER(
      $D$2:$D124,
      $A$2:$A124 &gt;= A124 - 30,
      $A$2:$A124 &lt;= A124,
      $D$2:$D124 &gt; 0
    )
  ),
"""")
"),22.5709444912952)</f>
        <v>22.570944491295201</v>
      </c>
      <c r="H124" s="14"/>
    </row>
    <row r="125" spans="1:8" ht="15.75" customHeight="1" x14ac:dyDescent="0.25">
      <c r="A125" s="9">
        <v>46024</v>
      </c>
      <c r="B125" s="10">
        <v>162</v>
      </c>
      <c r="C125" s="10">
        <v>8</v>
      </c>
      <c r="D125" s="11">
        <f t="shared" si="0"/>
        <v>4.9382716049382713</v>
      </c>
      <c r="E125" s="13">
        <v>18</v>
      </c>
      <c r="F125" s="14">
        <f t="shared" si="1"/>
        <v>13.061728395061728</v>
      </c>
      <c r="G125" s="14">
        <f ca="1">IFERROR(__xludf.DUMMYFUNCTION("IFERROR(
  AVERAGE(
    FILTER(
      $D$2:$D125,
      $A$2:$A125 &gt;= A125 - 30,
      $A$2:$A125 &lt;= A125,
      $D$2:$D125 &gt; 0
    )
  ),
"""")
"),22.1799979892376)</f>
        <v>22.179997989237599</v>
      </c>
      <c r="H125" s="14"/>
    </row>
    <row r="126" spans="1:8" ht="15.75" customHeight="1" x14ac:dyDescent="0.25">
      <c r="A126" s="9">
        <v>46025</v>
      </c>
      <c r="B126" s="10">
        <v>552</v>
      </c>
      <c r="C126" s="10">
        <v>63</v>
      </c>
      <c r="D126" s="11">
        <f t="shared" si="0"/>
        <v>11.413043478260869</v>
      </c>
      <c r="E126" s="13">
        <v>18</v>
      </c>
      <c r="F126" s="14">
        <f t="shared" si="1"/>
        <v>6.5869565217391308</v>
      </c>
      <c r="G126" s="14">
        <f ca="1">IFERROR(__xludf.DUMMYFUNCTION("IFERROR(
  AVERAGE(
    FILTER(
      $D$2:$D126,
      $A$2:$A126 &gt;= A126 - 30,
      $A$2:$A126 &lt;= A126,
      $D$2:$D126 &gt; 0
    )
  ),
"""")
"),21.835385690867)</f>
        <v>21.835385690867</v>
      </c>
      <c r="H126" s="14"/>
    </row>
    <row r="127" spans="1:8" ht="15.75" customHeight="1" x14ac:dyDescent="0.25">
      <c r="A127" s="9">
        <v>46026</v>
      </c>
      <c r="B127" s="10">
        <v>0</v>
      </c>
      <c r="C127" s="10">
        <v>0</v>
      </c>
      <c r="D127" s="11" t="e">
        <f t="shared" si="0"/>
        <v>#DIV/0!</v>
      </c>
      <c r="E127" s="13">
        <v>18</v>
      </c>
      <c r="F127" s="14" t="e">
        <f t="shared" si="1"/>
        <v>#DIV/0!</v>
      </c>
      <c r="G127" s="14">
        <f ca="1">IFERROR(__xludf.DUMMYFUNCTION("IFERROR(
  AVERAGE(
    FILTER(
      $D$2:$D127,
      $A$2:$A127 &gt;= A127 - 30,
      $A$2:$A127 &lt;= A127,
      $D$2:$D127 &gt; 0
    )
  ),
"""")
"),21.8789704191235)</f>
        <v>21.878970419123501</v>
      </c>
      <c r="H127" s="14"/>
    </row>
    <row r="128" spans="1:8" ht="15.75" customHeight="1" x14ac:dyDescent="0.25">
      <c r="A128" s="9">
        <v>46027</v>
      </c>
      <c r="B128" s="10">
        <v>810</v>
      </c>
      <c r="C128" s="10">
        <v>103</v>
      </c>
      <c r="D128" s="11">
        <f t="shared" si="0"/>
        <v>12.716049382716049</v>
      </c>
      <c r="E128" s="13">
        <v>18</v>
      </c>
      <c r="F128" s="14">
        <f t="shared" si="1"/>
        <v>5.283950617283951</v>
      </c>
      <c r="G128" s="14">
        <f ca="1">IFERROR(__xludf.DUMMYFUNCTION("IFERROR(
  AVERAGE(
    FILTER(
      $D$2:$D128,
      $A$2:$A128 &gt;= A128 - 30,
      $A$2:$A128 &lt;= A128,
      $D$2:$D128 &gt; 0
    )
  ),
"""")
"),21.5040154464674)</f>
        <v>21.504015446467399</v>
      </c>
      <c r="H128" s="14"/>
    </row>
    <row r="129" spans="1:8" ht="15.75" customHeight="1" x14ac:dyDescent="0.25">
      <c r="A129" s="9">
        <v>46028</v>
      </c>
      <c r="B129" s="10">
        <v>439</v>
      </c>
      <c r="C129" s="10">
        <v>100</v>
      </c>
      <c r="D129" s="11">
        <f t="shared" si="0"/>
        <v>22.779043280182233</v>
      </c>
      <c r="E129" s="13">
        <v>18</v>
      </c>
      <c r="F129" s="14">
        <f t="shared" si="1"/>
        <v>-4.7790432801822327</v>
      </c>
      <c r="G129" s="14">
        <f ca="1">IFERROR(__xludf.DUMMYFUNCTION("IFERROR(
  AVERAGE(
    FILTER(
      $D$2:$D129,
      $A$2:$A129 &gt;= A129 - 30,
      $A$2:$A129 &lt;= A129,
      $D$2:$D129 &gt; 0
    )
  ),
"""")
"),21.2848838951731)</f>
        <v>21.284883895173099</v>
      </c>
      <c r="H129" s="14"/>
    </row>
    <row r="130" spans="1:8" ht="15.75" customHeight="1" x14ac:dyDescent="0.25">
      <c r="A130" s="9">
        <v>46029</v>
      </c>
      <c r="B130" s="10">
        <v>245</v>
      </c>
      <c r="C130" s="10">
        <v>80</v>
      </c>
      <c r="D130" s="11">
        <f t="shared" si="0"/>
        <v>32.653061224489797</v>
      </c>
      <c r="E130" s="13">
        <v>18</v>
      </c>
      <c r="F130" s="14">
        <f t="shared" si="1"/>
        <v>-14.653061224489797</v>
      </c>
      <c r="G130" s="14">
        <f ca="1">IFERROR(__xludf.DUMMYFUNCTION("IFERROR(
  AVERAGE(
    FILTER(
      $D$2:$D130,
      $A$2:$A130 &gt;= A130 - 30,
      $A$2:$A130 &lt;= A130,
      $D$2:$D130 &gt; 0
    )
  ),
"""")
"),21.4913112937187)</f>
        <v>21.491311293718699</v>
      </c>
      <c r="H130" s="14"/>
    </row>
    <row r="131" spans="1:8" ht="15.75" customHeight="1" x14ac:dyDescent="0.25">
      <c r="A131" s="9">
        <v>46030</v>
      </c>
      <c r="B131" s="10">
        <v>585</v>
      </c>
      <c r="C131" s="10">
        <v>110</v>
      </c>
      <c r="D131" s="11">
        <f t="shared" si="0"/>
        <v>18.803418803418804</v>
      </c>
      <c r="E131" s="13">
        <v>18</v>
      </c>
      <c r="F131" s="14">
        <f t="shared" si="1"/>
        <v>-0.80341880341880412</v>
      </c>
      <c r="G131" s="14">
        <f ca="1">IFERROR(__xludf.DUMMYFUNCTION("IFERROR(
  AVERAGE(
    FILTER(
      $D$2:$D131,
      $A$2:$A131 &gt;= A131 - 30,
      $A$2:$A131 &lt;= A131,
      $D$2:$D131 &gt; 0
    )
  ),
"""")
"),20.9628190858102)</f>
        <v>20.962819085810199</v>
      </c>
      <c r="H131" s="14"/>
    </row>
    <row r="132" spans="1:8" ht="15.75" customHeight="1" x14ac:dyDescent="0.25">
      <c r="A132" s="9">
        <v>46031</v>
      </c>
      <c r="B132" s="10">
        <v>863</v>
      </c>
      <c r="C132" s="10">
        <v>165</v>
      </c>
      <c r="D132" s="11">
        <f t="shared" si="0"/>
        <v>19.119351100811123</v>
      </c>
      <c r="E132" s="13">
        <v>18</v>
      </c>
      <c r="F132" s="14">
        <f t="shared" si="1"/>
        <v>-1.119351100811123</v>
      </c>
      <c r="G132" s="14">
        <f ca="1">IFERROR(__xludf.DUMMYFUNCTION("IFERROR(
  AVERAGE(
    FILTER(
      $D$2:$D132,
      $A$2:$A132 &gt;= A132 - 30,
      $A$2:$A132 &lt;= A132,
      $D$2:$D132 &gt; 0
    )
  ),
"""")
"),20.8604159825316)</f>
        <v>20.860415982531599</v>
      </c>
      <c r="H132" s="14"/>
    </row>
    <row r="133" spans="1:8" ht="15.75" customHeight="1" x14ac:dyDescent="0.25">
      <c r="A133" s="9">
        <v>46032</v>
      </c>
      <c r="B133" s="10">
        <v>1260</v>
      </c>
      <c r="C133" s="10">
        <v>105</v>
      </c>
      <c r="D133" s="11">
        <f t="shared" si="0"/>
        <v>8.3333333333333321</v>
      </c>
      <c r="E133" s="13">
        <v>18</v>
      </c>
      <c r="F133" s="14">
        <f t="shared" si="1"/>
        <v>9.6666666666666679</v>
      </c>
      <c r="G133" s="14">
        <f ca="1">IFERROR(__xludf.DUMMYFUNCTION("IFERROR(
  AVERAGE(
    FILTER(
      $D$2:$D133,
      $A$2:$A133 &gt;= A133 - 30,
      $A$2:$A133 &lt;= A133,
      $D$2:$D133 &gt; 0
    )
  ),
"""")
"),20.3825132226816)</f>
        <v>20.382513222681599</v>
      </c>
      <c r="H133" s="14"/>
    </row>
    <row r="134" spans="1:8" ht="15.75" customHeight="1" x14ac:dyDescent="0.25">
      <c r="A134" s="9">
        <v>46033</v>
      </c>
      <c r="B134" s="10">
        <v>345</v>
      </c>
      <c r="C134" s="10">
        <v>30</v>
      </c>
      <c r="D134" s="11">
        <f t="shared" si="0"/>
        <v>8.695652173913043</v>
      </c>
      <c r="E134" s="13">
        <v>18</v>
      </c>
      <c r="F134" s="14">
        <f t="shared" si="1"/>
        <v>9.304347826086957</v>
      </c>
      <c r="G134" s="14">
        <f ca="1">IFERROR(__xludf.DUMMYFUNCTION("IFERROR(
  AVERAGE(
    FILTER(
      $D$2:$D134,
      $A$2:$A134 &gt;= A134 - 30,
      $A$2:$A134 &lt;= A134,
      $D$2:$D134 &gt; 0
    )
  ),
"""")
"),19.7206582205344)</f>
        <v>19.7206582205344</v>
      </c>
      <c r="H134" s="14"/>
    </row>
    <row r="135" spans="1:8" ht="15.75" customHeight="1" x14ac:dyDescent="0.25">
      <c r="A135" s="9">
        <v>46034</v>
      </c>
      <c r="B135" s="10">
        <v>1101</v>
      </c>
      <c r="C135" s="10">
        <v>171</v>
      </c>
      <c r="D135" s="11">
        <f t="shared" si="0"/>
        <v>15.531335149863759</v>
      </c>
      <c r="E135" s="13">
        <v>18</v>
      </c>
      <c r="F135" s="14">
        <f t="shared" si="1"/>
        <v>2.4686648501362409</v>
      </c>
      <c r="G135" s="14">
        <f ca="1">IFERROR(__xludf.DUMMYFUNCTION("IFERROR(
  AVERAGE(
    FILTER(
      $D$2:$D135,
      $A$2:$A135 &gt;= A135 - 30,
      $A$2:$A135 &lt;= A135,
      $D$2:$D135 &gt; 0
    )
  ),
"""")
"),19.3912693622493)</f>
        <v>19.3912693622493</v>
      </c>
      <c r="H135" s="14"/>
    </row>
    <row r="136" spans="1:8" ht="15.75" customHeight="1" x14ac:dyDescent="0.25">
      <c r="A136" s="9">
        <v>46035</v>
      </c>
      <c r="B136" s="10">
        <v>1353</v>
      </c>
      <c r="C136" s="10">
        <v>141</v>
      </c>
      <c r="D136" s="11">
        <f t="shared" si="0"/>
        <v>10.421286031042129</v>
      </c>
      <c r="E136" s="13">
        <v>18</v>
      </c>
      <c r="F136" s="14">
        <f t="shared" si="1"/>
        <v>7.5787139689578709</v>
      </c>
      <c r="G136" s="14">
        <f ca="1">IFERROR(__xludf.DUMMYFUNCTION("IFERROR(
  AVERAGE(
    FILTER(
      $D$2:$D136,
      $A$2:$A136 &gt;= A136 - 30,
      $A$2:$A136 &lt;= A136,
      $D$2:$D136 &gt; 0
    )
  ),
"""")
"),19.1731079329861)</f>
        <v>19.173107932986099</v>
      </c>
      <c r="H136" s="14"/>
    </row>
    <row r="137" spans="1:8" ht="15.75" customHeight="1" x14ac:dyDescent="0.25">
      <c r="A137" s="9">
        <v>46036</v>
      </c>
      <c r="B137" s="10">
        <v>1224</v>
      </c>
      <c r="C137" s="10">
        <v>122</v>
      </c>
      <c r="D137" s="11">
        <f t="shared" si="0"/>
        <v>9.9673202614379086</v>
      </c>
      <c r="E137" s="13">
        <v>18</v>
      </c>
      <c r="F137" s="14">
        <f t="shared" si="1"/>
        <v>8.0326797385620914</v>
      </c>
      <c r="G137" s="14">
        <f ca="1">IFERROR(__xludf.DUMMYFUNCTION("IFERROR(
  AVERAGE(
    FILTER(
      $D$2:$D137,
      $A$2:$A137 &gt;= A137 - 30,
      $A$2:$A137 &lt;= A137,
      $D$2:$D137 &gt; 0
    )
  ),
"""")
"),18.8662483439345)</f>
        <v>18.866248343934501</v>
      </c>
      <c r="H137" s="14"/>
    </row>
    <row r="138" spans="1:8" ht="15.75" customHeight="1" x14ac:dyDescent="0.25">
      <c r="A138" s="9">
        <v>46037</v>
      </c>
      <c r="B138" s="10">
        <v>1116</v>
      </c>
      <c r="C138" s="10">
        <v>208</v>
      </c>
      <c r="D138" s="11">
        <f t="shared" si="0"/>
        <v>18.637992831541219</v>
      </c>
      <c r="E138" s="13">
        <v>18</v>
      </c>
      <c r="F138" s="14">
        <f t="shared" si="1"/>
        <v>-0.63799283154121866</v>
      </c>
      <c r="G138" s="14">
        <f ca="1">IFERROR(__xludf.DUMMYFUNCTION("IFERROR(
  AVERAGE(
    FILTER(
      $D$2:$D138,
      $A$2:$A138 &gt;= A138 - 30,
      $A$2:$A138 &lt;= A138,
      $D$2:$D138 &gt; 0
    )
  ),
"""")
"),18.1757447806372)</f>
        <v>18.175744780637199</v>
      </c>
      <c r="H138" s="14"/>
    </row>
    <row r="139" spans="1:8" ht="15.75" customHeight="1" x14ac:dyDescent="0.25">
      <c r="A139" s="9">
        <v>46038</v>
      </c>
      <c r="B139" s="10">
        <v>1547</v>
      </c>
      <c r="C139" s="10">
        <v>250</v>
      </c>
      <c r="D139" s="11">
        <f t="shared" si="0"/>
        <v>16.160310277957336</v>
      </c>
      <c r="E139" s="13">
        <v>18</v>
      </c>
      <c r="F139" s="14">
        <f t="shared" si="1"/>
        <v>1.8396897220426638</v>
      </c>
      <c r="G139" s="14">
        <f ca="1">IFERROR(__xludf.DUMMYFUNCTION("IFERROR(
  AVERAGE(
    FILTER(
      $D$2:$D139,
      $A$2:$A139 &gt;= A139 - 30,
      $A$2:$A139 &lt;= A139,
      $D$2:$D139 &gt; 0
    )
  ),
"""")
"),17.8490371745179)</f>
        <v>17.8490371745179</v>
      </c>
      <c r="H139" s="14"/>
    </row>
    <row r="140" spans="1:8" ht="15.75" customHeight="1" x14ac:dyDescent="0.25">
      <c r="A140" s="9">
        <v>46039</v>
      </c>
      <c r="B140" s="10">
        <v>1449</v>
      </c>
      <c r="C140" s="10">
        <v>186.8</v>
      </c>
      <c r="D140" s="11">
        <f t="shared" si="0"/>
        <v>12.891649413388546</v>
      </c>
      <c r="E140" s="13">
        <v>18</v>
      </c>
      <c r="F140" s="14">
        <f t="shared" si="1"/>
        <v>5.1083505866114542</v>
      </c>
      <c r="G140" s="14">
        <f ca="1">IFERROR(__xludf.DUMMYFUNCTION("IFERROR(
  AVERAGE(
    FILTER(
      $D$2:$D140,
      $A$2:$A140 &gt;= A140 - 30,
      $A$2:$A140 &lt;= A140,
      $D$2:$D140 &gt; 0
    )
  ),
"""")
"),16.9805132075957)</f>
        <v>16.980513207595699</v>
      </c>
      <c r="H140" s="14"/>
    </row>
    <row r="141" spans="1:8" ht="15.75" customHeight="1" x14ac:dyDescent="0.25">
      <c r="A141" s="9">
        <v>46040</v>
      </c>
      <c r="B141" s="10">
        <v>721</v>
      </c>
      <c r="C141" s="10">
        <v>83</v>
      </c>
      <c r="D141" s="11">
        <f t="shared" si="0"/>
        <v>11.511789181692095</v>
      </c>
      <c r="E141" s="13">
        <v>18</v>
      </c>
      <c r="F141" s="14">
        <f t="shared" si="1"/>
        <v>6.4882108183079055</v>
      </c>
      <c r="G141" s="14">
        <f ca="1">IFERROR(__xludf.DUMMYFUNCTION("IFERROR(
  AVERAGE(
    FILTER(
      $D$2:$D141,
      $A$2:$A141 &gt;= A141 - 30,
      $A$2:$A141 &lt;= A141,
      $D$2:$D141 &gt; 0
    )
  ),
"""")
"),16.6106163252463)</f>
        <v>16.610616325246301</v>
      </c>
      <c r="H141" s="14"/>
    </row>
    <row r="142" spans="1:8" ht="15.75" customHeight="1" x14ac:dyDescent="0.25">
      <c r="A142" s="9">
        <v>46041</v>
      </c>
      <c r="B142" s="10">
        <v>737</v>
      </c>
      <c r="C142" s="10">
        <v>75</v>
      </c>
      <c r="D142" s="11">
        <f t="shared" si="0"/>
        <v>10.176390773405698</v>
      </c>
      <c r="E142" s="13">
        <v>18</v>
      </c>
      <c r="F142" s="14">
        <f t="shared" si="1"/>
        <v>7.8236092265943018</v>
      </c>
      <c r="G142" s="14">
        <f ca="1">IFERROR(__xludf.DUMMYFUNCTION("IFERROR(
  AVERAGE(
    FILTER(
      $D$2:$D142,
      $A$2:$A142 &gt;= A142 - 30,
      $A$2:$A142 &lt;= A142,
      $D$2:$D142 &gt; 0
    )
  ),
"""")
"),16.3105599446338)</f>
        <v>16.310559944633798</v>
      </c>
      <c r="H142" s="14"/>
    </row>
    <row r="143" spans="1:8" ht="15.75" customHeight="1" x14ac:dyDescent="0.25">
      <c r="A143" s="9">
        <v>46042</v>
      </c>
      <c r="B143" s="10">
        <v>546</v>
      </c>
      <c r="C143" s="10">
        <v>96</v>
      </c>
      <c r="D143" s="11">
        <f t="shared" si="0"/>
        <v>17.582417582417584</v>
      </c>
      <c r="E143" s="13">
        <v>18</v>
      </c>
      <c r="F143" s="14">
        <f t="shared" si="1"/>
        <v>0.4175824175824161</v>
      </c>
      <c r="G143" s="14">
        <f ca="1">IFERROR(__xludf.DUMMYFUNCTION("IFERROR(
  AVERAGE(
    FILTER(
      $D$2:$D143,
      $A$2:$A143 &gt;= A143 - 30,
      $A$2:$A143 &lt;= A143,
      $D$2:$D143 &gt; 0
    )
  ),
"""")
"),16.4068640209664)</f>
        <v>16.406864020966399</v>
      </c>
      <c r="H143" s="14"/>
    </row>
    <row r="144" spans="1:8" ht="15.75" customHeight="1" x14ac:dyDescent="0.25">
      <c r="A144" s="9">
        <v>46043</v>
      </c>
      <c r="B144" s="10">
        <v>721</v>
      </c>
      <c r="C144" s="10">
        <v>118</v>
      </c>
      <c r="D144" s="11">
        <f t="shared" si="0"/>
        <v>16.366158113730929</v>
      </c>
      <c r="E144" s="13">
        <v>18</v>
      </c>
      <c r="F144" s="14">
        <f t="shared" si="1"/>
        <v>1.6338418862690709</v>
      </c>
      <c r="G144" s="14">
        <f ca="1">IFERROR(__xludf.DUMMYFUNCTION("IFERROR(
  AVERAGE(
    FILTER(
      $D$2:$D144,
      $A$2:$A144 &gt;= A144 - 30,
      $A$2:$A144 &lt;= A144,
      $D$2:$D144 &gt; 0
    )
  ),
"""")
"),16.1339502438051)</f>
        <v>16.133950243805099</v>
      </c>
      <c r="H144" s="14"/>
    </row>
    <row r="145" spans="1:8" ht="15.75" customHeight="1" x14ac:dyDescent="0.25">
      <c r="A145" s="9">
        <v>46044</v>
      </c>
      <c r="B145" s="10">
        <v>0</v>
      </c>
      <c r="C145" s="10">
        <v>0</v>
      </c>
      <c r="D145" s="11" t="e">
        <f t="shared" si="0"/>
        <v>#DIV/0!</v>
      </c>
      <c r="E145" s="13">
        <v>18</v>
      </c>
      <c r="F145" s="14" t="e">
        <f t="shared" si="1"/>
        <v>#DIV/0!</v>
      </c>
      <c r="G145" s="14">
        <f ca="1">IFERROR(__xludf.DUMMYFUNCTION("IFERROR(
  AVERAGE(
    FILTER(
      $D$2:$D145,
      $A$2:$A145 &gt;= A145 - 30,
      $A$2:$A145 &lt;= A145,
      $D$2:$D145 &gt; 0
    )
  ),
"""")
"),15.7844776068184)</f>
        <v>15.784477606818401</v>
      </c>
      <c r="H145" s="14"/>
    </row>
    <row r="146" spans="1:8" ht="15.75" customHeight="1" x14ac:dyDescent="0.25">
      <c r="A146" s="9">
        <v>46045</v>
      </c>
      <c r="B146" s="10">
        <v>701</v>
      </c>
      <c r="C146" s="10">
        <v>113</v>
      </c>
      <c r="D146" s="11">
        <f t="shared" si="0"/>
        <v>16.119828815977176</v>
      </c>
      <c r="E146" s="13">
        <v>18</v>
      </c>
      <c r="F146" s="14">
        <f t="shared" si="1"/>
        <v>1.8801711840228243</v>
      </c>
      <c r="G146" s="14">
        <f ca="1">IFERROR(__xludf.DUMMYFUNCTION("IFERROR(
  AVERAGE(
    FILTER(
      $D$2:$D146,
      $A$2:$A146 &gt;= A146 - 30,
      $A$2:$A146 &lt;= A146,
      $D$2:$D146 &gt; 0
    )
  ),
"""")
"),15.6143809598195)</f>
        <v>15.614380959819499</v>
      </c>
      <c r="H146" s="14"/>
    </row>
    <row r="147" spans="1:8" ht="15.75" customHeight="1" x14ac:dyDescent="0.25">
      <c r="A147" s="9">
        <v>46046</v>
      </c>
      <c r="B147" s="10">
        <v>760</v>
      </c>
      <c r="C147" s="10">
        <v>110</v>
      </c>
      <c r="D147" s="11">
        <f t="shared" si="0"/>
        <v>14.473684210526317</v>
      </c>
      <c r="E147" s="13">
        <v>18</v>
      </c>
      <c r="F147" s="14">
        <f t="shared" si="1"/>
        <v>3.5263157894736832</v>
      </c>
      <c r="G147" s="14">
        <f ca="1">IFERROR(__xludf.DUMMYFUNCTION("IFERROR(
  AVERAGE(
    FILTER(
      $D$2:$D147,
      $A$2:$A147 &gt;= A147 - 30,
      $A$2:$A147 &lt;= A147,
      $D$2:$D147 &gt; 0
    )
  ),
"""")
"),15.5214948300359)</f>
        <v>15.5214948300359</v>
      </c>
      <c r="H147" s="14"/>
    </row>
    <row r="148" spans="1:8" ht="15.75" customHeight="1" x14ac:dyDescent="0.25">
      <c r="A148" s="9">
        <v>46047</v>
      </c>
      <c r="B148" s="10">
        <v>297</v>
      </c>
      <c r="C148" s="10">
        <v>21</v>
      </c>
      <c r="D148" s="11">
        <f t="shared" si="0"/>
        <v>7.0707070707070701</v>
      </c>
      <c r="E148" s="13">
        <v>18</v>
      </c>
      <c r="F148" s="14">
        <f t="shared" si="1"/>
        <v>10.929292929292931</v>
      </c>
      <c r="G148" s="14">
        <f ca="1">IFERROR(__xludf.DUMMYFUNCTION("IFERROR(
  AVERAGE(
    FILTER(
      $D$2:$D148,
      $A$2:$A148 &gt;= A148 - 30,
      $A$2:$A148 &lt;= A148,
      $D$2:$D148 &gt; 0
    )
  ),
"""")
"),15.1059241409813)</f>
        <v>15.105924140981299</v>
      </c>
      <c r="H148" s="14"/>
    </row>
    <row r="149" spans="1:8" ht="15.75" customHeight="1" x14ac:dyDescent="0.25">
      <c r="A149" s="9">
        <v>46048</v>
      </c>
      <c r="B149" s="10">
        <v>0</v>
      </c>
      <c r="C149" s="10">
        <v>0</v>
      </c>
      <c r="D149" s="11" t="e">
        <f t="shared" si="0"/>
        <v>#DIV/0!</v>
      </c>
      <c r="E149" s="13">
        <v>18</v>
      </c>
      <c r="F149" s="14" t="e">
        <f t="shared" si="1"/>
        <v>#DIV/0!</v>
      </c>
      <c r="G149" s="14">
        <f ca="1">IFERROR(__xludf.DUMMYFUNCTION("IFERROR(
  AVERAGE(
    FILTER(
      $D$2:$D149,
      $A$2:$A149 &gt;= A149 - 30,
      $A$2:$A149 &lt;= A149,
      $D$2:$D149 &gt; 0
    )
  ),
"""")
"),14.9475560786929)</f>
        <v>14.9475560786929</v>
      </c>
      <c r="H149" s="14"/>
    </row>
    <row r="150" spans="1:8" ht="15.75" customHeight="1" x14ac:dyDescent="0.25">
      <c r="A150" s="9">
        <v>46049</v>
      </c>
      <c r="B150" s="10">
        <v>730</v>
      </c>
      <c r="C150" s="10">
        <v>95</v>
      </c>
      <c r="D150" s="11">
        <f t="shared" si="0"/>
        <v>13.013698630136986</v>
      </c>
      <c r="E150" s="13">
        <v>18</v>
      </c>
      <c r="F150" s="14">
        <f t="shared" si="1"/>
        <v>4.9863013698630141</v>
      </c>
      <c r="G150" s="14">
        <f ca="1">IFERROR(__xludf.DUMMYFUNCTION("IFERROR(
  AVERAGE(
    FILTER(
      $D$2:$D150,
      $A$2:$A150 &gt;= A150 - 30,
      $A$2:$A150 &lt;= A150,
      $D$2:$D150 &gt; 0
    )
  ),
"""")
"),14.9288343820126)</f>
        <v>14.928834382012599</v>
      </c>
      <c r="H150" s="14"/>
    </row>
    <row r="151" spans="1:8" ht="15.75" customHeight="1" x14ac:dyDescent="0.25">
      <c r="A151" s="9">
        <v>46050</v>
      </c>
      <c r="B151" s="10">
        <v>886</v>
      </c>
      <c r="C151" s="10">
        <v>146</v>
      </c>
      <c r="D151" s="11">
        <f t="shared" si="0"/>
        <v>16.478555304740404</v>
      </c>
      <c r="E151" s="13">
        <v>18</v>
      </c>
      <c r="F151" s="14">
        <f t="shared" si="1"/>
        <v>1.5214446952595964</v>
      </c>
      <c r="G151" s="14">
        <f ca="1">IFERROR(__xludf.DUMMYFUNCTION("IFERROR(
  AVERAGE(
    FILTER(
      $D$2:$D151,
      $A$2:$A151 &gt;= A151 - 30,
      $A$2:$A151 &lt;= A151,
      $D$2:$D151 &gt; 0
    )
  ),
"""")
"),14.9947061307011)</f>
        <v>14.9947061307011</v>
      </c>
      <c r="H151" s="14"/>
    </row>
    <row r="152" spans="1:8" ht="15.75" customHeight="1" x14ac:dyDescent="0.25">
      <c r="A152" s="9">
        <v>46051</v>
      </c>
      <c r="B152" s="10">
        <v>885</v>
      </c>
      <c r="C152" s="10">
        <v>125</v>
      </c>
      <c r="D152" s="11">
        <f t="shared" si="0"/>
        <v>14.124293785310735</v>
      </c>
      <c r="E152" s="13">
        <v>18</v>
      </c>
      <c r="F152" s="14">
        <f t="shared" si="1"/>
        <v>3.8757062146892647</v>
      </c>
      <c r="G152" s="14">
        <f ca="1">IFERROR(__xludf.DUMMYFUNCTION("IFERROR(
  AVERAGE(
    FILTER(
      $D$2:$D152,
      $A$2:$A152 &gt;= A152 - 30,
      $A$2:$A152 &lt;= A152,
      $D$2:$D152 &gt; 0
    )
  ),
"""")
"),14.3690253143423)</f>
        <v>14.3690253143423</v>
      </c>
      <c r="H152" s="14"/>
    </row>
    <row r="153" spans="1:8" ht="15.75" customHeight="1" x14ac:dyDescent="0.25">
      <c r="A153" s="9">
        <v>46052</v>
      </c>
      <c r="B153" s="10">
        <v>1060</v>
      </c>
      <c r="C153" s="10">
        <v>240</v>
      </c>
      <c r="D153" s="11">
        <f t="shared" si="0"/>
        <v>22.641509433962266</v>
      </c>
      <c r="E153" s="13">
        <v>18</v>
      </c>
      <c r="F153" s="14">
        <f t="shared" si="1"/>
        <v>-4.6415094339622662</v>
      </c>
      <c r="G153" s="14">
        <f ca="1">IFERROR(__xludf.DUMMYFUNCTION("IFERROR(
  AVERAGE(
    FILTER(
      $D$2:$D153,
      $A$2:$A153 &gt;= A153 - 30,
      $A$2:$A153 &lt;= A153,
      $D$2:$D153 &gt; 0
    )
  ),
"""")
"),14.6650054017822)</f>
        <v>14.665005401782199</v>
      </c>
      <c r="H153" s="14"/>
    </row>
    <row r="154" spans="1:8" ht="15.75" customHeight="1" x14ac:dyDescent="0.25">
      <c r="A154" s="9">
        <v>46053</v>
      </c>
      <c r="B154" s="10">
        <v>1148</v>
      </c>
      <c r="C154" s="10">
        <v>153</v>
      </c>
      <c r="D154" s="11">
        <f t="shared" si="0"/>
        <v>13.327526132404181</v>
      </c>
      <c r="E154" s="13">
        <v>18</v>
      </c>
      <c r="F154" s="14">
        <f t="shared" si="1"/>
        <v>4.6724738675958193</v>
      </c>
      <c r="G154" s="14">
        <f ca="1">IFERROR(__xludf.DUMMYFUNCTION("IFERROR(
  AVERAGE(
    FILTER(
      $D$2:$D154,
      $A$2:$A154 &gt;= A154 - 30,
      $A$2:$A154 &lt;= A154,
      $D$2:$D154 &gt; 0
    )
  ),
"""")
"),14.6409884779394)</f>
        <v>14.6409884779394</v>
      </c>
      <c r="H154" s="14"/>
    </row>
    <row r="155" spans="1:8" ht="15.75" customHeight="1" x14ac:dyDescent="0.25">
      <c r="A155" s="9">
        <v>46054</v>
      </c>
      <c r="B155" s="10">
        <v>0</v>
      </c>
      <c r="C155" s="10">
        <v>0</v>
      </c>
      <c r="D155" s="11" t="e">
        <f t="shared" si="0"/>
        <v>#DIV/0!</v>
      </c>
      <c r="E155" s="13">
        <v>18</v>
      </c>
      <c r="F155" s="14" t="e">
        <f t="shared" si="1"/>
        <v>#DIV/0!</v>
      </c>
      <c r="G155" s="14">
        <f ca="1">IFERROR(__xludf.DUMMYFUNCTION("IFERROR(
  AVERAGE(
    FILTER(
      $D$2:$D155,
      $A$2:$A155 &gt;= A155 - 30,
      $A$2:$A155 &lt;= A155,
      $D$2:$D155 &gt; 0
    )
  ),
"""")
"),14.6647287919372)</f>
        <v>14.6647287919372</v>
      </c>
      <c r="H155" s="14"/>
    </row>
    <row r="156" spans="1:8" ht="15.75" customHeight="1" x14ac:dyDescent="0.25">
      <c r="A156" s="9">
        <v>46055</v>
      </c>
      <c r="B156" s="10">
        <v>398</v>
      </c>
      <c r="C156" s="10">
        <v>26</v>
      </c>
      <c r="D156" s="11">
        <f t="shared" si="0"/>
        <v>6.5326633165829149</v>
      </c>
      <c r="E156" s="13">
        <v>18</v>
      </c>
      <c r="F156" s="14">
        <f t="shared" si="1"/>
        <v>11.467336683417084</v>
      </c>
      <c r="G156" s="14">
        <f ca="1">IFERROR(__xludf.DUMMYFUNCTION("IFERROR(
  AVERAGE(
    FILTER(
      $D$2:$D156,
      $A$2:$A156 &gt;= A156 - 30,
      $A$2:$A156 &lt;= A156,
      $D$2:$D156 &gt; 0
    )
  ),
"""")
"),14.7237803368129)</f>
        <v>14.723780336812901</v>
      </c>
      <c r="H156" s="14"/>
    </row>
    <row r="157" spans="1:8" ht="15.75" customHeight="1" x14ac:dyDescent="0.25">
      <c r="A157" s="9">
        <v>46056</v>
      </c>
      <c r="B157" s="10">
        <v>891</v>
      </c>
      <c r="C157" s="10">
        <v>126</v>
      </c>
      <c r="D157" s="11">
        <f t="shared" si="0"/>
        <v>14.14141414141414</v>
      </c>
      <c r="E157" s="13">
        <v>18</v>
      </c>
      <c r="F157" s="14">
        <f t="shared" si="1"/>
        <v>3.8585858585858599</v>
      </c>
      <c r="G157" s="14">
        <f ca="1">IFERROR(__xludf.DUMMYFUNCTION("IFERROR(
  AVERAGE(
    FILTER(
      $D$2:$D157,
      $A$2:$A157 &gt;= A157 - 30,
      $A$2:$A157 &lt;= A157,
      $D$2:$D157 &gt; 0
    )
  ),
"""")
"),14.8248311021149)</f>
        <v>14.824831102114899</v>
      </c>
      <c r="H157" s="14"/>
    </row>
    <row r="158" spans="1:8" ht="15.75" customHeight="1" x14ac:dyDescent="0.25">
      <c r="A158" s="9">
        <v>46057</v>
      </c>
      <c r="B158" s="10">
        <v>684</v>
      </c>
      <c r="C158" s="10">
        <v>74</v>
      </c>
      <c r="D158" s="11">
        <f t="shared" si="0"/>
        <v>10.818713450292398</v>
      </c>
      <c r="E158" s="13">
        <v>18</v>
      </c>
      <c r="F158" s="14">
        <f t="shared" si="1"/>
        <v>7.1812865497076022</v>
      </c>
      <c r="G158" s="14">
        <f ca="1">IFERROR(__xludf.DUMMYFUNCTION("IFERROR(
  AVERAGE(
    FILTER(
      $D$2:$D158,
      $A$2:$A158 &gt;= A158 - 30,
      $A$2:$A158 &lt;= A158,
      $D$2:$D158 &gt; 0
    )
  ),
"""")
"),14.6817554716927)</f>
        <v>14.6817554716927</v>
      </c>
      <c r="H158" s="14"/>
    </row>
    <row r="159" spans="1:8" ht="15.75" customHeight="1" x14ac:dyDescent="0.25">
      <c r="A159" s="9">
        <v>46058</v>
      </c>
      <c r="B159" s="10">
        <v>723</v>
      </c>
      <c r="C159" s="10">
        <v>91</v>
      </c>
      <c r="D159" s="11">
        <f t="shared" si="0"/>
        <v>12.586445366528354</v>
      </c>
      <c r="E159" s="13">
        <v>18</v>
      </c>
      <c r="F159" s="14">
        <f t="shared" si="1"/>
        <v>5.4135546334716462</v>
      </c>
      <c r="G159" s="14">
        <f ca="1">IFERROR(__xludf.DUMMYFUNCTION("IFERROR(
  AVERAGE(
    FILTER(
      $D$2:$D159,
      $A$2:$A159 &gt;= A159 - 30,
      $A$2:$A159 &lt;= A159,
      $D$2:$D159 &gt; 0
    )
  ),
"""")
"),14.6771267568288)</f>
        <v>14.6771267568288</v>
      </c>
      <c r="H159" s="14"/>
    </row>
    <row r="160" spans="1:8" ht="15.75" customHeight="1" x14ac:dyDescent="0.25">
      <c r="A160" s="9">
        <v>46059</v>
      </c>
      <c r="B160" s="10">
        <v>724</v>
      </c>
      <c r="C160" s="10">
        <v>114</v>
      </c>
      <c r="D160" s="11">
        <f t="shared" si="0"/>
        <v>15.745856353591158</v>
      </c>
      <c r="E160" s="13">
        <v>18</v>
      </c>
      <c r="F160" s="14">
        <f t="shared" si="1"/>
        <v>2.254143646408842</v>
      </c>
      <c r="G160" s="14">
        <f ca="1">IFERROR(__xludf.DUMMYFUNCTION("IFERROR(
  AVERAGE(
    FILTER(
      $D$2:$D160,
      $A$2:$A160 &gt;= A160 - 30,
      $A$2:$A160 &lt;= A160,
      $D$2:$D160 &gt; 0
    )
  ),
"""")
"),14.4259415094506)</f>
        <v>14.425941509450601</v>
      </c>
      <c r="H160" s="14"/>
    </row>
    <row r="161" spans="1:8" ht="15.75" customHeight="1" x14ac:dyDescent="0.25">
      <c r="A161" s="9">
        <v>46060</v>
      </c>
      <c r="B161" s="10">
        <v>1856</v>
      </c>
      <c r="C161" s="10">
        <v>246</v>
      </c>
      <c r="D161" s="11">
        <f t="shared" si="0"/>
        <v>13.254310344827585</v>
      </c>
      <c r="E161" s="13">
        <v>18</v>
      </c>
      <c r="F161" s="14">
        <f t="shared" si="1"/>
        <v>4.7456896551724146</v>
      </c>
      <c r="G161" s="14">
        <f ca="1">IFERROR(__xludf.DUMMYFUNCTION("IFERROR(
  AVERAGE(
    FILTER(
      $D$2:$D161,
      $A$2:$A161 &gt;= A161 - 30,
      $A$2:$A161 &lt;= A161,
      $D$2:$D161 &gt; 0
    )
  ),
"""")
"),13.7331289780341)</f>
        <v>13.733128978034101</v>
      </c>
      <c r="H161" s="14"/>
    </row>
    <row r="162" spans="1:8" ht="15.75" customHeight="1" x14ac:dyDescent="0.25">
      <c r="A162" s="9">
        <v>46061</v>
      </c>
      <c r="B162" s="10">
        <v>393</v>
      </c>
      <c r="C162" s="10">
        <v>68</v>
      </c>
      <c r="D162" s="11">
        <f t="shared" si="0"/>
        <v>17.302798982188293</v>
      </c>
      <c r="E162" s="13">
        <v>18</v>
      </c>
      <c r="F162" s="14">
        <f t="shared" si="1"/>
        <v>0.6972010178117074</v>
      </c>
      <c r="G162" s="14">
        <f ca="1">IFERROR(__xludf.DUMMYFUNCTION("IFERROR(
  AVERAGE(
    FILTER(
      $D$2:$D162,
      $A$2:$A162 &gt;= A162 - 30,
      $A$2:$A162 &lt;= A162,
      $D$2:$D162 &gt; 0
    )
  ),
"""")
"),13.6795354129901)</f>
        <v>13.6795354129901</v>
      </c>
      <c r="H162" s="14"/>
    </row>
    <row r="163" spans="1:8" ht="15.75" customHeight="1" x14ac:dyDescent="0.25">
      <c r="A163" s="9">
        <v>46062</v>
      </c>
      <c r="B163" s="10">
        <v>1645</v>
      </c>
      <c r="C163" s="10">
        <v>125</v>
      </c>
      <c r="D163" s="11">
        <f t="shared" si="0"/>
        <v>7.598784194528875</v>
      </c>
      <c r="E163" s="13">
        <v>18</v>
      </c>
      <c r="F163" s="14">
        <f t="shared" si="1"/>
        <v>10.401215805471125</v>
      </c>
      <c r="G163" s="14">
        <f ca="1">IFERROR(__xludf.DUMMYFUNCTION("IFERROR(
  AVERAGE(
    FILTER(
      $D$2:$D163,
      $A$2:$A163 &gt;= A163 - 30,
      $A$2:$A163 &lt;= A163,
      $D$2:$D163 &gt; 0
    )
  ),
"""")
"),13.2680865949086)</f>
        <v>13.268086594908601</v>
      </c>
      <c r="H163" s="14"/>
    </row>
    <row r="164" spans="1:8" ht="15.75" customHeight="1" x14ac:dyDescent="0.25">
      <c r="A164" s="9">
        <v>46063</v>
      </c>
      <c r="B164" s="10">
        <v>774</v>
      </c>
      <c r="C164" s="10">
        <v>120</v>
      </c>
      <c r="D164" s="11">
        <f t="shared" si="0"/>
        <v>15.503875968992247</v>
      </c>
      <c r="E164" s="13">
        <v>18</v>
      </c>
      <c r="F164" s="14">
        <f t="shared" si="1"/>
        <v>2.4961240310077528</v>
      </c>
      <c r="G164" s="14">
        <f ca="1">IFERROR(__xludf.DUMMYFUNCTION("IFERROR(
  AVERAGE(
    FILTER(
      $D$2:$D164,
      $A$2:$A164 &gt;= A164 - 30,
      $A$2:$A164 &lt;= A164,
      $D$2:$D164 &gt; 0
    )
  ),
"""")
"),13.524177403325)</f>
        <v>13.524177403325</v>
      </c>
      <c r="H164" s="14"/>
    </row>
    <row r="165" spans="1:8" ht="15.75" customHeight="1" x14ac:dyDescent="0.25">
      <c r="A165" s="9">
        <v>46064</v>
      </c>
      <c r="B165" s="10">
        <v>752</v>
      </c>
      <c r="C165" s="10">
        <v>125</v>
      </c>
      <c r="D165" s="11">
        <f t="shared" si="0"/>
        <v>16.622340425531913</v>
      </c>
      <c r="E165" s="13">
        <v>18</v>
      </c>
      <c r="F165" s="14">
        <f t="shared" si="1"/>
        <v>1.3776595744680868</v>
      </c>
      <c r="G165" s="14">
        <f ca="1">IFERROR(__xludf.DUMMYFUNCTION("IFERROR(
  AVERAGE(
    FILTER(
      $D$2:$D165,
      $A$2:$A165 &gt;= A165 - 30,
      $A$2:$A165 &lt;= A165,
      $D$2:$D165 &gt; 0
    )
  ),
"""")
"),13.8072734123114)</f>
        <v>13.8072734123114</v>
      </c>
      <c r="H165" s="14"/>
    </row>
    <row r="166" spans="1:8" ht="15.75" customHeight="1" x14ac:dyDescent="0.25">
      <c r="A166" s="9">
        <v>46065</v>
      </c>
      <c r="B166" s="10">
        <v>1158</v>
      </c>
      <c r="C166" s="10">
        <v>116</v>
      </c>
      <c r="D166" s="11">
        <f t="shared" si="0"/>
        <v>10.01727115716753</v>
      </c>
      <c r="E166" s="13">
        <v>18</v>
      </c>
      <c r="F166" s="14">
        <f t="shared" si="1"/>
        <v>7.9827288428324703</v>
      </c>
      <c r="G166" s="14">
        <f ca="1">IFERROR(__xludf.DUMMYFUNCTION("IFERROR(
  AVERAGE(
    FILTER(
      $D$2:$D166,
      $A$2:$A166 &gt;= A166 - 30,
      $A$2:$A166 &lt;= A166,
      $D$2:$D166 &gt; 0
    )
  ),
"""")
"),13.6103425554294)</f>
        <v>13.6103425554294</v>
      </c>
      <c r="H166" s="14"/>
    </row>
    <row r="167" spans="1:8" ht="15.75" customHeight="1" x14ac:dyDescent="0.25">
      <c r="A167" s="9">
        <v>46066</v>
      </c>
      <c r="B167" s="10">
        <v>0</v>
      </c>
      <c r="C167" s="10">
        <v>0</v>
      </c>
      <c r="D167" s="11" t="e">
        <f t="shared" si="0"/>
        <v>#DIV/0!</v>
      </c>
      <c r="E167" s="13">
        <v>18</v>
      </c>
      <c r="F167" s="14" t="e">
        <f t="shared" si="1"/>
        <v>#DIV/0!</v>
      </c>
      <c r="G167" s="14">
        <f ca="1">IFERROR(__xludf.DUMMYFUNCTION("IFERROR(
  AVERAGE(
    FILTER(
      $D$2:$D167,
      $A$2:$A167 &gt;= A167 - 30,
      $A$2:$A167 &lt;= A167,
      $D$2:$D167 &gt; 0
    )
  ),
"""")
"),13.7284557600363)</f>
        <v>13.728455760036301</v>
      </c>
      <c r="H167" s="14"/>
    </row>
    <row r="168" spans="1:8" ht="15.75" customHeight="1" x14ac:dyDescent="0.25">
      <c r="A168" s="9">
        <v>46067</v>
      </c>
      <c r="B168" s="10">
        <v>2256</v>
      </c>
      <c r="C168" s="10">
        <v>217</v>
      </c>
      <c r="D168" s="11">
        <f t="shared" si="0"/>
        <v>9.6187943262411348</v>
      </c>
      <c r="E168" s="13">
        <v>18</v>
      </c>
      <c r="F168" s="14">
        <f t="shared" si="1"/>
        <v>8.3812056737588652</v>
      </c>
      <c r="G168" s="14">
        <f ca="1">IFERROR(__xludf.DUMMYFUNCTION("IFERROR(
  AVERAGE(
    FILTER(
      $D$2:$D168,
      $A$2:$A168 &gt;= A168 - 30,
      $A$2:$A168 &lt;= A168,
      $D$2:$D168 &gt; 0
    )
  ),
"""")
"),13.7155473920661)</f>
        <v>13.7155473920661</v>
      </c>
      <c r="H168" s="14"/>
    </row>
    <row r="169" spans="1:8" ht="15.75" customHeight="1" x14ac:dyDescent="0.25">
      <c r="A169" s="9">
        <v>46068</v>
      </c>
      <c r="B169" s="10">
        <v>1008</v>
      </c>
      <c r="C169" s="10">
        <v>115</v>
      </c>
      <c r="D169" s="11">
        <f t="shared" si="0"/>
        <v>11.408730158730158</v>
      </c>
      <c r="E169" s="13">
        <v>18</v>
      </c>
      <c r="F169" s="14">
        <f t="shared" si="1"/>
        <v>6.5912698412698418</v>
      </c>
      <c r="G169" s="14">
        <f ca="1">IFERROR(__xludf.DUMMYFUNCTION("IFERROR(
  AVERAGE(
    FILTER(
      $D$2:$D169,
      $A$2:$A169 &gt;= A169 - 30,
      $A$2:$A169 &lt;= A169,
      $D$2:$D169 &gt; 0
    )
  ),
"""")
"),13.4477969227027)</f>
        <v>13.4477969227027</v>
      </c>
      <c r="H169" s="14"/>
    </row>
    <row r="170" spans="1:8" ht="15.75" customHeight="1" x14ac:dyDescent="0.25">
      <c r="A170" s="9">
        <v>46069</v>
      </c>
      <c r="B170" s="10">
        <v>2306</v>
      </c>
      <c r="C170" s="10">
        <v>189</v>
      </c>
      <c r="D170" s="11">
        <f t="shared" si="0"/>
        <v>8.1960104076322633</v>
      </c>
      <c r="E170" s="13">
        <v>18</v>
      </c>
      <c r="F170" s="14">
        <f t="shared" si="1"/>
        <v>9.8039895923677367</v>
      </c>
      <c r="G170" s="14">
        <f ca="1">IFERROR(__xludf.DUMMYFUNCTION("IFERROR(
  AVERAGE(
    FILTER(
      $D$2:$D170,
      $A$2:$A170 &gt;= A170 - 30,
      $A$2:$A170 &lt;= A170,
      $D$2:$D170 &gt; 0
    )
  ),
"""")
"),13.1528228534314)</f>
        <v>13.152822853431401</v>
      </c>
      <c r="H170" s="14"/>
    </row>
    <row r="171" spans="1:8" ht="15.75" customHeight="1" x14ac:dyDescent="0.25">
      <c r="A171" s="9">
        <v>46070</v>
      </c>
      <c r="B171" s="10">
        <v>1818</v>
      </c>
      <c r="C171" s="10">
        <v>116</v>
      </c>
      <c r="D171" s="11">
        <f t="shared" si="0"/>
        <v>6.3806380638063809</v>
      </c>
      <c r="E171" s="13">
        <v>18</v>
      </c>
      <c r="F171" s="14">
        <f t="shared" si="1"/>
        <v>11.61936193619362</v>
      </c>
      <c r="G171" s="14">
        <f ca="1">IFERROR(__xludf.DUMMYFUNCTION("IFERROR(
  AVERAGE(
    FILTER(
      $D$2:$D171,
      $A$2:$A171 &gt;= A171 - 30,
      $A$2:$A171 &lt;= A171,
      $D$2:$D171 &gt; 0
    )
  ),
"""")
"),12.9116742849284)</f>
        <v>12.911674284928401</v>
      </c>
      <c r="H171" s="14"/>
    </row>
    <row r="172" spans="1:8" ht="15.75" customHeight="1" x14ac:dyDescent="0.25">
      <c r="A172" s="9">
        <v>46071</v>
      </c>
      <c r="B172" s="10">
        <v>2406</v>
      </c>
      <c r="C172" s="10">
        <v>159</v>
      </c>
      <c r="D172" s="11">
        <f t="shared" si="0"/>
        <v>6.6084788029925194</v>
      </c>
      <c r="E172" s="13">
        <v>18</v>
      </c>
      <c r="F172" s="14">
        <f t="shared" si="1"/>
        <v>11.391521197007481</v>
      </c>
      <c r="G172" s="14">
        <f ca="1">IFERROR(__xludf.DUMMYFUNCTION("IFERROR(
  AVERAGE(
    FILTER(
      $D$2:$D172,
      $A$2:$A172 &gt;= A172 - 30,
      $A$2:$A172 &lt;= A172,
      $D$2:$D172 &gt; 0
    )
  ),
"""")
"),12.7300701968284)</f>
        <v>12.7300701968284</v>
      </c>
      <c r="H172" s="14"/>
    </row>
    <row r="173" spans="1:8" ht="15.75" customHeight="1" x14ac:dyDescent="0.25">
      <c r="A173" s="9">
        <v>46072</v>
      </c>
      <c r="B173" s="10">
        <v>1905</v>
      </c>
      <c r="C173" s="10">
        <v>160</v>
      </c>
      <c r="D173" s="11">
        <f t="shared" si="0"/>
        <v>8.3989501312335957</v>
      </c>
      <c r="E173" s="13">
        <v>18</v>
      </c>
      <c r="F173" s="14">
        <f t="shared" si="1"/>
        <v>9.6010498687664043</v>
      </c>
      <c r="G173" s="14">
        <f ca="1">IFERROR(__xludf.DUMMYFUNCTION("IFERROR(
  AVERAGE(
    FILTER(
      $D$2:$D173,
      $A$2:$A173 &gt;= A173 - 30,
      $A$2:$A173 &lt;= A173,
      $D$2:$D173 &gt; 0
    )
  ),
"""")
"),12.6642390619331)</f>
        <v>12.664239061933101</v>
      </c>
      <c r="H173" s="14"/>
    </row>
    <row r="174" spans="1:8" ht="15.75" customHeight="1" x14ac:dyDescent="0.25">
      <c r="A174" s="9">
        <v>46073</v>
      </c>
      <c r="B174" s="10">
        <v>381</v>
      </c>
      <c r="C174" s="10">
        <v>97.8</v>
      </c>
      <c r="D174" s="11">
        <f t="shared" si="0"/>
        <v>25.669291338582678</v>
      </c>
      <c r="E174" s="13">
        <v>18</v>
      </c>
      <c r="F174" s="14">
        <f t="shared" si="1"/>
        <v>-7.6692913385826778</v>
      </c>
      <c r="G174" s="14">
        <f ca="1">IFERROR(__xludf.DUMMYFUNCTION("IFERROR(
  AVERAGE(
    FILTER(
      $D$2:$D174,
      $A$2:$A174 &gt;= A174 - 30,
      $A$2:$A174 &lt;= A174,
      $D$2:$D174 &gt; 0
    )
  ),
"""")
"),12.963752904754)</f>
        <v>12.963752904753999</v>
      </c>
      <c r="H174" s="14"/>
    </row>
    <row r="175" spans="1:8" ht="15.75" customHeight="1" x14ac:dyDescent="0.25">
      <c r="A175" s="9">
        <v>46074</v>
      </c>
      <c r="B175" s="10">
        <v>1114</v>
      </c>
      <c r="C175" s="10">
        <v>173</v>
      </c>
      <c r="D175" s="11">
        <f t="shared" si="0"/>
        <v>15.529622980251345</v>
      </c>
      <c r="E175" s="13">
        <v>18</v>
      </c>
      <c r="F175" s="14">
        <f t="shared" si="1"/>
        <v>2.4703770197486552</v>
      </c>
      <c r="G175" s="14">
        <f ca="1">IFERROR(__xludf.DUMMYFUNCTION("IFERROR(
  AVERAGE(
    FILTER(
      $D$2:$D175,
      $A$2:$A175 &gt;= A175 - 30,
      $A$2:$A175 &lt;= A175,
      $D$2:$D175 &gt; 0
    )
  ),
"""")
"),12.9327701220326)</f>
        <v>12.932770122032601</v>
      </c>
      <c r="H175" s="14"/>
    </row>
    <row r="176" spans="1:8" ht="15.75" customHeight="1" x14ac:dyDescent="0.25">
      <c r="A176" s="9">
        <v>46075</v>
      </c>
      <c r="B176" s="10">
        <v>351</v>
      </c>
      <c r="C176" s="10">
        <v>80</v>
      </c>
      <c r="D176" s="11">
        <f t="shared" si="0"/>
        <v>22.792022792022792</v>
      </c>
      <c r="E176" s="13">
        <v>18</v>
      </c>
      <c r="F176" s="14">
        <f t="shared" si="1"/>
        <v>-4.7920227920227916</v>
      </c>
      <c r="G176" s="14">
        <f ca="1">IFERROR(__xludf.DUMMYFUNCTION("IFERROR(
  AVERAGE(
    FILTER(
      $D$2:$D176,
      $A$2:$A176 &gt;= A176 - 30,
      $A$2:$A176 &lt;= A176,
      $D$2:$D176 &gt; 0
    )
  ),
"""")
"),13.2848862888179)</f>
        <v>13.2848862888179</v>
      </c>
      <c r="H176" s="14"/>
    </row>
    <row r="177" spans="1:8" ht="15.75" customHeight="1" x14ac:dyDescent="0.25">
      <c r="A177" s="9">
        <v>46076</v>
      </c>
      <c r="B177" s="10">
        <v>1141</v>
      </c>
      <c r="C177" s="10">
        <v>294</v>
      </c>
      <c r="D177" s="11">
        <f t="shared" si="0"/>
        <v>25.766871165644172</v>
      </c>
      <c r="E177" s="13">
        <v>18</v>
      </c>
      <c r="F177" s="14">
        <f t="shared" si="1"/>
        <v>-7.7668711656441722</v>
      </c>
      <c r="G177" s="14">
        <f ca="1">IFERROR(__xludf.DUMMYFUNCTION("IFERROR(
  AVERAGE(
    FILTER(
      $D$2:$D177,
      $A$2:$A177 &gt;= A177 - 30,
      $A$2:$A177 &lt;= A177,
      $D$2:$D177 &gt; 0
    )
  ),
"""")
"),13.6294235155918)</f>
        <v>13.6294235155918</v>
      </c>
      <c r="H177" s="14"/>
    </row>
    <row r="178" spans="1:8" ht="15.75" customHeight="1" x14ac:dyDescent="0.25">
      <c r="A178" s="9">
        <v>46077</v>
      </c>
      <c r="B178" s="10">
        <v>1736</v>
      </c>
      <c r="C178" s="10">
        <v>267</v>
      </c>
      <c r="D178" s="11">
        <f t="shared" si="0"/>
        <v>15.380184331797233</v>
      </c>
      <c r="E178" s="13">
        <v>18</v>
      </c>
      <c r="F178" s="14">
        <f t="shared" si="1"/>
        <v>2.6198156682027669</v>
      </c>
      <c r="G178" s="14">
        <f ca="1">IFERROR(__xludf.DUMMYFUNCTION("IFERROR(
  AVERAGE(
    FILTER(
      $D$2:$D178,
      $A$2:$A178 &gt;= A178 - 30,
      $A$2:$A178 &lt;= A178,
      $D$2:$D178 &gt; 0
    )
  ),
"""")
"),13.6617985199229)</f>
        <v>13.6617985199229</v>
      </c>
      <c r="H178" s="14"/>
    </row>
    <row r="179" spans="1:8" ht="15.75" customHeight="1" x14ac:dyDescent="0.25">
      <c r="A179" s="9">
        <v>46078</v>
      </c>
      <c r="B179" s="10">
        <v>3539</v>
      </c>
      <c r="C179" s="10">
        <v>213</v>
      </c>
      <c r="D179" s="11">
        <f t="shared" si="0"/>
        <v>6.018649335970613</v>
      </c>
      <c r="E179" s="13">
        <v>18</v>
      </c>
      <c r="F179" s="14">
        <f t="shared" si="1"/>
        <v>11.981350664029387</v>
      </c>
      <c r="G179" s="14">
        <f ca="1">IFERROR(__xludf.DUMMYFUNCTION("IFERROR(
  AVERAGE(
    FILTER(
      $D$2:$D179,
      $A$2:$A179 &gt;= A179 - 30,
      $A$2:$A179 &lt;= A179,
      $D$2:$D179 &gt; 0
    )
  ),
"""")
"),13.6242250293966)</f>
        <v>13.6242250293966</v>
      </c>
      <c r="H179" s="14"/>
    </row>
    <row r="180" spans="1:8" ht="15.75" customHeight="1" x14ac:dyDescent="0.25">
      <c r="A180" s="9">
        <v>46079</v>
      </c>
      <c r="B180" s="10">
        <v>1005</v>
      </c>
      <c r="C180" s="10">
        <v>114</v>
      </c>
      <c r="D180" s="11">
        <f t="shared" si="0"/>
        <v>11.343283582089553</v>
      </c>
      <c r="E180" s="13">
        <v>18</v>
      </c>
      <c r="F180" s="14">
        <f t="shared" si="1"/>
        <v>6.656716417910447</v>
      </c>
      <c r="G180" s="14">
        <f ca="1">IFERROR(__xludf.DUMMYFUNCTION("IFERROR(
  AVERAGE(
    FILTER(
      $D$2:$D180,
      $A$2:$A180 &gt;= A180 - 30,
      $A$2:$A180 &lt;= A180,
      $D$2:$D180 &gt; 0
    )
  ),
"""")
"),13.5455718760411)</f>
        <v>13.5455718760411</v>
      </c>
      <c r="H180" s="14"/>
    </row>
    <row r="181" spans="1:8" ht="15.75" customHeight="1" x14ac:dyDescent="0.25">
      <c r="A181" s="9">
        <v>46080</v>
      </c>
      <c r="B181" s="10">
        <v>1032</v>
      </c>
      <c r="C181" s="10">
        <v>125</v>
      </c>
      <c r="D181" s="11">
        <f t="shared" si="0"/>
        <v>12.112403100775193</v>
      </c>
      <c r="E181" s="13">
        <v>18</v>
      </c>
      <c r="F181" s="14">
        <f t="shared" si="1"/>
        <v>5.8875968992248069</v>
      </c>
      <c r="G181" s="14">
        <f ca="1">IFERROR(__xludf.DUMMYFUNCTION("IFERROR(
  AVERAGE(
    FILTER(
      $D$2:$D181,
      $A$2:$A181 &gt;= A181 - 30,
      $A$2:$A181 &lt;= A181,
      $D$2:$D181 &gt; 0
    )
  ),
"""")
"),13.5144927198562)</f>
        <v>13.5144927198562</v>
      </c>
      <c r="H181" s="14"/>
    </row>
    <row r="182" spans="1:8" ht="15.75" customHeight="1" x14ac:dyDescent="0.25">
      <c r="A182" s="9">
        <v>46081</v>
      </c>
      <c r="B182" s="10">
        <v>857</v>
      </c>
      <c r="C182" s="10">
        <v>260</v>
      </c>
      <c r="D182" s="11">
        <f t="shared" si="0"/>
        <v>30.338389731621941</v>
      </c>
      <c r="E182" s="13">
        <v>18</v>
      </c>
      <c r="F182" s="14">
        <f t="shared" si="1"/>
        <v>-12.338389731621941</v>
      </c>
      <c r="G182" s="14">
        <f ca="1">IFERROR(__xludf.DUMMYFUNCTION("IFERROR(
  AVERAGE(
    FILTER(
      $D$2:$D182,
      $A$2:$A182 &gt;= A182 - 30,
      $A$2:$A182 &lt;= A182,
      $D$2:$D182 &gt; 0
    )
  ),
"""")
"),13.9924180449211)</f>
        <v>13.9924180449211</v>
      </c>
      <c r="H182" s="14"/>
    </row>
    <row r="183" spans="1:8" ht="15.75" customHeight="1" x14ac:dyDescent="0.25">
      <c r="A183" s="9">
        <v>46082</v>
      </c>
      <c r="B183" s="10">
        <v>425</v>
      </c>
      <c r="C183" s="10">
        <v>60</v>
      </c>
      <c r="D183" s="11">
        <f t="shared" si="0"/>
        <v>14.117647058823529</v>
      </c>
      <c r="E183" s="13">
        <v>18</v>
      </c>
      <c r="F183" s="14">
        <f t="shared" si="1"/>
        <v>3.882352941176471</v>
      </c>
      <c r="G183" s="14">
        <f ca="1">IFERROR(__xludf.DUMMYFUNCTION("IFERROR(
  AVERAGE(
    FILTER(
      $D$2:$D183,
      $A$2:$A183 &gt;= A183 - 30,
      $A$2:$A183 &lt;= A183,
      $D$2:$D183 &gt; 0
    )
  ),
"""")
"),13.992188847456)</f>
        <v>13.992188847455999</v>
      </c>
      <c r="H183" s="14"/>
    </row>
    <row r="184" spans="1:8" ht="15.75" customHeight="1" x14ac:dyDescent="0.25">
      <c r="A184" s="9">
        <v>46083</v>
      </c>
      <c r="B184" s="10">
        <v>601</v>
      </c>
      <c r="C184" s="10">
        <v>156</v>
      </c>
      <c r="D184" s="11">
        <f t="shared" si="0"/>
        <v>25.9567387687188</v>
      </c>
      <c r="E184" s="13">
        <v>18</v>
      </c>
      <c r="F184" s="14">
        <f t="shared" si="1"/>
        <v>-7.9567387687188003</v>
      </c>
      <c r="G184" s="14">
        <f ca="1">IFERROR(__xludf.DUMMYFUNCTION("IFERROR(
  AVERAGE(
    FILTER(
      $D$2:$D184,
      $A$2:$A184 &gt;= A184 - 30,
      $A$2:$A184 &lt;= A184,
      $D$2:$D184 &gt; 0
    )
  ),
"""")
"),14.1065071003787)</f>
        <v>14.1065071003787</v>
      </c>
      <c r="H184" s="14"/>
    </row>
    <row r="185" spans="1:8" ht="15.75" customHeight="1" x14ac:dyDescent="0.25">
      <c r="A185" s="9">
        <v>46084</v>
      </c>
      <c r="B185" s="10">
        <v>123</v>
      </c>
      <c r="C185" s="10">
        <v>20</v>
      </c>
      <c r="D185" s="11">
        <f t="shared" si="0"/>
        <v>16.260162601626014</v>
      </c>
      <c r="E185" s="13">
        <v>18</v>
      </c>
      <c r="F185" s="14">
        <f t="shared" si="1"/>
        <v>1.7398373983739859</v>
      </c>
      <c r="G185" s="14">
        <f ca="1">IFERROR(__xludf.DUMMYFUNCTION("IFERROR(
  AVERAGE(
    FILTER(
      $D$2:$D185,
      $A$2:$A185 &gt;= A185 - 30,
      $A$2:$A185 &lt;= A185,
      $D$2:$D185 &gt; 0
    )
  ),
"""")
"),14.2076324958691)</f>
        <v>14.207632495869101</v>
      </c>
      <c r="H185" s="14"/>
    </row>
    <row r="186" spans="1:8" ht="15.75" customHeight="1" x14ac:dyDescent="0.25">
      <c r="A186" s="9">
        <v>46085</v>
      </c>
      <c r="B186" s="10">
        <v>0</v>
      </c>
      <c r="C186" s="10">
        <v>0</v>
      </c>
      <c r="D186" s="11" t="e">
        <f t="shared" si="0"/>
        <v>#DIV/0!</v>
      </c>
      <c r="E186" s="13">
        <v>18</v>
      </c>
      <c r="F186" s="14" t="e">
        <f t="shared" si="1"/>
        <v>#DIV/0!</v>
      </c>
      <c r="G186" s="14">
        <f ca="1">IFERROR(__xludf.DUMMYFUNCTION("IFERROR(
  AVERAGE(
    FILTER(
      $D$2:$D186,
      $A$2:$A186 &gt;= A186 - 30,
      $A$2:$A186 &lt;= A186,
      $D$2:$D186 &gt; 0
    )
  ),
"""")
"),14.2076324958691)</f>
        <v>14.207632495869101</v>
      </c>
      <c r="H186" s="14"/>
    </row>
    <row r="187" spans="1:8" ht="15.75" customHeight="1" x14ac:dyDescent="0.25">
      <c r="A187" s="9">
        <v>46086</v>
      </c>
      <c r="B187" s="10">
        <v>0</v>
      </c>
      <c r="C187" s="10">
        <v>0</v>
      </c>
      <c r="D187" s="11" t="e">
        <f t="shared" si="0"/>
        <v>#DIV/0!</v>
      </c>
      <c r="E187" s="13">
        <v>18</v>
      </c>
      <c r="F187" s="14" t="e">
        <f t="shared" si="1"/>
        <v>#DIV/0!</v>
      </c>
      <c r="G187" s="14">
        <f ca="1">IFERROR(__xludf.DUMMYFUNCTION("IFERROR(
  AVERAGE(
    FILTER(
      $D$2:$D187,
      $A$2:$A187 &gt;= A187 - 30,
      $A$2:$A187 &lt;= A187,
      $D$2:$D187 &gt; 0
    )
  ),
"""")
"),14.4817385379865)</f>
        <v>14.4817385379865</v>
      </c>
      <c r="H187" s="14"/>
    </row>
    <row r="188" spans="1:8" ht="15.75" customHeight="1" x14ac:dyDescent="0.25">
      <c r="A188" s="9">
        <v>46087</v>
      </c>
      <c r="B188" s="10">
        <v>753</v>
      </c>
      <c r="C188" s="10">
        <v>127</v>
      </c>
      <c r="D188" s="11">
        <f t="shared" si="0"/>
        <v>16.865869853917662</v>
      </c>
      <c r="E188" s="13">
        <v>18</v>
      </c>
      <c r="F188" s="14">
        <f t="shared" si="1"/>
        <v>1.1341301460823381</v>
      </c>
      <c r="G188" s="14">
        <f ca="1">IFERROR(__xludf.DUMMYFUNCTION("IFERROR(
  AVERAGE(
    FILTER(
      $D$2:$D188,
      $A$2:$A188 &gt;= A188 - 30,
      $A$2:$A188 &lt;= A188,
      $D$2:$D188 &gt; 0
    )
  ),
"""")
"),14.5790405277187)</f>
        <v>14.5790405277187</v>
      </c>
      <c r="H188" s="14"/>
    </row>
    <row r="189" spans="1:8" ht="15.75" customHeight="1" x14ac:dyDescent="0.25">
      <c r="A189" s="9">
        <v>46088</v>
      </c>
      <c r="B189" s="10">
        <v>1341</v>
      </c>
      <c r="C189" s="10">
        <v>241</v>
      </c>
      <c r="D189" s="11">
        <f t="shared" si="0"/>
        <v>17.971662938105894</v>
      </c>
      <c r="E189" s="13">
        <v>18</v>
      </c>
      <c r="F189" s="14">
        <f t="shared" si="1"/>
        <v>2.8337061894106341E-2</v>
      </c>
      <c r="G189" s="14">
        <f ca="1">IFERROR(__xludf.DUMMYFUNCTION("IFERROR(
  AVERAGE(
    FILTER(
      $D$2:$D189,
      $A$2:$A189 &gt;= A189 - 30,
      $A$2:$A189 &lt;= A189,
      $D$2:$D189 &gt; 0
    )
  ),
"""")
"),14.8345030094264)</f>
        <v>14.834503009426401</v>
      </c>
      <c r="H189" s="14"/>
    </row>
    <row r="190" spans="1:8" ht="15.75" customHeight="1" x14ac:dyDescent="0.25">
      <c r="A190" s="9">
        <v>46089</v>
      </c>
      <c r="B190" s="10">
        <v>577</v>
      </c>
      <c r="C190" s="10">
        <v>129</v>
      </c>
      <c r="D190" s="11">
        <f t="shared" si="0"/>
        <v>22.357019064124785</v>
      </c>
      <c r="E190" s="13">
        <v>18</v>
      </c>
      <c r="F190" s="14">
        <f t="shared" si="1"/>
        <v>-4.3570190641247848</v>
      </c>
      <c r="G190" s="14">
        <f ca="1">IFERROR(__xludf.DUMMYFUNCTION("IFERROR(
  AVERAGE(
    FILTER(
      $D$2:$D190,
      $A$2:$A190 &gt;= A190 - 30,
      $A$2:$A190 &lt;= A190,
      $D$2:$D190 &gt; 0
    )
  ),
"""")
"),15.1834520700548)</f>
        <v>15.1834520700548</v>
      </c>
      <c r="H190" s="14"/>
    </row>
    <row r="191" spans="1:8" ht="15.75" customHeight="1" x14ac:dyDescent="0.25">
      <c r="A191" s="9">
        <v>46090</v>
      </c>
      <c r="B191" s="10">
        <v>1599</v>
      </c>
      <c r="C191" s="10">
        <v>246</v>
      </c>
      <c r="D191" s="11">
        <f t="shared" si="0"/>
        <v>15.384615384615385</v>
      </c>
      <c r="E191" s="13">
        <v>18</v>
      </c>
      <c r="F191" s="14">
        <f t="shared" si="1"/>
        <v>2.615384615384615</v>
      </c>
      <c r="G191" s="14">
        <f ca="1">IFERROR(__xludf.DUMMYFUNCTION("IFERROR(
  AVERAGE(
    FILTER(
      $D$2:$D191,
      $A$2:$A191 &gt;= A191 - 30,
      $A$2:$A191 &lt;= A191,
      $D$2:$D191 &gt; 0
    )
  ),
"""")
"),15.1705506068771)</f>
        <v>15.1705506068771</v>
      </c>
      <c r="H191" s="14"/>
    </row>
    <row r="192" spans="1:8" ht="15.75" customHeight="1" x14ac:dyDescent="0.25">
      <c r="A192" s="9">
        <v>46091</v>
      </c>
      <c r="B192" s="10">
        <v>1347</v>
      </c>
      <c r="C192" s="10">
        <v>249</v>
      </c>
      <c r="D192" s="11">
        <f t="shared" si="0"/>
        <v>18.485523385300667</v>
      </c>
      <c r="E192" s="13">
        <v>18</v>
      </c>
      <c r="F192" s="14">
        <f t="shared" si="1"/>
        <v>-0.48552338530066663</v>
      </c>
      <c r="G192" s="14">
        <f ca="1">IFERROR(__xludf.DUMMYFUNCTION("IFERROR(
  AVERAGE(
    FILTER(
      $D$2:$D192,
      $A$2:$A192 &gt;= A192 - 30,
      $A$2:$A192 &lt;= A192,
      $D$2:$D192 &gt; 0
    )
  ),
"""")
"),15.3573796440368)</f>
        <v>15.357379644036801</v>
      </c>
      <c r="H192" s="14"/>
    </row>
    <row r="193" spans="1:8" ht="15.75" customHeight="1" x14ac:dyDescent="0.25">
      <c r="A193" s="9">
        <v>46092</v>
      </c>
      <c r="B193" s="10">
        <v>1298</v>
      </c>
      <c r="C193" s="10">
        <v>223</v>
      </c>
      <c r="D193" s="11">
        <f t="shared" si="0"/>
        <v>17.180277349768875</v>
      </c>
      <c r="E193" s="13">
        <v>18</v>
      </c>
      <c r="F193" s="14">
        <f t="shared" si="1"/>
        <v>0.81972265023112456</v>
      </c>
      <c r="G193" s="14">
        <f ca="1">IFERROR(__xludf.DUMMYFUNCTION("IFERROR(
  AVERAGE(
    FILTER(
      $D$2:$D193,
      $A$2:$A193 &gt;= A193 - 30,
      $A$2:$A193 &lt;= A193,
      $D$2:$D193 &gt; 0
    )
  ),
"""")
"),15.3530038714504)</f>
        <v>15.353003871450399</v>
      </c>
      <c r="H193" s="14"/>
    </row>
    <row r="194" spans="1:8" ht="15.75" customHeight="1" x14ac:dyDescent="0.25">
      <c r="A194" s="9">
        <v>46093</v>
      </c>
      <c r="B194" s="10">
        <v>1032</v>
      </c>
      <c r="C194" s="10">
        <v>209</v>
      </c>
      <c r="D194" s="11">
        <f t="shared" si="0"/>
        <v>20.251937984496124</v>
      </c>
      <c r="E194" s="13">
        <v>18</v>
      </c>
      <c r="F194" s="14">
        <f t="shared" si="1"/>
        <v>-2.2519379844961236</v>
      </c>
      <c r="G194" s="14">
        <f ca="1">IFERROR(__xludf.DUMMYFUNCTION("IFERROR(
  AVERAGE(
    FILTER(
      $D$2:$D194,
      $A$2:$A194 &gt;= A194 - 30,
      $A$2:$A194 &lt;= A194,
      $D$2:$D194 &gt; 0
    )
  ),
"""")
"),15.8049022210921)</f>
        <v>15.8049022210921</v>
      </c>
      <c r="H194" s="14"/>
    </row>
    <row r="195" spans="1:8" ht="15.75" customHeight="1" x14ac:dyDescent="0.25">
      <c r="A195" s="9">
        <v>46094</v>
      </c>
      <c r="B195" s="10">
        <v>528</v>
      </c>
      <c r="C195" s="10">
        <v>109</v>
      </c>
      <c r="D195" s="11">
        <f t="shared" si="0"/>
        <v>20.643939393939394</v>
      </c>
      <c r="E195" s="13">
        <v>18</v>
      </c>
      <c r="F195" s="14">
        <f t="shared" si="1"/>
        <v>-2.6439393939393945</v>
      </c>
      <c r="G195" s="14">
        <f ca="1">IFERROR(__xludf.DUMMYFUNCTION("IFERROR(
  AVERAGE(
    FILTER(
      $D$2:$D195,
      $A$2:$A195 &gt;= A195 - 30,
      $A$2:$A195 &lt;= A195,
      $D$2:$D195 &gt; 0
    )
  ),
"""")
"),15.9884759148402)</f>
        <v>15.988475914840199</v>
      </c>
      <c r="H195" s="14"/>
    </row>
    <row r="196" spans="1:8" ht="15.75" customHeight="1" x14ac:dyDescent="0.25">
      <c r="A196" s="9">
        <v>46095</v>
      </c>
      <c r="B196" s="10">
        <v>725</v>
      </c>
      <c r="C196" s="10">
        <v>120</v>
      </c>
      <c r="D196" s="11">
        <f t="shared" si="0"/>
        <v>16.551724137931036</v>
      </c>
      <c r="E196" s="13">
        <v>18</v>
      </c>
      <c r="F196" s="14">
        <f t="shared" si="1"/>
        <v>1.4482758620689644</v>
      </c>
      <c r="G196" s="14">
        <f ca="1">IFERROR(__xludf.DUMMYFUNCTION("IFERROR(
  AVERAGE(
    FILTER(
      $D$2:$D196,
      $A$2:$A196 &gt;= A196 - 30,
      $A$2:$A196 &lt;= A196,
      $D$2:$D196 &gt; 0
    )
  ),
"""")
"),15.9859539045688)</f>
        <v>15.985953904568801</v>
      </c>
      <c r="H196" s="14"/>
    </row>
    <row r="197" spans="1:8" ht="15.75" customHeight="1" x14ac:dyDescent="0.25">
      <c r="A197" s="9">
        <v>46096</v>
      </c>
      <c r="B197" s="10">
        <v>0</v>
      </c>
      <c r="C197" s="10">
        <v>0</v>
      </c>
      <c r="D197" s="11" t="e">
        <f t="shared" si="0"/>
        <v>#DIV/0!</v>
      </c>
      <c r="E197" s="13">
        <v>18</v>
      </c>
      <c r="F197" s="14" t="e">
        <f t="shared" si="1"/>
        <v>#DIV/0!</v>
      </c>
      <c r="G197" s="14">
        <f ca="1">IFERROR(__xludf.DUMMYFUNCTION("IFERROR(
  AVERAGE(
    FILTER(
      $D$2:$D197,
      $A$2:$A197 &gt;= A197 - 30,
      $A$2:$A197 &lt;= A197,
      $D$2:$D197 &gt; 0
    )
  ),
"""")
"),16.2070162285466)</f>
        <v>16.2070162285466</v>
      </c>
      <c r="H197" s="14"/>
    </row>
    <row r="198" spans="1:8" ht="15.75" customHeight="1" x14ac:dyDescent="0.25">
      <c r="A198" s="9">
        <v>46097</v>
      </c>
      <c r="B198" s="10">
        <v>2007</v>
      </c>
      <c r="C198" s="10">
        <v>253</v>
      </c>
      <c r="D198" s="11">
        <f t="shared" si="0"/>
        <v>12.60587942202292</v>
      </c>
      <c r="E198" s="13">
        <v>18</v>
      </c>
      <c r="F198" s="14">
        <f t="shared" si="1"/>
        <v>5.3941205779770804</v>
      </c>
      <c r="G198" s="14">
        <f ca="1">IFERROR(__xludf.DUMMYFUNCTION("IFERROR(
  AVERAGE(
    FILTER(
      $D$2:$D198,
      $A$2:$A198 &gt;= A198 - 30,
      $A$2:$A198 &lt;= A198,
      $D$2:$D198 &gt; 0
    )
  ),
"""")
"),16.0784041997422)</f>
        <v>16.078404199742199</v>
      </c>
      <c r="H198" s="14"/>
    </row>
    <row r="199" spans="1:8" ht="15.75" customHeight="1" x14ac:dyDescent="0.25">
      <c r="A199" s="9">
        <v>46098</v>
      </c>
      <c r="B199" s="10">
        <v>1682</v>
      </c>
      <c r="C199" s="10">
        <v>310</v>
      </c>
      <c r="D199" s="11">
        <f t="shared" si="0"/>
        <v>18.430439952437574</v>
      </c>
      <c r="E199" s="13">
        <v>18</v>
      </c>
      <c r="F199" s="14">
        <f t="shared" si="1"/>
        <v>-0.43043995243757394</v>
      </c>
      <c r="G199" s="14">
        <f ca="1">IFERROR(__xludf.DUMMYFUNCTION("IFERROR(
  AVERAGE(
    FILTER(
      $D$2:$D199,
      $A$2:$A199 &gt;= A199 - 30,
      $A$2:$A199 &lt;= A199,
      $D$2:$D199 &gt; 0
    )
  ),
"""")
"),16.3931058292492)</f>
        <v>16.393105829249201</v>
      </c>
      <c r="H199" s="14"/>
    </row>
    <row r="200" spans="1:8" ht="15.75" customHeight="1" x14ac:dyDescent="0.25">
      <c r="A200" s="9">
        <v>46099</v>
      </c>
      <c r="B200" s="10">
        <v>1845</v>
      </c>
      <c r="C200" s="10">
        <v>302</v>
      </c>
      <c r="D200" s="11">
        <f t="shared" si="0"/>
        <v>16.368563685636854</v>
      </c>
      <c r="E200" s="13">
        <v>18</v>
      </c>
      <c r="F200" s="14">
        <f t="shared" si="1"/>
        <v>1.6314363143631461</v>
      </c>
      <c r="G200" s="14">
        <f ca="1">IFERROR(__xludf.DUMMYFUNCTION("IFERROR(
  AVERAGE(
    FILTER(
      $D$2:$D200,
      $A$2:$A200 &gt;= A200 - 30,
      $A$2:$A200 &lt;= A200,
      $D$2:$D200 &gt; 0
    )
  ),
"""")
"),16.5702427409244)</f>
        <v>16.5702427409244</v>
      </c>
      <c r="H200" s="14"/>
    </row>
    <row r="201" spans="1:8" ht="15.75" customHeight="1" x14ac:dyDescent="0.25">
      <c r="A201" s="9">
        <v>46100</v>
      </c>
      <c r="B201" s="10">
        <v>1786</v>
      </c>
      <c r="C201" s="10">
        <v>283</v>
      </c>
      <c r="D201" s="11">
        <f t="shared" si="0"/>
        <v>15.845464725643895</v>
      </c>
      <c r="E201" s="13">
        <v>18</v>
      </c>
      <c r="F201" s="14">
        <f t="shared" si="1"/>
        <v>2.154535274356105</v>
      </c>
      <c r="G201" s="14">
        <f ca="1">IFERROR(__xludf.DUMMYFUNCTION("IFERROR(
  AVERAGE(
    FILTER(
      $D$2:$D201,
      $A$2:$A201 &gt;= A201 - 30,
      $A$2:$A201 &lt;= A201,
      $D$2:$D201 &gt; 0
    )
  ),
"""")
"),16.8434375379963)</f>
        <v>16.843437537996302</v>
      </c>
      <c r="H201" s="14"/>
    </row>
    <row r="202" spans="1:8" ht="15.75" customHeight="1" x14ac:dyDescent="0.25">
      <c r="A202" s="9">
        <v>46101</v>
      </c>
      <c r="B202" s="10">
        <v>1466</v>
      </c>
      <c r="C202" s="10">
        <v>246</v>
      </c>
      <c r="D202" s="11">
        <f t="shared" si="0"/>
        <v>16.780354706684857</v>
      </c>
      <c r="E202" s="13">
        <v>18</v>
      </c>
      <c r="F202" s="14">
        <f t="shared" si="1"/>
        <v>1.2196452933151427</v>
      </c>
      <c r="G202" s="14">
        <f ca="1">IFERROR(__xludf.DUMMYFUNCTION("IFERROR(
  AVERAGE(
    FILTER(
      $D$2:$D202,
      $A$2:$A202 &gt;= A202 - 30,
      $A$2:$A202 &lt;= A202,
      $D$2:$D202 &gt; 0
    )
  ),
"""")
"),17.2148559895277)</f>
        <v>17.214855989527699</v>
      </c>
      <c r="H202" s="14"/>
    </row>
    <row r="203" spans="1:8" ht="15.75" customHeight="1" x14ac:dyDescent="0.25">
      <c r="A203" s="9">
        <v>46102</v>
      </c>
      <c r="B203" s="10">
        <v>1767</v>
      </c>
      <c r="C203" s="10">
        <v>301</v>
      </c>
      <c r="D203" s="11">
        <f t="shared" si="0"/>
        <v>17.034521788341824</v>
      </c>
      <c r="E203" s="13">
        <v>18</v>
      </c>
      <c r="F203" s="14">
        <f t="shared" si="1"/>
        <v>0.96547821165817638</v>
      </c>
      <c r="G203" s="14">
        <f ca="1">IFERROR(__xludf.DUMMYFUNCTION("IFERROR(
  AVERAGE(
    FILTER(
      $D$2:$D203,
      $A$2:$A203 &gt;= A203 - 30,
      $A$2:$A203 &lt;= A203,
      $D$2:$D203 &gt; 0
    )
  ),
"""")
"),17.5872146675759)</f>
        <v>17.5872146675759</v>
      </c>
      <c r="H203" s="14"/>
    </row>
    <row r="204" spans="1:8" ht="15.75" customHeight="1" x14ac:dyDescent="0.25">
      <c r="A204" s="9">
        <v>46103</v>
      </c>
      <c r="B204" s="10">
        <v>0</v>
      </c>
      <c r="C204" s="10">
        <v>0</v>
      </c>
      <c r="D204" s="11" t="e">
        <f t="shared" si="0"/>
        <v>#DIV/0!</v>
      </c>
      <c r="E204" s="13">
        <v>18</v>
      </c>
      <c r="F204" s="14" t="e">
        <f t="shared" si="1"/>
        <v>#DIV/0!</v>
      </c>
      <c r="G204" s="14">
        <f ca="1">IFERROR(__xludf.DUMMYFUNCTION("IFERROR(
  AVERAGE(
    FILTER(
      $D$2:$D204,
      $A$2:$A204 &gt;= A204 - 30,
      $A$2:$A204 &lt;= A204,
      $D$2:$D204 &gt; 0
    )
  ),
"""")
"),17.9275207615145)</f>
        <v>17.927520761514501</v>
      </c>
      <c r="H204" s="14"/>
    </row>
    <row r="205" spans="1:8" ht="15.75" customHeight="1" x14ac:dyDescent="0.25">
      <c r="A205" s="9">
        <v>46104</v>
      </c>
      <c r="B205" s="10">
        <v>1940</v>
      </c>
      <c r="C205" s="10">
        <v>285</v>
      </c>
      <c r="D205" s="11">
        <f t="shared" si="0"/>
        <v>14.690721649484537</v>
      </c>
      <c r="E205" s="13">
        <v>18</v>
      </c>
      <c r="F205" s="14">
        <f t="shared" si="1"/>
        <v>3.3092783505154628</v>
      </c>
      <c r="G205" s="14">
        <f ca="1">IFERROR(__xludf.DUMMYFUNCTION("IFERROR(
  AVERAGE(
    FILTER(
      $D$2:$D205,
      $A$2:$A205 &gt;= A205 - 30,
      $A$2:$A205 &lt;= A205,
      $D$2:$D205 &gt; 0
    )
  ),
"""")
"),17.5209070693256)</f>
        <v>17.520907069325599</v>
      </c>
      <c r="H205" s="14"/>
    </row>
    <row r="206" spans="1:8" ht="15.75" customHeight="1" x14ac:dyDescent="0.25">
      <c r="A206" s="9">
        <v>46105</v>
      </c>
      <c r="B206" s="10">
        <v>1861</v>
      </c>
      <c r="C206" s="10">
        <v>248</v>
      </c>
      <c r="D206" s="11">
        <f t="shared" si="0"/>
        <v>13.326168726491133</v>
      </c>
      <c r="E206" s="13">
        <v>18</v>
      </c>
      <c r="F206" s="14">
        <f t="shared" si="1"/>
        <v>4.673831273508867</v>
      </c>
      <c r="G206" s="14">
        <f ca="1">IFERROR(__xludf.DUMMYFUNCTION("IFERROR(
  AVERAGE(
    FILTER(
      $D$2:$D206,
      $A$2:$A206 &gt;= A206 - 30,
      $A$2:$A206 &lt;= A206,
      $D$2:$D206 &gt; 0
    )
  ),
"""")
"),17.4392976525197)</f>
        <v>17.439297652519699</v>
      </c>
      <c r="H206" s="14"/>
    </row>
    <row r="207" spans="1:8" ht="15.75" customHeight="1" x14ac:dyDescent="0.25">
      <c r="A207" s="9">
        <v>46106</v>
      </c>
      <c r="B207" s="10">
        <v>1406</v>
      </c>
      <c r="C207" s="10">
        <v>214</v>
      </c>
      <c r="D207" s="11">
        <f t="shared" si="0"/>
        <v>15.220483641536273</v>
      </c>
      <c r="E207" s="13">
        <v>18</v>
      </c>
      <c r="F207" s="14">
        <f t="shared" si="1"/>
        <v>2.7795163584637272</v>
      </c>
      <c r="G207" s="14">
        <f ca="1">IFERROR(__xludf.DUMMYFUNCTION("IFERROR(
  AVERAGE(
    FILTER(
      $D$2:$D207,
      $A$2:$A207 &gt;= A207 - 30,
      $A$2:$A207 &lt;= A207,
      $D$2:$D207 &gt; 0
    )
  ),
"""")
"),17.1588702765758)</f>
        <v>17.158870276575801</v>
      </c>
      <c r="H207" s="14"/>
    </row>
    <row r="208" spans="1:8" ht="15.75" customHeight="1" x14ac:dyDescent="0.25">
      <c r="A208" s="9">
        <v>46107</v>
      </c>
      <c r="B208" s="10">
        <v>997</v>
      </c>
      <c r="C208" s="10">
        <v>166</v>
      </c>
      <c r="D208" s="11">
        <f t="shared" si="0"/>
        <v>16.649949849548644</v>
      </c>
      <c r="E208" s="13">
        <v>18</v>
      </c>
      <c r="F208" s="14">
        <f t="shared" si="1"/>
        <v>1.3500501504513558</v>
      </c>
      <c r="G208" s="14">
        <f ca="1">IFERROR(__xludf.DUMMYFUNCTION("IFERROR(
  AVERAGE(
    FILTER(
      $D$2:$D208,
      $A$2:$A208 &gt;= A208 - 30,
      $A$2:$A208 &lt;= A208,
      $D$2:$D208 &gt; 0
    )
  ),
"""")
"),16.8212065241278)</f>
        <v>16.821206524127799</v>
      </c>
      <c r="H208" s="14"/>
    </row>
    <row r="209" spans="1:8" ht="15.75" customHeight="1" x14ac:dyDescent="0.25">
      <c r="A209" s="9">
        <v>46108</v>
      </c>
      <c r="B209" s="10">
        <v>1178</v>
      </c>
      <c r="C209" s="10">
        <v>158</v>
      </c>
      <c r="D209" s="11">
        <f t="shared" si="0"/>
        <v>13.412563667232597</v>
      </c>
      <c r="E209" s="13">
        <v>18</v>
      </c>
      <c r="F209" s="14">
        <f t="shared" si="1"/>
        <v>4.5874363327674033</v>
      </c>
      <c r="G209" s="14">
        <f ca="1">IFERROR(__xludf.DUMMYFUNCTION("IFERROR(
  AVERAGE(
    FILTER(
      $D$2:$D209,
      $A$2:$A209 &gt;= A209 - 30,
      $A$2:$A209 &lt;= A209,
      $D$2:$D209 &gt; 0
    )
  ),
"""")
"),16.7483316846995)</f>
        <v>16.748331684699501</v>
      </c>
      <c r="H209" s="14"/>
    </row>
    <row r="210" spans="1:8" ht="15.75" customHeight="1" x14ac:dyDescent="0.25">
      <c r="A210" s="9">
        <v>46109</v>
      </c>
      <c r="B210" s="10">
        <v>791</v>
      </c>
      <c r="C210" s="10">
        <v>136</v>
      </c>
      <c r="D210" s="11">
        <f t="shared" si="0"/>
        <v>17.193426042983564</v>
      </c>
      <c r="E210" s="13">
        <v>18</v>
      </c>
      <c r="F210" s="14">
        <f t="shared" si="1"/>
        <v>0.80657395701643608</v>
      </c>
      <c r="G210" s="14">
        <f ca="1">IFERROR(__xludf.DUMMYFUNCTION("IFERROR(
  AVERAGE(
    FILTER(
      $D$2:$D210,
      $A$2:$A210 &gt;= A210 - 30,
      $A$2:$A210 &lt;= A210,
      $D$2:$D210 &gt; 0
    )
  ),
"""")
"),17.1622123034777)</f>
        <v>17.162212303477698</v>
      </c>
      <c r="H210" s="14"/>
    </row>
    <row r="211" spans="1:8" ht="15.75" customHeight="1" x14ac:dyDescent="0.25">
      <c r="A211" s="9">
        <v>46110</v>
      </c>
      <c r="B211" s="10">
        <v>648</v>
      </c>
      <c r="C211" s="10">
        <v>118</v>
      </c>
      <c r="D211" s="11">
        <f t="shared" si="0"/>
        <v>18.209876543209877</v>
      </c>
      <c r="E211" s="13">
        <v>18</v>
      </c>
      <c r="F211" s="14">
        <f t="shared" si="1"/>
        <v>-0.20987654320987659</v>
      </c>
      <c r="G211" s="14">
        <f ca="1">IFERROR(__xludf.DUMMYFUNCTION("IFERROR(
  AVERAGE(
    FILTER(
      $D$2:$D211,
      $A$2:$A211 &gt;= A211 - 30,
      $A$2:$A211 &lt;= A211,
      $D$2:$D211 &gt; 0
    )
  ),
"""")
"),17.416530561297)</f>
        <v>17.416530561297002</v>
      </c>
      <c r="H211" s="14"/>
    </row>
    <row r="212" spans="1:8" ht="15.75" customHeight="1" x14ac:dyDescent="0.25">
      <c r="A212" s="9">
        <v>46111</v>
      </c>
      <c r="B212" s="10">
        <v>1204</v>
      </c>
      <c r="C212" s="10">
        <v>229</v>
      </c>
      <c r="D212" s="11">
        <f t="shared" si="0"/>
        <v>19.019933554817275</v>
      </c>
      <c r="E212" s="13">
        <v>18</v>
      </c>
      <c r="F212" s="14">
        <f t="shared" si="1"/>
        <v>-1.0199335548172748</v>
      </c>
      <c r="G212" s="14">
        <f ca="1">IFERROR(__xludf.DUMMYFUNCTION("IFERROR(
  AVERAGE(
    FILTER(
      $D$2:$D212,
      $A$2:$A212 &gt;= A212 - 30,
      $A$2:$A212 &lt;= A212,
      $D$2:$D212 &gt; 0
    )
  ),
"""")
"),17.6723650225578)</f>
        <v>17.672365022557798</v>
      </c>
      <c r="H212" s="14"/>
    </row>
    <row r="213" spans="1:8" ht="15.75" customHeight="1" x14ac:dyDescent="0.25">
      <c r="A213" s="9">
        <v>46112</v>
      </c>
      <c r="B213" s="10">
        <v>1860</v>
      </c>
      <c r="C213" s="10">
        <v>400</v>
      </c>
      <c r="D213" s="11">
        <f t="shared" si="0"/>
        <v>21.50537634408602</v>
      </c>
      <c r="E213" s="13">
        <v>18</v>
      </c>
      <c r="F213" s="14">
        <f t="shared" si="1"/>
        <v>-3.5053763440860202</v>
      </c>
      <c r="G213" s="14">
        <f ca="1">IFERROR(__xludf.DUMMYFUNCTION("IFERROR(
  AVERAGE(
    FILTER(
      $D$2:$D213,
      $A$2:$A213 &gt;= A213 - 30,
      $A$2:$A213 &lt;= A213,
      $D$2:$D213 &gt; 0
    )
  ),
"""")
"),17.345216378575)</f>
        <v>17.345216378575</v>
      </c>
      <c r="H213" s="14"/>
    </row>
    <row r="214" spans="1:8" ht="15.75" customHeight="1" x14ac:dyDescent="0.25">
      <c r="A214" s="9">
        <v>46113</v>
      </c>
      <c r="B214" s="10">
        <v>1147</v>
      </c>
      <c r="C214" s="10">
        <v>187</v>
      </c>
      <c r="D214" s="11">
        <f t="shared" si="0"/>
        <v>16.303400174367916</v>
      </c>
      <c r="E214" s="13">
        <v>18</v>
      </c>
      <c r="F214" s="14">
        <f t="shared" si="1"/>
        <v>1.6965998256320844</v>
      </c>
      <c r="G214" s="14">
        <f ca="1">IFERROR(__xludf.DUMMYFUNCTION("IFERROR(
  AVERAGE(
    FILTER(
      $D$2:$D214,
      $A$2:$A214 &gt;= A214 - 30,
      $A$2:$A214 &lt;= A214,
      $D$2:$D214 &gt; 0
    )
  ),
"""")
"),17.4261701976692)</f>
        <v>17.426170197669201</v>
      </c>
      <c r="H214" s="14"/>
    </row>
    <row r="215" spans="1:8" ht="15.75" customHeight="1" x14ac:dyDescent="0.25">
      <c r="A215" s="9">
        <v>46114</v>
      </c>
      <c r="B215" s="10">
        <v>1593</v>
      </c>
      <c r="C215" s="10">
        <v>329</v>
      </c>
      <c r="D215" s="11">
        <f t="shared" si="0"/>
        <v>20.652856246076585</v>
      </c>
      <c r="E215" s="13">
        <v>18</v>
      </c>
      <c r="F215" s="14">
        <f t="shared" si="1"/>
        <v>-2.6528562460765848</v>
      </c>
      <c r="G215" s="14">
        <f ca="1">IFERROR(__xludf.DUMMYFUNCTION("IFERROR(
  AVERAGE(
    FILTER(
      $D$2:$D215,
      $A$2:$A215 &gt;= A215 - 30,
      $A$2:$A215 &lt;= A215,
      $D$2:$D215 &gt; 0
    )
  ),
"""")
"),17.229730104238)</f>
        <v>17.229730104238001</v>
      </c>
      <c r="H215" s="14"/>
    </row>
    <row r="216" spans="1:8" ht="15.75" customHeight="1" x14ac:dyDescent="0.25">
      <c r="A216" s="9">
        <v>46115</v>
      </c>
      <c r="B216" s="10">
        <v>1467</v>
      </c>
      <c r="C216" s="10">
        <v>297</v>
      </c>
      <c r="D216" s="11">
        <f t="shared" si="0"/>
        <v>20.245398773006134</v>
      </c>
      <c r="E216" s="13">
        <v>18</v>
      </c>
      <c r="F216" s="14">
        <f t="shared" si="1"/>
        <v>-2.2453987730061336</v>
      </c>
      <c r="G216" s="14">
        <f ca="1">IFERROR(__xludf.DUMMYFUNCTION("IFERROR(
  AVERAGE(
    FILTER(
      $D$2:$D216,
      $A$2:$A216 &gt;= A216 - 30,
      $A$2:$A216 &lt;= A216,
      $D$2:$D216 &gt; 0
    )
  ),
"""")
"),17.3773314439188)</f>
        <v>17.377331443918798</v>
      </c>
      <c r="H216" s="14"/>
    </row>
    <row r="217" spans="1:8" ht="15.75" customHeight="1" x14ac:dyDescent="0.25">
      <c r="A217" s="9">
        <v>46116</v>
      </c>
      <c r="B217" s="10">
        <v>1694</v>
      </c>
      <c r="C217" s="10">
        <v>403</v>
      </c>
      <c r="D217" s="11">
        <f t="shared" si="0"/>
        <v>23.789846517119244</v>
      </c>
      <c r="E217" s="13">
        <v>18</v>
      </c>
      <c r="F217" s="14">
        <f t="shared" si="1"/>
        <v>-5.7898465171192441</v>
      </c>
      <c r="G217" s="14">
        <f ca="1">IFERROR(__xludf.DUMMYFUNCTION("IFERROR(
  AVERAGE(
    FILTER(
      $D$2:$D217,
      $A$2:$A217 &gt;= A217 - 30,
      $A$2:$A217 &lt;= A217,
      $D$2:$D217 &gt; 0
    )
  ),
"""")
"),17.6063498393902)</f>
        <v>17.606349839390202</v>
      </c>
      <c r="H217" s="14"/>
    </row>
    <row r="218" spans="1:8" ht="15.75" customHeight="1" x14ac:dyDescent="0.25">
      <c r="A218" s="9">
        <v>46117</v>
      </c>
      <c r="B218" s="10">
        <v>0</v>
      </c>
      <c r="C218" s="10">
        <v>0</v>
      </c>
      <c r="D218" s="11" t="e">
        <f t="shared" si="0"/>
        <v>#DIV/0!</v>
      </c>
      <c r="E218" s="13">
        <v>18</v>
      </c>
      <c r="F218" s="14" t="e">
        <f t="shared" si="1"/>
        <v>#DIV/0!</v>
      </c>
      <c r="G218" s="14">
        <f ca="1">IFERROR(__xludf.DUMMYFUNCTION("IFERROR(
  AVERAGE(
    FILTER(
      $D$2:$D218,
      $A$2:$A218 &gt;= A218 - 30,
      $A$2:$A218 &lt;= A218,
      $D$2:$D218 &gt; 0
    )
  ),
"""")
"),17.6063498393902)</f>
        <v>17.606349839390202</v>
      </c>
      <c r="H218" s="14"/>
    </row>
    <row r="219" spans="1:8" ht="15.75" customHeight="1" x14ac:dyDescent="0.25">
      <c r="A219" s="9">
        <v>46118</v>
      </c>
      <c r="B219" s="10">
        <v>1252</v>
      </c>
      <c r="C219" s="10">
        <v>236</v>
      </c>
      <c r="D219" s="11">
        <f t="shared" si="0"/>
        <v>18.849840255591054</v>
      </c>
      <c r="E219" s="13">
        <v>18</v>
      </c>
      <c r="F219" s="14">
        <f t="shared" si="1"/>
        <v>-0.84984025559105447</v>
      </c>
      <c r="G219" s="14">
        <f ca="1">IFERROR(__xludf.DUMMYFUNCTION("IFERROR(
  AVERAGE(
    FILTER(
      $D$2:$D219,
      $A$2:$A219 &gt;= A219 - 30,
      $A$2:$A219 &lt;= A219,
      $D$2:$D219 &gt; 0
    )
  ),
"""")
"),17.6772059251643)</f>
        <v>17.677205925164301</v>
      </c>
      <c r="H219" s="14"/>
    </row>
    <row r="220" spans="1:8" ht="15.75" customHeight="1" x14ac:dyDescent="0.25">
      <c r="A220" s="9">
        <v>46119</v>
      </c>
      <c r="B220" s="10">
        <v>1859</v>
      </c>
      <c r="C220" s="10">
        <v>353</v>
      </c>
      <c r="D220" s="11">
        <f t="shared" si="0"/>
        <v>18.988703604088219</v>
      </c>
      <c r="E220" s="13">
        <v>18</v>
      </c>
      <c r="F220" s="14">
        <f t="shared" si="1"/>
        <v>-0.98870360408821867</v>
      </c>
      <c r="G220" s="14">
        <f ca="1">IFERROR(__xludf.DUMMYFUNCTION("IFERROR(
  AVERAGE(
    FILTER(
      $D$2:$D220,
      $A$2:$A220 &gt;= A220 - 30,
      $A$2:$A220 &lt;= A220,
      $D$2:$D220 &gt; 0
    )
  ),
"""")
"),17.7135288060922)</f>
        <v>17.713528806092199</v>
      </c>
      <c r="H220" s="14"/>
    </row>
    <row r="221" spans="1:8" ht="15.75" customHeight="1" x14ac:dyDescent="0.25">
      <c r="A221" s="9">
        <v>46120</v>
      </c>
      <c r="B221" s="10">
        <v>1684</v>
      </c>
      <c r="C221" s="10">
        <v>306</v>
      </c>
      <c r="D221" s="11">
        <f t="shared" si="0"/>
        <v>18.171021377672208</v>
      </c>
      <c r="E221" s="13">
        <v>18</v>
      </c>
      <c r="F221" s="14">
        <f t="shared" si="1"/>
        <v>-0.17102137767220782</v>
      </c>
      <c r="G221" s="14">
        <f ca="1">IFERROR(__xludf.DUMMYFUNCTION("IFERROR(
  AVERAGE(
    FILTER(
      $D$2:$D221,
      $A$2:$A221 &gt;= A221 - 30,
      $A$2:$A221 &lt;= A221,
      $D$2:$D221 &gt; 0
    )
  ),
"""")
"),17.5640288887189)</f>
        <v>17.564028888718902</v>
      </c>
      <c r="H221" s="14"/>
    </row>
    <row r="222" spans="1:8" ht="15.75" customHeight="1" x14ac:dyDescent="0.25">
      <c r="A222" s="9">
        <v>46121</v>
      </c>
      <c r="B222" s="10">
        <v>1975</v>
      </c>
      <c r="C222" s="10">
        <v>360</v>
      </c>
      <c r="D222" s="11">
        <f t="shared" si="0"/>
        <v>18.227848101265824</v>
      </c>
      <c r="E222" s="13">
        <v>18</v>
      </c>
      <c r="F222" s="14">
        <f t="shared" si="1"/>
        <v>-0.227848101265824</v>
      </c>
      <c r="G222" s="14">
        <f ca="1">IFERROR(__xludf.DUMMYFUNCTION("IFERROR(
  AVERAGE(
    FILTER(
      $D$2:$D222,
      $A$2:$A222 &gt;= A222 - 30,
      $A$2:$A222 &lt;= A222,
      $D$2:$D222 &gt; 0
    )
  ),
"""")
"),17.6655729143136)</f>
        <v>17.6655729143136</v>
      </c>
      <c r="H222" s="14"/>
    </row>
    <row r="223" spans="1:8" ht="15.75" customHeight="1" x14ac:dyDescent="0.25">
      <c r="A223" s="9">
        <v>46122</v>
      </c>
      <c r="B223" s="10">
        <v>2109</v>
      </c>
      <c r="C223" s="10">
        <v>309</v>
      </c>
      <c r="D223" s="11">
        <f t="shared" si="0"/>
        <v>14.65149359886202</v>
      </c>
      <c r="E223" s="13">
        <v>18</v>
      </c>
      <c r="F223" s="14">
        <f t="shared" si="1"/>
        <v>3.3485064011379801</v>
      </c>
      <c r="G223" s="14">
        <f ca="1">IFERROR(__xludf.DUMMYFUNCTION("IFERROR(
  AVERAGE(
    FILTER(
      $D$2:$D223,
      $A$2:$A223 &gt;= A223 - 30,
      $A$2:$A223 &lt;= A223,
      $D$2:$D223 &gt; 0
    )
  ),
"""")
"),17.5286432790836)</f>
        <v>17.5286432790836</v>
      </c>
      <c r="H223" s="14"/>
    </row>
    <row r="224" spans="1:8" ht="15.75" customHeight="1" x14ac:dyDescent="0.25">
      <c r="A224" s="9">
        <v>46123</v>
      </c>
      <c r="B224" s="10">
        <v>2035</v>
      </c>
      <c r="C224" s="10">
        <v>237</v>
      </c>
      <c r="D224" s="11">
        <f t="shared" si="0"/>
        <v>11.646191646191646</v>
      </c>
      <c r="E224" s="13">
        <v>18</v>
      </c>
      <c r="F224" s="14">
        <f t="shared" si="1"/>
        <v>6.3538083538083541</v>
      </c>
      <c r="G224" s="14">
        <f ca="1">IFERROR(__xludf.DUMMYFUNCTION("IFERROR(
  AVERAGE(
    FILTER(
      $D$2:$D224,
      $A$2:$A224 &gt;= A224 - 30,
      $A$2:$A224 &lt;= A224,
      $D$2:$D224 &gt; 0
    )
  ),
"""")
"),17.3309973610987)</f>
        <v>17.330997361098699</v>
      </c>
      <c r="H224" s="14"/>
    </row>
    <row r="225" spans="1:8" ht="15.75" customHeight="1" x14ac:dyDescent="0.25">
      <c r="A225" s="9">
        <v>46124</v>
      </c>
      <c r="B225" s="10">
        <v>1123</v>
      </c>
      <c r="C225" s="10">
        <v>132</v>
      </c>
      <c r="D225" s="11">
        <f t="shared" si="0"/>
        <v>11.754229741763135</v>
      </c>
      <c r="E225" s="13">
        <v>18</v>
      </c>
      <c r="F225" s="14">
        <f t="shared" si="1"/>
        <v>6.245770258236865</v>
      </c>
      <c r="G225" s="14">
        <f ca="1">IFERROR(__xludf.DUMMYFUNCTION("IFERROR(
  AVERAGE(
    FILTER(
      $D$2:$D225,
      $A$2:$A225 &gt;= A225 - 30,
      $A$2:$A225 &lt;= A225,
      $D$2:$D225 &gt; 0
    )
  ),
"""")
"),17.0275077810011)</f>
        <v>17.027507781001098</v>
      </c>
      <c r="H225" s="14"/>
    </row>
    <row r="226" spans="1:8" ht="15.75" customHeight="1" x14ac:dyDescent="0.25">
      <c r="A226" s="9">
        <v>46125</v>
      </c>
      <c r="B226" s="10">
        <v>2696</v>
      </c>
      <c r="C226" s="10">
        <v>391</v>
      </c>
      <c r="D226" s="11">
        <f t="shared" si="0"/>
        <v>14.502967359050444</v>
      </c>
      <c r="E226" s="13">
        <v>18</v>
      </c>
      <c r="F226" s="14">
        <f t="shared" si="1"/>
        <v>3.4970326409495556</v>
      </c>
      <c r="G226" s="14">
        <f ca="1">IFERROR(__xludf.DUMMYFUNCTION("IFERROR(
  AVERAGE(
    FILTER(
      $D$2:$D226,
      $A$2:$A226 &gt;= A226 - 30,
      $A$2:$A226 &lt;= A226,
      $D$2:$D226 &gt; 0
    )
  ),
"""")
"),16.8081873511836)</f>
        <v>16.808187351183602</v>
      </c>
      <c r="H226" s="14"/>
    </row>
    <row r="227" spans="1:8" ht="15.75" customHeight="1" x14ac:dyDescent="0.25">
      <c r="A227" s="9">
        <v>46126</v>
      </c>
      <c r="B227" s="10">
        <v>2136</v>
      </c>
      <c r="C227" s="10">
        <v>376</v>
      </c>
      <c r="D227" s="11">
        <f t="shared" si="0"/>
        <v>17.602996254681649</v>
      </c>
      <c r="E227" s="13">
        <v>18</v>
      </c>
      <c r="F227" s="14">
        <f t="shared" si="1"/>
        <v>0.39700374531835081</v>
      </c>
      <c r="G227" s="14">
        <f ca="1">IFERROR(__xludf.DUMMYFUNCTION("IFERROR(
  AVERAGE(
    FILTER(
      $D$2:$D227,
      $A$2:$A227 &gt;= A227 - 30,
      $A$2:$A227 &lt;= A227,
      $D$2:$D227 &gt; 0
    )
  ),
"""")
"),16.8457327839247)</f>
        <v>16.845732783924699</v>
      </c>
      <c r="H227" s="14"/>
    </row>
    <row r="228" spans="1:8" ht="15.75" customHeight="1" x14ac:dyDescent="0.25">
      <c r="A228" s="9">
        <v>46127</v>
      </c>
      <c r="B228" s="10">
        <v>605</v>
      </c>
      <c r="C228" s="10">
        <v>31</v>
      </c>
      <c r="D228" s="11">
        <f t="shared" si="0"/>
        <v>5.1239669421487601</v>
      </c>
      <c r="E228" s="13">
        <v>18</v>
      </c>
      <c r="F228" s="14">
        <f t="shared" si="1"/>
        <v>12.87603305785124</v>
      </c>
      <c r="G228" s="14">
        <f ca="1">IFERROR(__xludf.DUMMYFUNCTION("IFERROR(
  AVERAGE(
    FILTER(
      $D$2:$D228,
      $A$2:$A228 &gt;= A228 - 30,
      $A$2:$A228 &lt;= A228,
      $D$2:$D228 &gt; 0
    )
  ),
"""")
"),16.4415339617945)</f>
        <v>16.441533961794502</v>
      </c>
      <c r="H228" s="14"/>
    </row>
    <row r="229" spans="1:8" ht="15.75" customHeight="1" x14ac:dyDescent="0.25">
      <c r="A229" s="9">
        <v>46128</v>
      </c>
      <c r="B229" s="10">
        <v>1596</v>
      </c>
      <c r="C229" s="10">
        <v>319</v>
      </c>
      <c r="D229" s="11">
        <f t="shared" si="0"/>
        <v>19.987468671679199</v>
      </c>
      <c r="E229" s="13">
        <v>18</v>
      </c>
      <c r="F229" s="14">
        <f t="shared" si="1"/>
        <v>-1.9874686716791992</v>
      </c>
      <c r="G229" s="14">
        <f ca="1">IFERROR(__xludf.DUMMYFUNCTION("IFERROR(
  AVERAGE(
    FILTER(
      $D$2:$D229,
      $A$2:$A229 &gt;= A229 - 30,
      $A$2:$A229 &lt;= A229,
      $D$2:$D229 &gt; 0
    )
  ),
"""")
"),16.6960715221275)</f>
        <v>16.6960715221275</v>
      </c>
      <c r="H229" s="14"/>
    </row>
    <row r="230" spans="1:8" ht="15.75" customHeight="1" x14ac:dyDescent="0.25">
      <c r="A230" s="9">
        <v>46129</v>
      </c>
      <c r="B230" s="10">
        <v>760</v>
      </c>
      <c r="C230" s="10">
        <v>130</v>
      </c>
      <c r="D230" s="11">
        <f t="shared" si="0"/>
        <v>17.105263157894736</v>
      </c>
      <c r="E230" s="13">
        <v>18</v>
      </c>
      <c r="F230" s="14">
        <f t="shared" si="1"/>
        <v>0.89473684210526372</v>
      </c>
      <c r="G230" s="14">
        <f ca="1">IFERROR(__xludf.DUMMYFUNCTION("IFERROR(
  AVERAGE(
    FILTER(
      $D$2:$D230,
      $A$2:$A230 &gt;= A230 - 30,
      $A$2:$A230 &lt;= A230,
      $D$2:$D230 &gt; 0
    )
  ),
"""")
"),16.6503757705915)</f>
        <v>16.650375770591499</v>
      </c>
      <c r="H230" s="14"/>
    </row>
    <row r="231" spans="1:8" ht="15.75" customHeight="1" x14ac:dyDescent="0.25">
      <c r="A231" s="9">
        <v>46130</v>
      </c>
      <c r="B231" s="10">
        <v>1148</v>
      </c>
      <c r="C231" s="10">
        <v>206</v>
      </c>
      <c r="D231" s="11">
        <f t="shared" si="0"/>
        <v>17.94425087108014</v>
      </c>
      <c r="E231" s="13">
        <v>18</v>
      </c>
      <c r="F231" s="14">
        <f t="shared" si="1"/>
        <v>5.5749128919860169E-2</v>
      </c>
      <c r="G231" s="14">
        <f ca="1">IFERROR(__xludf.DUMMYFUNCTION("IFERROR(
  AVERAGE(
    FILTER(
      $D$2:$D231,
      $A$2:$A231 &gt;= A231 - 30,
      $A$2:$A231 &lt;= A231,
      $D$2:$D231 &gt; 0
    )
  ),
"""")
"),16.7047098114689)</f>
        <v>16.704709811468899</v>
      </c>
      <c r="H231" s="14"/>
    </row>
    <row r="232" spans="1:8" ht="15.75" customHeight="1" x14ac:dyDescent="0.25">
      <c r="A232" s="9">
        <v>46131</v>
      </c>
      <c r="B232" s="10">
        <v>0</v>
      </c>
      <c r="C232" s="10">
        <v>0</v>
      </c>
      <c r="D232" s="11" t="e">
        <f t="shared" si="0"/>
        <v>#DIV/0!</v>
      </c>
      <c r="E232" s="13">
        <v>18</v>
      </c>
      <c r="F232" s="14" t="e">
        <f t="shared" si="1"/>
        <v>#DIV/0!</v>
      </c>
      <c r="G232" s="14">
        <f ca="1">IFERROR(__xludf.DUMMYFUNCTION("IFERROR(
  AVERAGE(
    FILTER(
      $D$2:$D232,
      $A$2:$A232 &gt;= A232 - 30,
      $A$2:$A232 &lt;= A232,
      $D$2:$D232 &gt; 0
    )
  ),
"""")
"),16.7353971359627)</f>
        <v>16.7353971359627</v>
      </c>
      <c r="H232" s="14"/>
    </row>
    <row r="233" spans="1:8" ht="15.75" customHeight="1" x14ac:dyDescent="0.25">
      <c r="A233" s="9">
        <v>46132</v>
      </c>
      <c r="B233" s="10">
        <v>1172</v>
      </c>
      <c r="C233" s="10">
        <v>185</v>
      </c>
      <c r="D233" s="11">
        <f t="shared" si="0"/>
        <v>15.784982935153582</v>
      </c>
      <c r="E233" s="13">
        <v>18</v>
      </c>
      <c r="F233" s="14">
        <f t="shared" si="1"/>
        <v>2.2150170648464176</v>
      </c>
      <c r="G233" s="14">
        <f ca="1">IFERROR(__xludf.DUMMYFUNCTION("IFERROR(
  AVERAGE(
    FILTER(
      $D$2:$D233,
      $A$2:$A233 &gt;= A233 - 30,
      $A$2:$A233 &lt;= A233,
      $D$2:$D233 &gt; 0
    )
  ),
"""")
"),16.6998481441223)</f>
        <v>16.699848144122299</v>
      </c>
      <c r="H233" s="14"/>
    </row>
    <row r="234" spans="1:8" ht="15.75" customHeight="1" x14ac:dyDescent="0.25">
      <c r="A234" s="9">
        <v>46133</v>
      </c>
      <c r="B234" s="10">
        <v>1448</v>
      </c>
      <c r="C234" s="10">
        <v>183</v>
      </c>
      <c r="D234" s="11">
        <f t="shared" si="0"/>
        <v>12.638121546961326</v>
      </c>
      <c r="E234" s="13">
        <v>18</v>
      </c>
      <c r="F234" s="14">
        <f t="shared" si="1"/>
        <v>5.3618784530386741</v>
      </c>
      <c r="G234" s="14">
        <f ca="1">IFERROR(__xludf.DUMMYFUNCTION("IFERROR(
  AVERAGE(
    FILTER(
      $D$2:$D234,
      $A$2:$A234 &gt;= A234 - 30,
      $A$2:$A234 &lt;= A234,
      $D$2:$D234 &gt; 0
    )
  ),
"""")
"),16.5428338497872)</f>
        <v>16.542833849787201</v>
      </c>
      <c r="H234" s="14"/>
    </row>
    <row r="235" spans="1:8" ht="15.75" customHeight="1" x14ac:dyDescent="0.25">
      <c r="A235" s="9">
        <v>46134</v>
      </c>
      <c r="B235" s="10">
        <v>1863</v>
      </c>
      <c r="C235" s="10">
        <v>161</v>
      </c>
      <c r="D235" s="11">
        <f t="shared" si="0"/>
        <v>8.6419753086419746</v>
      </c>
      <c r="E235" s="13">
        <v>18</v>
      </c>
      <c r="F235" s="14">
        <f t="shared" si="1"/>
        <v>9.3580246913580254</v>
      </c>
      <c r="G235" s="14">
        <f ca="1">IFERROR(__xludf.DUMMYFUNCTION("IFERROR(
  AVERAGE(
    FILTER(
      $D$2:$D235,
      $A$2:$A235 &gt;= A235 - 30,
      $A$2:$A235 &lt;= A235,
      $D$2:$D235 &gt; 0
    )
  ),
"""")
"),16.2703904518167)</f>
        <v>16.270390451816699</v>
      </c>
      <c r="H235" s="14"/>
    </row>
    <row r="236" spans="1:8" ht="15.75" customHeight="1" x14ac:dyDescent="0.25">
      <c r="A236" s="9">
        <v>46135</v>
      </c>
      <c r="B236" s="10">
        <v>1987</v>
      </c>
      <c r="C236" s="10">
        <v>211</v>
      </c>
      <c r="D236" s="11">
        <f t="shared" si="0"/>
        <v>10.619023653749371</v>
      </c>
      <c r="E236" s="13">
        <v>18</v>
      </c>
      <c r="F236" s="14">
        <f t="shared" si="1"/>
        <v>7.3809763462506286</v>
      </c>
      <c r="G236" s="14">
        <f ca="1">IFERROR(__xludf.DUMMYFUNCTION("IFERROR(
  AVERAGE(
    FILTER(
      $D$2:$D236,
      $A$2:$A236 &gt;= A236 - 30,
      $A$2:$A236 &lt;= A236,
      $D$2:$D236 &gt; 0
    )
  ),
"""")
"),16.1299870726534)</f>
        <v>16.1299870726534</v>
      </c>
      <c r="H236" s="14"/>
    </row>
    <row r="237" spans="1:8" ht="15.75" customHeight="1" x14ac:dyDescent="0.25">
      <c r="A237" s="9">
        <v>46136</v>
      </c>
      <c r="B237" s="10">
        <v>1444</v>
      </c>
      <c r="C237" s="10">
        <v>209</v>
      </c>
      <c r="D237" s="11">
        <f t="shared" si="0"/>
        <v>14.473684210526317</v>
      </c>
      <c r="E237" s="13">
        <v>18</v>
      </c>
      <c r="F237" s="14">
        <f t="shared" si="1"/>
        <v>3.5263157894736832</v>
      </c>
      <c r="G237" s="14">
        <f ca="1">IFERROR(__xludf.DUMMYFUNCTION("IFERROR(
  AVERAGE(
    FILTER(
      $D$2:$D237,
      $A$2:$A237 &gt;= A237 - 30,
      $A$2:$A237 &lt;= A237,
      $D$2:$D237 &gt; 0
    )
  ),
"""")
"),16.1695565721029)</f>
        <v>16.169556572102898</v>
      </c>
      <c r="H237" s="14"/>
    </row>
    <row r="238" spans="1:8" ht="15.75" customHeight="1" x14ac:dyDescent="0.25">
      <c r="A238" s="9">
        <v>46137</v>
      </c>
      <c r="B238" s="10">
        <v>808</v>
      </c>
      <c r="C238" s="10">
        <v>150</v>
      </c>
      <c r="D238" s="11">
        <f t="shared" si="0"/>
        <v>18.564356435643564</v>
      </c>
      <c r="E238" s="13">
        <v>18</v>
      </c>
      <c r="F238" s="14">
        <f t="shared" si="1"/>
        <v>-0.56435643564356397</v>
      </c>
      <c r="G238" s="14">
        <f ca="1">IFERROR(__xludf.DUMMYFUNCTION("IFERROR(
  AVERAGE(
    FILTER(
      $D$2:$D238,
      $A$2:$A238 &gt;= A238 - 30,
      $A$2:$A238 &lt;= A238,
      $D$2:$D238 &gt; 0
    )
  ),
"""")
"),16.2848625305204)</f>
        <v>16.2848625305204</v>
      </c>
      <c r="H238" s="14"/>
    </row>
    <row r="239" spans="1:8" ht="15.75" customHeight="1" x14ac:dyDescent="0.25">
      <c r="A239" s="9">
        <v>46138</v>
      </c>
      <c r="B239" s="10">
        <v>551</v>
      </c>
      <c r="C239" s="10">
        <v>54</v>
      </c>
      <c r="D239" s="11">
        <f t="shared" si="0"/>
        <v>9.8003629764065341</v>
      </c>
      <c r="E239" s="13">
        <v>18</v>
      </c>
      <c r="F239" s="14">
        <f t="shared" si="1"/>
        <v>8.1996370235934659</v>
      </c>
      <c r="G239" s="14">
        <f ca="1">IFERROR(__xludf.DUMMYFUNCTION("IFERROR(
  AVERAGE(
    FILTER(
      $D$2:$D239,
      $A$2:$A239 &gt;= A239 - 30,
      $A$2:$A239 &lt;= A239,
      $D$2:$D239 &gt; 0
    )
  ),
"""")
"),16.0486698797224)</f>
        <v>16.0486698797224</v>
      </c>
      <c r="H239" s="14"/>
    </row>
    <row r="240" spans="1:8" ht="15.75" customHeight="1" x14ac:dyDescent="0.25">
      <c r="A240" s="9">
        <v>46139</v>
      </c>
      <c r="B240" s="10">
        <v>1267</v>
      </c>
      <c r="C240" s="10">
        <v>182</v>
      </c>
      <c r="D240" s="11">
        <f t="shared" si="0"/>
        <v>14.3646408839779</v>
      </c>
      <c r="E240" s="13">
        <v>18</v>
      </c>
      <c r="F240" s="14">
        <f t="shared" si="1"/>
        <v>3.6353591160220997</v>
      </c>
      <c r="G240" s="14">
        <f ca="1">IFERROR(__xludf.DUMMYFUNCTION("IFERROR(
  AVERAGE(
    FILTER(
      $D$2:$D240,
      $A$2:$A240 &gt;= A240 - 30,
      $A$2:$A240 &lt;= A240,
      $D$2:$D240 &gt; 0
    )
  ),
"""")
"),16.0815001285757)</f>
        <v>16.081500128575701</v>
      </c>
      <c r="H240" s="14"/>
    </row>
    <row r="241" spans="1:8" ht="15.75" customHeight="1" x14ac:dyDescent="0.25">
      <c r="A241" s="9">
        <v>46140</v>
      </c>
      <c r="B241" s="10"/>
      <c r="C241" s="10"/>
      <c r="D241" s="11" t="e">
        <f t="shared" si="0"/>
        <v>#DIV/0!</v>
      </c>
      <c r="E241" s="13">
        <v>18</v>
      </c>
      <c r="F241" s="14" t="e">
        <f t="shared" si="1"/>
        <v>#DIV/0!</v>
      </c>
      <c r="G241" s="14">
        <f ca="1">IFERROR(__xludf.DUMMYFUNCTION("IFERROR(
  AVERAGE(
    FILTER(
      $D$2:$D241,
      $A$2:$A241 &gt;= A241 - 30,
      $A$2:$A241 &lt;= A241,
      $D$2:$D241 &gt; 0
    )
  ),
"""")
"),16.0417884887754)</f>
        <v>16.041788488775399</v>
      </c>
      <c r="H241" s="14"/>
    </row>
    <row r="242" spans="1:8" ht="15.75" customHeight="1" x14ac:dyDescent="0.25">
      <c r="A242" s="9">
        <v>46141</v>
      </c>
      <c r="B242" s="10"/>
      <c r="C242" s="10"/>
      <c r="D242" s="11" t="e">
        <f t="shared" si="0"/>
        <v>#DIV/0!</v>
      </c>
      <c r="E242" s="13">
        <v>18</v>
      </c>
      <c r="F242" s="14" t="e">
        <f t="shared" si="1"/>
        <v>#DIV/0!</v>
      </c>
      <c r="G242" s="14">
        <f ca="1">IFERROR(__xludf.DUMMYFUNCTION("IFERROR(
  AVERAGE(
    FILTER(
      $D$2:$D242,
      $A$2:$A242 &gt;= A242 - 30,
      $A$2:$A242 &lt;= A242,
      $D$2:$D242 &gt; 0
    )
  ),
"""")
"),15.9614889312038)</f>
        <v>15.9614889312038</v>
      </c>
      <c r="H242" s="14"/>
    </row>
    <row r="243" spans="1:8" ht="15.75" customHeight="1" x14ac:dyDescent="0.25">
      <c r="A243" s="9">
        <v>46142</v>
      </c>
      <c r="B243" s="10"/>
      <c r="C243" s="10"/>
      <c r="D243" s="11" t="e">
        <f t="shared" si="0"/>
        <v>#DIV/0!</v>
      </c>
      <c r="E243" s="13">
        <v>18</v>
      </c>
      <c r="F243" s="14" t="e">
        <f t="shared" si="1"/>
        <v>#DIV/0!</v>
      </c>
      <c r="G243" s="14">
        <f ca="1">IFERROR(__xludf.DUMMYFUNCTION("IFERROR(
  AVERAGE(
    FILTER(
      $D$2:$D243,
      $A$2:$A243 &gt;= A243 - 30,
      $A$2:$A243 &lt;= A243,
      $D$2:$D243 &gt; 0
    )
  ),
"""")
"),15.8438564456802)</f>
        <v>15.843856445680199</v>
      </c>
      <c r="H243" s="14"/>
    </row>
    <row r="244" spans="1:8" ht="15.75" customHeight="1" x14ac:dyDescent="0.25">
      <c r="A244" s="9">
        <v>46143</v>
      </c>
      <c r="B244" s="10"/>
      <c r="C244" s="10"/>
      <c r="D244" s="11" t="e">
        <f t="shared" si="0"/>
        <v>#DIV/0!</v>
      </c>
      <c r="E244" s="13">
        <v>18</v>
      </c>
      <c r="F244" s="14" t="e">
        <f t="shared" si="1"/>
        <v>#DIV/0!</v>
      </c>
      <c r="G244" s="14">
        <f ca="1">IFERROR(__xludf.DUMMYFUNCTION("IFERROR(
  AVERAGE(
    FILTER(
      $D$2:$D244,
      $A$2:$A244 &gt;= A244 - 30,
      $A$2:$A244 &lt;= A244,
      $D$2:$D244 &gt; 0
    )
  ),
"""")
"),15.6173956497439)</f>
        <v>15.6173956497439</v>
      </c>
      <c r="H244" s="14"/>
    </row>
    <row r="245" spans="1:8" ht="15.75" customHeight="1" x14ac:dyDescent="0.25">
      <c r="A245" s="9">
        <v>46144</v>
      </c>
      <c r="B245" s="10"/>
      <c r="C245" s="10"/>
      <c r="D245" s="11" t="e">
        <f t="shared" si="0"/>
        <v>#DIV/0!</v>
      </c>
      <c r="E245" s="13">
        <v>18</v>
      </c>
      <c r="F245" s="14" t="e">
        <f t="shared" si="1"/>
        <v>#DIV/0!</v>
      </c>
      <c r="G245" s="14">
        <f ca="1">IFERROR(__xludf.DUMMYFUNCTION("IFERROR(
  AVERAGE(
    FILTER(
      $D$2:$D245,
      $A$2:$A245 &gt;= A245 - 30,
      $A$2:$A245 &lt;= A245,
      $D$2:$D245 &gt; 0
    )
  ),
"""")
"),15.5888121278846)</f>
        <v>15.5888121278846</v>
      </c>
      <c r="H245" s="14"/>
    </row>
    <row r="246" spans="1:8" ht="15.75" customHeight="1" x14ac:dyDescent="0.25">
      <c r="A246" s="9">
        <v>46145</v>
      </c>
      <c r="B246" s="10"/>
      <c r="C246" s="10"/>
      <c r="D246" s="11" t="e">
        <f t="shared" si="0"/>
        <v>#DIV/0!</v>
      </c>
      <c r="E246" s="13">
        <v>18</v>
      </c>
      <c r="F246" s="14" t="e">
        <f t="shared" si="1"/>
        <v>#DIV/0!</v>
      </c>
      <c r="G246" s="14">
        <f ca="1">IFERROR(__xludf.DUMMYFUNCTION("IFERROR(
  AVERAGE(
    FILTER(
      $D$2:$D246,
      $A$2:$A246 &gt;= A246 - 30,
      $A$2:$A246 &lt;= A246,
      $D$2:$D246 &gt; 0
    )
  ),
"""")
"),15.3686362966589)</f>
        <v>15.368636296658901</v>
      </c>
      <c r="H246" s="14"/>
    </row>
    <row r="247" spans="1:8" ht="15.75" customHeight="1" x14ac:dyDescent="0.25">
      <c r="A247" s="9">
        <v>46146</v>
      </c>
      <c r="B247" s="10"/>
      <c r="C247" s="10"/>
      <c r="D247" s="11" t="e">
        <f t="shared" si="0"/>
        <v>#DIV/0!</v>
      </c>
      <c r="E247" s="13">
        <v>18</v>
      </c>
      <c r="F247" s="14" t="e">
        <f t="shared" si="1"/>
        <v>#DIV/0!</v>
      </c>
      <c r="G247" s="14">
        <f ca="1">IFERROR(__xludf.DUMMYFUNCTION("IFERROR(
  AVERAGE(
    FILTER(
      $D$2:$D247,
      $A$2:$A247 &gt;= A247 - 30,
      $A$2:$A247 &lt;= A247,
      $D$2:$D247 &gt; 0
    )
  ),
"""")
"),15.1469652750067)</f>
        <v>15.1469652750067</v>
      </c>
      <c r="H247" s="14"/>
    </row>
    <row r="248" spans="1:8" ht="15.75" customHeight="1" x14ac:dyDescent="0.25">
      <c r="A248" s="9">
        <v>46147</v>
      </c>
      <c r="B248" s="10"/>
      <c r="C248" s="10"/>
      <c r="D248" s="11" t="e">
        <f t="shared" si="0"/>
        <v>#DIV/0!</v>
      </c>
      <c r="E248" s="13">
        <v>18</v>
      </c>
      <c r="F248" s="14" t="e">
        <f t="shared" si="1"/>
        <v>#DIV/0!</v>
      </c>
      <c r="G248" s="14">
        <f ca="1">IFERROR(__xludf.DUMMYFUNCTION("IFERROR(
  AVERAGE(
    FILTER(
      $D$2:$D248,
      $A$2:$A248 &gt;= A248 - 30,
      $A$2:$A248 &lt;= A248,
      $D$2:$D248 &gt; 0
    )
  ),
"""")
"),14.7353995015728)</f>
        <v>14.7353995015728</v>
      </c>
      <c r="H248" s="14"/>
    </row>
    <row r="249" spans="1:8" ht="15.75" customHeight="1" x14ac:dyDescent="0.25">
      <c r="A249" s="9">
        <v>46148</v>
      </c>
      <c r="B249" s="10"/>
      <c r="C249" s="10"/>
      <c r="D249" s="11" t="e">
        <f t="shared" si="0"/>
        <v>#DIV/0!</v>
      </c>
      <c r="E249" s="13">
        <v>18</v>
      </c>
      <c r="F249" s="14" t="e">
        <f t="shared" si="1"/>
        <v>#DIV/0!</v>
      </c>
      <c r="G249" s="14">
        <f ca="1">IFERROR(__xludf.DUMMYFUNCTION("IFERROR(
  AVERAGE(
    FILTER(
      $D$2:$D249,
      $A$2:$A249 &gt;= A249 - 30,
      $A$2:$A249 &lt;= A249,
      $D$2:$D249 &gt; 0
    )
  ),
"""")
"),14.7353995015728)</f>
        <v>14.7353995015728</v>
      </c>
      <c r="H249" s="14"/>
    </row>
    <row r="250" spans="1:8" ht="15.75" customHeight="1" x14ac:dyDescent="0.25">
      <c r="A250" s="9">
        <v>46149</v>
      </c>
      <c r="B250" s="10"/>
      <c r="C250" s="10"/>
      <c r="D250" s="11" t="e">
        <f t="shared" si="0"/>
        <v>#DIV/0!</v>
      </c>
      <c r="E250" s="13">
        <v>18</v>
      </c>
      <c r="F250" s="14" t="e">
        <f t="shared" si="1"/>
        <v>#DIV/0!</v>
      </c>
      <c r="G250" s="14">
        <f ca="1">IFERROR(__xludf.DUMMYFUNCTION("IFERROR(
  AVERAGE(
    FILTER(
      $D$2:$D250,
      $A$2:$A250 &gt;= A250 - 30,
      $A$2:$A250 &lt;= A250,
      $D$2:$D250 &gt; 0
    )
  ),
"""")
"),14.5296774638719)</f>
        <v>14.5296774638719</v>
      </c>
      <c r="H250" s="14"/>
    </row>
    <row r="251" spans="1:8" ht="15.75" customHeight="1" x14ac:dyDescent="0.25">
      <c r="A251" s="9">
        <v>46150</v>
      </c>
      <c r="B251" s="10"/>
      <c r="C251" s="10"/>
      <c r="D251" s="11" t="e">
        <f t="shared" si="0"/>
        <v>#DIV/0!</v>
      </c>
      <c r="E251" s="13">
        <v>18</v>
      </c>
      <c r="F251" s="14" t="e">
        <f t="shared" si="1"/>
        <v>#DIV/0!</v>
      </c>
      <c r="G251" s="14">
        <f ca="1">IFERROR(__xludf.DUMMYFUNCTION("IFERROR(
  AVERAGE(
    FILTER(
      $D$2:$D251,
      $A$2:$A251 &gt;= A251 - 30,
      $A$2:$A251 &lt;= A251,
      $D$2:$D251 &gt; 0
    )
  ),
"""")
"),14.2949918775447)</f>
        <v>14.2949918775447</v>
      </c>
      <c r="H251" s="14"/>
    </row>
    <row r="252" spans="1:8" ht="15.75" customHeight="1" x14ac:dyDescent="0.25">
      <c r="A252" s="9">
        <v>46151</v>
      </c>
      <c r="B252" s="10"/>
      <c r="C252" s="10"/>
      <c r="D252" s="11" t="e">
        <f t="shared" si="0"/>
        <v>#DIV/0!</v>
      </c>
      <c r="E252" s="13">
        <v>18</v>
      </c>
      <c r="F252" s="14" t="e">
        <f t="shared" si="1"/>
        <v>#DIV/0!</v>
      </c>
      <c r="G252" s="14">
        <f ca="1">IFERROR(__xludf.DUMMYFUNCTION("IFERROR(
  AVERAGE(
    FILTER(
      $D$2:$D252,
      $A$2:$A252 &gt;= A252 - 30,
      $A$2:$A252 &lt;= A252,
      $D$2:$D252 &gt; 0
    )
  ),
"""")
"),14.0796569053154)</f>
        <v>14.079656905315399</v>
      </c>
      <c r="H252" s="14"/>
    </row>
    <row r="253" spans="1:8" ht="15.75" customHeight="1" x14ac:dyDescent="0.25">
      <c r="A253" s="9">
        <v>46152</v>
      </c>
      <c r="B253" s="10"/>
      <c r="C253" s="10"/>
      <c r="D253" s="11" t="e">
        <f t="shared" si="0"/>
        <v>#DIV/0!</v>
      </c>
      <c r="E253" s="13">
        <v>18</v>
      </c>
      <c r="F253" s="14" t="e">
        <f t="shared" si="1"/>
        <v>#DIV/0!</v>
      </c>
      <c r="G253" s="14">
        <f ca="1">IFERROR(__xludf.DUMMYFUNCTION("IFERROR(
  AVERAGE(
    FILTER(
      $D$2:$D253,
      $A$2:$A253 &gt;= A253 - 30,
      $A$2:$A253 &lt;= A253,
      $D$2:$D253 &gt; 0
    )
  ),
"""")
"),13.8356456584948)</f>
        <v>13.8356456584948</v>
      </c>
      <c r="H253" s="14"/>
    </row>
    <row r="254" spans="1:8" ht="15.75" customHeight="1" x14ac:dyDescent="0.25">
      <c r="A254" s="9">
        <v>46153</v>
      </c>
      <c r="B254" s="10"/>
      <c r="C254" s="10"/>
      <c r="D254" s="11" t="e">
        <f t="shared" si="0"/>
        <v>#DIV/0!</v>
      </c>
      <c r="E254" s="13">
        <v>18</v>
      </c>
      <c r="F254" s="14" t="e">
        <f t="shared" si="1"/>
        <v>#DIV/0!</v>
      </c>
      <c r="G254" s="14">
        <f ca="1">IFERROR(__xludf.DUMMYFUNCTION("IFERROR(
  AVERAGE(
    FILTER(
      $D$2:$D254,
      $A$2:$A254 &gt;= A254 - 30,
      $A$2:$A254 &lt;= A254,
      $D$2:$D254 &gt; 0
    )
  ),
"""")
"),13.7846551622218)</f>
        <v>13.784655162221799</v>
      </c>
      <c r="H254" s="14"/>
    </row>
    <row r="255" spans="1:8" ht="15.75" customHeight="1" x14ac:dyDescent="0.25">
      <c r="A255" s="9">
        <v>46154</v>
      </c>
      <c r="B255" s="10"/>
      <c r="C255" s="10"/>
      <c r="D255" s="11" t="e">
        <f t="shared" si="0"/>
        <v>#DIV/0!</v>
      </c>
      <c r="E255" s="13">
        <v>18</v>
      </c>
      <c r="F255" s="14" t="e">
        <f t="shared" si="1"/>
        <v>#DIV/0!</v>
      </c>
      <c r="G255" s="14">
        <f ca="1">IFERROR(__xludf.DUMMYFUNCTION("IFERROR(
  AVERAGE(
    FILTER(
      $D$2:$D255,
      $A$2:$A255 &gt;= A255 - 30,
      $A$2:$A255 &lt;= A255,
      $D$2:$D255 &gt; 0
    )
  ),
"""")
"),13.9272193966239)</f>
        <v>13.927219396623901</v>
      </c>
      <c r="H255" s="14"/>
    </row>
    <row r="256" spans="1:8" ht="15.75" customHeight="1" x14ac:dyDescent="0.25">
      <c r="A256" s="9">
        <v>46155</v>
      </c>
      <c r="B256" s="10"/>
      <c r="C256" s="10"/>
      <c r="D256" s="11" t="e">
        <f t="shared" si="0"/>
        <v>#DIV/0!</v>
      </c>
      <c r="E256" s="13">
        <v>18</v>
      </c>
      <c r="F256" s="14" t="e">
        <f t="shared" si="1"/>
        <v>#DIV/0!</v>
      </c>
      <c r="G256" s="14">
        <f ca="1">IFERROR(__xludf.DUMMYFUNCTION("IFERROR(
  AVERAGE(
    FILTER(
      $D$2:$D256,
      $A$2:$A256 &gt;= A256 - 30,
      $A$2:$A256 &lt;= A256,
      $D$2:$D256 &gt; 0
    )
  ),
"""")
"),14.0824329433996)</f>
        <v>14.082432943399599</v>
      </c>
      <c r="H256" s="14"/>
    </row>
    <row r="257" spans="1:8" ht="15.75" customHeight="1" x14ac:dyDescent="0.25">
      <c r="A257" s="9">
        <v>46156</v>
      </c>
      <c r="B257" s="10"/>
      <c r="C257" s="10"/>
      <c r="D257" s="11"/>
      <c r="E257" s="13"/>
      <c r="F257" s="14"/>
      <c r="G257" s="14"/>
      <c r="H257" s="14"/>
    </row>
    <row r="258" spans="1:8" ht="15.75" customHeight="1" x14ac:dyDescent="0.25">
      <c r="A258" s="9">
        <v>46157</v>
      </c>
      <c r="B258" s="10"/>
      <c r="C258" s="10"/>
      <c r="D258" s="11"/>
      <c r="E258" s="13"/>
      <c r="F258" s="14"/>
      <c r="G258" s="14"/>
      <c r="H258" s="14"/>
    </row>
    <row r="259" spans="1:8" ht="15.75" customHeight="1" x14ac:dyDescent="0.25">
      <c r="A259" s="9">
        <v>46158</v>
      </c>
      <c r="B259" s="10"/>
      <c r="C259" s="10"/>
      <c r="D259" s="11"/>
      <c r="E259" s="13"/>
      <c r="F259" s="14"/>
      <c r="G259" s="14"/>
      <c r="H259" s="14"/>
    </row>
    <row r="260" spans="1:8" ht="15.75" customHeight="1" x14ac:dyDescent="0.25">
      <c r="A260" s="9">
        <v>46159</v>
      </c>
      <c r="B260" s="10"/>
      <c r="C260" s="10"/>
      <c r="D260" s="11"/>
      <c r="E260" s="13"/>
      <c r="F260" s="14"/>
      <c r="G260" s="14"/>
      <c r="H260" s="14"/>
    </row>
    <row r="261" spans="1:8" ht="15.75" customHeight="1" x14ac:dyDescent="0.25">
      <c r="A261" s="9">
        <v>46160</v>
      </c>
      <c r="B261" s="10"/>
      <c r="C261" s="10"/>
      <c r="D261" s="11"/>
      <c r="E261" s="13"/>
      <c r="F261" s="14"/>
      <c r="G261" s="14"/>
      <c r="H261" s="14"/>
    </row>
    <row r="262" spans="1:8" ht="15.75" customHeight="1" x14ac:dyDescent="0.25">
      <c r="A262" s="9">
        <v>46161</v>
      </c>
      <c r="B262" s="10"/>
      <c r="C262" s="10"/>
      <c r="D262" s="11"/>
      <c r="E262" s="13"/>
      <c r="F262" s="14"/>
      <c r="G262" s="14"/>
      <c r="H262" s="14"/>
    </row>
    <row r="263" spans="1:8" ht="15.75" customHeight="1" x14ac:dyDescent="0.25">
      <c r="A263" s="9"/>
      <c r="B263" s="10"/>
      <c r="C263" s="10"/>
      <c r="D263" s="11"/>
      <c r="E263" s="13"/>
      <c r="F263" s="14"/>
      <c r="G263" s="14"/>
      <c r="H263" s="14"/>
    </row>
    <row r="264" spans="1:8" ht="15.75" customHeight="1" x14ac:dyDescent="0.25">
      <c r="A264" s="9"/>
      <c r="B264" s="10"/>
      <c r="C264" s="10"/>
      <c r="D264" s="11"/>
      <c r="E264" s="13"/>
      <c r="F264" s="14"/>
      <c r="G264" s="14"/>
      <c r="H264" s="14"/>
    </row>
    <row r="265" spans="1:8" ht="15.75" customHeight="1" x14ac:dyDescent="0.25">
      <c r="A265" s="9"/>
      <c r="B265" s="10"/>
      <c r="C265" s="10"/>
      <c r="D265" s="11"/>
      <c r="E265" s="13"/>
      <c r="F265" s="14"/>
      <c r="G265" s="14"/>
      <c r="H265" s="14"/>
    </row>
    <row r="266" spans="1:8" ht="15.75" customHeight="1" x14ac:dyDescent="0.25">
      <c r="A266" s="9"/>
      <c r="B266" s="10"/>
      <c r="C266" s="10"/>
      <c r="D266" s="11"/>
      <c r="E266" s="13"/>
      <c r="F266" s="14"/>
      <c r="G266" s="14"/>
      <c r="H266" s="14"/>
    </row>
    <row r="267" spans="1:8" ht="15.75" customHeight="1" x14ac:dyDescent="0.25">
      <c r="A267" s="9"/>
      <c r="B267" s="10"/>
      <c r="C267" s="10"/>
      <c r="D267" s="11"/>
      <c r="E267" s="13"/>
      <c r="F267" s="14"/>
      <c r="G267" s="14"/>
      <c r="H267" s="14"/>
    </row>
    <row r="268" spans="1:8" ht="15.75" customHeight="1" x14ac:dyDescent="0.25">
      <c r="A268" s="9"/>
      <c r="B268" s="10"/>
      <c r="C268" s="10"/>
      <c r="D268" s="11"/>
      <c r="E268" s="13"/>
      <c r="F268" s="14"/>
      <c r="G268" s="14"/>
      <c r="H268" s="14"/>
    </row>
    <row r="269" spans="1:8" ht="15.75" customHeight="1" x14ac:dyDescent="0.25">
      <c r="A269" s="9"/>
      <c r="B269" s="10"/>
      <c r="C269" s="10"/>
      <c r="D269" s="11"/>
      <c r="E269" s="13"/>
      <c r="F269" s="14"/>
      <c r="G269" s="14"/>
      <c r="H269" s="14"/>
    </row>
    <row r="270" spans="1:8" ht="15.75" customHeight="1" x14ac:dyDescent="0.25">
      <c r="A270" s="9"/>
      <c r="B270" s="10"/>
      <c r="C270" s="10"/>
      <c r="D270" s="11"/>
      <c r="E270" s="13"/>
      <c r="F270" s="14"/>
      <c r="G270" s="14"/>
      <c r="H270" s="14"/>
    </row>
    <row r="271" spans="1:8" ht="15.75" customHeight="1" x14ac:dyDescent="0.25">
      <c r="A271" s="9"/>
      <c r="B271" s="10"/>
      <c r="C271" s="10"/>
      <c r="D271" s="11"/>
      <c r="E271" s="13"/>
      <c r="F271" s="14"/>
      <c r="G271" s="14"/>
      <c r="H271" s="14"/>
    </row>
    <row r="272" spans="1:8" ht="15.75" customHeight="1" x14ac:dyDescent="0.25">
      <c r="A272" s="9"/>
      <c r="B272" s="10"/>
      <c r="C272" s="10"/>
      <c r="D272" s="11"/>
      <c r="E272" s="13"/>
      <c r="F272" s="14"/>
      <c r="G272" s="14"/>
      <c r="H272" s="14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25"/>
  <sheetViews>
    <sheetView tabSelected="1" workbookViewId="0">
      <pane ySplit="1" topLeftCell="A2" activePane="bottomLeft" state="frozen"/>
      <selection pane="bottomLeft" activeCell="H5" sqref="H5"/>
    </sheetView>
  </sheetViews>
  <sheetFormatPr defaultColWidth="14.42578125" defaultRowHeight="15" customHeight="1" x14ac:dyDescent="0.25"/>
  <cols>
    <col min="1" max="1" width="10.5703125" customWidth="1"/>
    <col min="2" max="2" width="9.85546875" customWidth="1"/>
    <col min="3" max="3" width="10.140625" customWidth="1"/>
    <col min="4" max="5" width="14" customWidth="1"/>
    <col min="6" max="7" width="16.28515625" customWidth="1"/>
    <col min="8" max="8" width="12.5703125" customWidth="1"/>
    <col min="9" max="9" width="10.140625" customWidth="1"/>
  </cols>
  <sheetData>
    <row r="1" spans="1:9" ht="36" x14ac:dyDescent="0.25">
      <c r="A1" s="15" t="s">
        <v>0</v>
      </c>
      <c r="B1" s="19" t="s">
        <v>55</v>
      </c>
      <c r="C1" s="19" t="s">
        <v>56</v>
      </c>
      <c r="D1" s="19" t="s">
        <v>57</v>
      </c>
      <c r="E1" s="5" t="s">
        <v>58</v>
      </c>
      <c r="F1" s="6" t="s">
        <v>59</v>
      </c>
      <c r="G1" s="7" t="s">
        <v>60</v>
      </c>
      <c r="H1" s="8" t="s">
        <v>49</v>
      </c>
      <c r="I1" s="7" t="s">
        <v>24</v>
      </c>
    </row>
    <row r="2" spans="1:9" ht="15.75" customHeight="1" x14ac:dyDescent="0.25">
      <c r="A2" s="9">
        <v>45931</v>
      </c>
      <c r="B2" s="20">
        <v>205</v>
      </c>
      <c r="C2" s="20">
        <v>9</v>
      </c>
      <c r="D2" s="11">
        <f t="shared" ref="D2:D218" si="0">B2-C2</f>
        <v>196</v>
      </c>
      <c r="E2" s="11">
        <f t="shared" ref="E2:E218" si="1">C2/B2*100</f>
        <v>4.3902439024390238</v>
      </c>
      <c r="F2" s="13">
        <v>4</v>
      </c>
      <c r="G2" s="14">
        <f t="shared" ref="G2:G233" si="2">F2-E2</f>
        <v>-0.39024390243902385</v>
      </c>
      <c r="H2" s="14">
        <f ca="1">IFERROR(__xludf.DUMMYFUNCTION("IFERROR(
  AVERAGE(
    FILTER(
      $E$2:$E2,
      $A$2:$A2 &gt;= A2 - 30,
      $A$2:$A2 &lt;= A2,
      $E$2:$E2 &gt; 0
    )
  ),
"""")"),4.39024390243902)</f>
        <v>4.3902439024390203</v>
      </c>
      <c r="I2" s="14"/>
    </row>
    <row r="3" spans="1:9" ht="15.75" customHeight="1" x14ac:dyDescent="0.25">
      <c r="A3" s="9">
        <v>45932</v>
      </c>
      <c r="B3" s="20">
        <v>0</v>
      </c>
      <c r="C3" s="20">
        <v>0</v>
      </c>
      <c r="D3" s="11">
        <f t="shared" si="0"/>
        <v>0</v>
      </c>
      <c r="E3" s="11" t="e">
        <f t="shared" si="1"/>
        <v>#DIV/0!</v>
      </c>
      <c r="F3" s="13">
        <v>4</v>
      </c>
      <c r="G3" s="14" t="e">
        <f t="shared" si="2"/>
        <v>#DIV/0!</v>
      </c>
      <c r="H3" s="14">
        <f ca="1">IFERROR(__xludf.DUMMYFUNCTION("IFERROR(
  AVERAGE(
    FILTER(
      $E$2:$E3,
      $A$2:$A3 &gt;= A3 - 30,
      $A$2:$A3 &lt;= A3,
      $E$2:$E3 &gt; 0
    )
  ),
"""")"),4.39024390243902)</f>
        <v>4.3902439024390203</v>
      </c>
      <c r="I3" s="14"/>
    </row>
    <row r="4" spans="1:9" ht="15.75" customHeight="1" x14ac:dyDescent="0.25">
      <c r="A4" s="9">
        <v>45933</v>
      </c>
      <c r="B4" s="20">
        <v>137.6</v>
      </c>
      <c r="C4" s="20">
        <v>28</v>
      </c>
      <c r="D4" s="11">
        <f t="shared" si="0"/>
        <v>109.6</v>
      </c>
      <c r="E4" s="11">
        <f t="shared" si="1"/>
        <v>20.348837209302324</v>
      </c>
      <c r="F4" s="13">
        <v>4</v>
      </c>
      <c r="G4" s="14">
        <f t="shared" si="2"/>
        <v>-16.348837209302324</v>
      </c>
      <c r="H4" s="14">
        <f ca="1">IFERROR(__xludf.DUMMYFUNCTION("IFERROR(
  AVERAGE(
    FILTER(
      $E$2:$E4,
      $A$2:$A4 &gt;= A4 - 30,
      $A$2:$A4 &lt;= A4,
      $E$2:$E4 &gt; 0
    )
  ),
"""")"),12.3695405558706)</f>
        <v>12.3695405558706</v>
      </c>
      <c r="I4" s="14"/>
    </row>
    <row r="5" spans="1:9" ht="15.75" customHeight="1" x14ac:dyDescent="0.25">
      <c r="A5" s="9">
        <v>45934</v>
      </c>
      <c r="B5" s="20">
        <v>274</v>
      </c>
      <c r="C5" s="20">
        <v>40</v>
      </c>
      <c r="D5" s="11">
        <f t="shared" si="0"/>
        <v>234</v>
      </c>
      <c r="E5" s="11">
        <f t="shared" si="1"/>
        <v>14.5985401459854</v>
      </c>
      <c r="F5" s="13">
        <v>4</v>
      </c>
      <c r="G5" s="14">
        <f t="shared" si="2"/>
        <v>-10.5985401459854</v>
      </c>
      <c r="H5" s="14">
        <f ca="1">IFERROR(__xludf.DUMMYFUNCTION("IFERROR(
  AVERAGE(
    FILTER(
      $E$2:$E5,
      $A$2:$A5 &gt;= A5 - 30,
      $A$2:$A5 &lt;= A5,
      $E$2:$E5 &gt; 0
    )
  ),
"""")"),13.1125404192422)</f>
        <v>13.112540419242199</v>
      </c>
      <c r="I5" s="14"/>
    </row>
    <row r="6" spans="1:9" ht="15.75" customHeight="1" x14ac:dyDescent="0.25">
      <c r="A6" s="9">
        <v>45935</v>
      </c>
      <c r="B6" s="20">
        <v>549</v>
      </c>
      <c r="C6" s="20">
        <v>6</v>
      </c>
      <c r="D6" s="11">
        <f t="shared" si="0"/>
        <v>543</v>
      </c>
      <c r="E6" s="11">
        <f t="shared" si="1"/>
        <v>1.0928961748633881</v>
      </c>
      <c r="F6" s="13">
        <v>4</v>
      </c>
      <c r="G6" s="14">
        <f t="shared" si="2"/>
        <v>2.9071038251366117</v>
      </c>
      <c r="H6" s="14">
        <f ca="1">IFERROR(__xludf.DUMMYFUNCTION("IFERROR(
  AVERAGE(
    FILTER(
      $E$2:$E6,
      $A$2:$A6 &gt;= A6 - 30,
      $A$2:$A6 &lt;= A6,
      $E$2:$E6 &gt; 0
    )
  ),
"""")"),10.1076293581475)</f>
        <v>10.1076293581475</v>
      </c>
      <c r="I6" s="14"/>
    </row>
    <row r="7" spans="1:9" ht="15.75" customHeight="1" x14ac:dyDescent="0.25">
      <c r="A7" s="9">
        <v>45936</v>
      </c>
      <c r="B7" s="20">
        <v>1157.5</v>
      </c>
      <c r="C7" s="20">
        <v>34</v>
      </c>
      <c r="D7" s="11">
        <f t="shared" si="0"/>
        <v>1123.5</v>
      </c>
      <c r="E7" s="11">
        <f t="shared" si="1"/>
        <v>2.937365010799136</v>
      </c>
      <c r="F7" s="13">
        <v>4</v>
      </c>
      <c r="G7" s="14">
        <f t="shared" si="2"/>
        <v>1.062634989200864</v>
      </c>
      <c r="H7" s="14">
        <f ca="1">IFERROR(__xludf.DUMMYFUNCTION("IFERROR(
  AVERAGE(
    FILTER(
      $E$2:$E7,
      $A$2:$A7 &gt;= A7 - 30,
      $A$2:$A7 &lt;= A7,
      $E$2:$E7 &gt; 0
    )
  ),
"""")"),8.67357648867785)</f>
        <v>8.6735764886778508</v>
      </c>
      <c r="I7" s="14"/>
    </row>
    <row r="8" spans="1:9" ht="15.75" customHeight="1" x14ac:dyDescent="0.25">
      <c r="A8" s="9">
        <v>45937</v>
      </c>
      <c r="B8" s="20">
        <v>1033.4000000000001</v>
      </c>
      <c r="C8" s="20">
        <v>121</v>
      </c>
      <c r="D8" s="11">
        <f t="shared" si="0"/>
        <v>912.40000000000009</v>
      </c>
      <c r="E8" s="11">
        <f t="shared" si="1"/>
        <v>11.708922005031933</v>
      </c>
      <c r="F8" s="13">
        <v>4</v>
      </c>
      <c r="G8" s="14">
        <f t="shared" si="2"/>
        <v>-7.7089220050319334</v>
      </c>
      <c r="H8" s="14">
        <f ca="1">IFERROR(__xludf.DUMMYFUNCTION("IFERROR(
  AVERAGE(
    FILTER(
      $E$2:$E8,
      $A$2:$A8 &gt;= A8 - 30,
      $A$2:$A8 &lt;= A8,
      $E$2:$E8 &gt; 0
    )
  ),
"""")"),9.1794674080702)</f>
        <v>9.1794674080702006</v>
      </c>
      <c r="I8" s="14"/>
    </row>
    <row r="9" spans="1:9" ht="15.75" customHeight="1" x14ac:dyDescent="0.25">
      <c r="A9" s="9">
        <v>45938</v>
      </c>
      <c r="B9" s="20">
        <v>1255.2</v>
      </c>
      <c r="C9" s="20">
        <v>98</v>
      </c>
      <c r="D9" s="11">
        <f t="shared" si="0"/>
        <v>1157.2</v>
      </c>
      <c r="E9" s="11">
        <f t="shared" si="1"/>
        <v>7.8075207138304652</v>
      </c>
      <c r="F9" s="13">
        <v>4</v>
      </c>
      <c r="G9" s="14">
        <f t="shared" si="2"/>
        <v>-3.8075207138304652</v>
      </c>
      <c r="H9" s="14">
        <f ca="1">IFERROR(__xludf.DUMMYFUNCTION("IFERROR(
  AVERAGE(
    FILTER(
      $E$2:$E9,
      $A$2:$A9 &gt;= A9 - 30,
      $A$2:$A9 &lt;= A9,
      $E$2:$E9 &gt; 0
    )
  ),
"""")"),8.98347502317881)</f>
        <v>8.9834750231788103</v>
      </c>
      <c r="I9" s="14"/>
    </row>
    <row r="10" spans="1:9" ht="15.75" customHeight="1" x14ac:dyDescent="0.25">
      <c r="A10" s="9">
        <v>45939</v>
      </c>
      <c r="B10" s="20">
        <v>1598.8</v>
      </c>
      <c r="C10" s="20">
        <v>142.69999999999999</v>
      </c>
      <c r="D10" s="11">
        <f t="shared" si="0"/>
        <v>1456.1</v>
      </c>
      <c r="E10" s="11">
        <f t="shared" si="1"/>
        <v>8.9254440830622972</v>
      </c>
      <c r="F10" s="13">
        <v>4</v>
      </c>
      <c r="G10" s="14">
        <f t="shared" si="2"/>
        <v>-4.9254440830622972</v>
      </c>
      <c r="H10" s="14">
        <f ca="1">IFERROR(__xludf.DUMMYFUNCTION("IFERROR(
  AVERAGE(
    FILTER(
      $E$2:$E10,
      $A$2:$A10 &gt;= A10 - 30,
      $A$2:$A10 &lt;= A10,
      $E$2:$E10 &gt; 0
    )
  ),
"""")"),8.97622115566424)</f>
        <v>8.9762211556642395</v>
      </c>
      <c r="I10" s="14"/>
    </row>
    <row r="11" spans="1:9" ht="15.75" customHeight="1" x14ac:dyDescent="0.25">
      <c r="A11" s="9">
        <v>45940</v>
      </c>
      <c r="B11" s="20">
        <v>2413</v>
      </c>
      <c r="C11" s="20">
        <v>85</v>
      </c>
      <c r="D11" s="11">
        <f t="shared" si="0"/>
        <v>2328</v>
      </c>
      <c r="E11" s="11">
        <f t="shared" si="1"/>
        <v>3.5225859925404066</v>
      </c>
      <c r="F11" s="13">
        <v>4</v>
      </c>
      <c r="G11" s="14">
        <f t="shared" si="2"/>
        <v>0.47741400745959339</v>
      </c>
      <c r="H11" s="14">
        <f ca="1">IFERROR(__xludf.DUMMYFUNCTION("IFERROR(
  AVERAGE(
    FILTER(
      $E$2:$E11,
      $A$2:$A11 &gt;= A11 - 30,
      $A$2:$A11 &lt;= A11,
      $E$2:$E11 &gt; 0
    )
  ),
"""")"),8.37026169309493)</f>
        <v>8.3702616930949301</v>
      </c>
      <c r="I11" s="14"/>
    </row>
    <row r="12" spans="1:9" ht="15.75" customHeight="1" x14ac:dyDescent="0.25">
      <c r="A12" s="9">
        <v>45941</v>
      </c>
      <c r="B12" s="20">
        <v>941</v>
      </c>
      <c r="C12" s="20">
        <v>120</v>
      </c>
      <c r="D12" s="11">
        <f t="shared" si="0"/>
        <v>821</v>
      </c>
      <c r="E12" s="11">
        <f t="shared" si="1"/>
        <v>12.752391073326249</v>
      </c>
      <c r="F12" s="13">
        <v>4</v>
      </c>
      <c r="G12" s="14">
        <f t="shared" si="2"/>
        <v>-8.7523910733262493</v>
      </c>
      <c r="H12" s="14">
        <f ca="1">IFERROR(__xludf.DUMMYFUNCTION("IFERROR(
  AVERAGE(
    FILTER(
      $E$2:$E12,
      $A$2:$A12 &gt;= A12 - 30,
      $A$2:$A12 &lt;= A12,
      $E$2:$E12 &gt; 0
    )
  ),
"""")"),8.80847463111806)</f>
        <v>8.8084746311180595</v>
      </c>
      <c r="I12" s="14"/>
    </row>
    <row r="13" spans="1:9" ht="15.75" customHeight="1" x14ac:dyDescent="0.25">
      <c r="A13" s="9">
        <v>45942</v>
      </c>
      <c r="B13" s="20">
        <v>0</v>
      </c>
      <c r="C13" s="20">
        <v>0</v>
      </c>
      <c r="D13" s="11">
        <f t="shared" si="0"/>
        <v>0</v>
      </c>
      <c r="E13" s="11" t="e">
        <f t="shared" si="1"/>
        <v>#DIV/0!</v>
      </c>
      <c r="F13" s="13">
        <v>4</v>
      </c>
      <c r="G13" s="14" t="e">
        <f t="shared" si="2"/>
        <v>#DIV/0!</v>
      </c>
      <c r="H13" s="14">
        <f ca="1">IFERROR(__xludf.DUMMYFUNCTION("IFERROR(
  AVERAGE(
    FILTER(
      $E$2:$E13,
      $A$2:$A13 &gt;= A13 - 30,
      $A$2:$A13 &lt;= A13,
      $E$2:$E13 &gt; 0
    )
  ),
"""")"),8.80847463111806)</f>
        <v>8.8084746311180595</v>
      </c>
      <c r="I13" s="14"/>
    </row>
    <row r="14" spans="1:9" ht="15.75" customHeight="1" x14ac:dyDescent="0.25">
      <c r="A14" s="9">
        <v>45943</v>
      </c>
      <c r="B14" s="20">
        <v>0</v>
      </c>
      <c r="C14" s="20">
        <v>0</v>
      </c>
      <c r="D14" s="11">
        <f t="shared" si="0"/>
        <v>0</v>
      </c>
      <c r="E14" s="11" t="e">
        <f t="shared" si="1"/>
        <v>#DIV/0!</v>
      </c>
      <c r="F14" s="13">
        <v>4</v>
      </c>
      <c r="G14" s="14" t="e">
        <f t="shared" si="2"/>
        <v>#DIV/0!</v>
      </c>
      <c r="H14" s="14">
        <f ca="1">IFERROR(__xludf.DUMMYFUNCTION("IFERROR(
  AVERAGE(
    FILTER(
      $E$2:$E14,
      $A$2:$A14 &gt;= A14 - 30,
      $A$2:$A14 &lt;= A14,
      $E$2:$E14 &gt; 0
    )
  ),
"""")"),8.80847463111806)</f>
        <v>8.8084746311180595</v>
      </c>
      <c r="I14" s="14"/>
    </row>
    <row r="15" spans="1:9" ht="15.75" customHeight="1" x14ac:dyDescent="0.25">
      <c r="A15" s="9">
        <v>45944</v>
      </c>
      <c r="B15" s="20">
        <v>0</v>
      </c>
      <c r="C15" s="20">
        <v>0</v>
      </c>
      <c r="D15" s="11">
        <f t="shared" si="0"/>
        <v>0</v>
      </c>
      <c r="E15" s="11" t="e">
        <f t="shared" si="1"/>
        <v>#DIV/0!</v>
      </c>
      <c r="F15" s="13">
        <v>4</v>
      </c>
      <c r="G15" s="14" t="e">
        <f t="shared" si="2"/>
        <v>#DIV/0!</v>
      </c>
      <c r="H15" s="14">
        <f ca="1">IFERROR(__xludf.DUMMYFUNCTION("IFERROR(
  AVERAGE(
    FILTER(
      $E$2:$E15,
      $A$2:$A15 &gt;= A15 - 30,
      $A$2:$A15 &lt;= A15,
      $E$2:$E15 &gt; 0
    )
  ),
"""")"),8.80847463111806)</f>
        <v>8.8084746311180595</v>
      </c>
      <c r="I15" s="14"/>
    </row>
    <row r="16" spans="1:9" ht="15.75" customHeight="1" x14ac:dyDescent="0.25">
      <c r="A16" s="9">
        <v>45945</v>
      </c>
      <c r="B16" s="20">
        <v>500</v>
      </c>
      <c r="C16" s="20">
        <v>6</v>
      </c>
      <c r="D16" s="11">
        <f t="shared" si="0"/>
        <v>494</v>
      </c>
      <c r="E16" s="11">
        <f t="shared" si="1"/>
        <v>1.2</v>
      </c>
      <c r="F16" s="13">
        <v>4</v>
      </c>
      <c r="G16" s="14">
        <f t="shared" si="2"/>
        <v>2.8</v>
      </c>
      <c r="H16" s="14">
        <f ca="1">IFERROR(__xludf.DUMMYFUNCTION("IFERROR(
  AVERAGE(
    FILTER(
      $E$2:$E16,
      $A$2:$A16 &gt;= A16 - 30,
      $A$2:$A16 &lt;= A16,
      $E$2:$E16 &gt; 0
    )
  ),
"""")"),8.11679511919824)</f>
        <v>8.1167951191982404</v>
      </c>
      <c r="I16" s="14"/>
    </row>
    <row r="17" spans="1:9" ht="15.75" customHeight="1" x14ac:dyDescent="0.25">
      <c r="A17" s="9">
        <v>45946</v>
      </c>
      <c r="B17" s="20">
        <v>1243</v>
      </c>
      <c r="C17" s="20">
        <v>15</v>
      </c>
      <c r="D17" s="11">
        <f t="shared" si="0"/>
        <v>1228</v>
      </c>
      <c r="E17" s="11">
        <f t="shared" si="1"/>
        <v>1.2067578439259854</v>
      </c>
      <c r="F17" s="13">
        <v>4</v>
      </c>
      <c r="G17" s="14">
        <f t="shared" si="2"/>
        <v>2.7932421560740144</v>
      </c>
      <c r="H17" s="14">
        <f ca="1">IFERROR(__xludf.DUMMYFUNCTION("IFERROR(
  AVERAGE(
    FILTER(
      $E$2:$E17,
      $A$2:$A17 &gt;= A17 - 30,
      $A$2:$A17 &lt;= A17,
      $E$2:$E17 &gt; 0
    )
  ),
"""")"),7.54095867959221)</f>
        <v>7.5409586795922099</v>
      </c>
      <c r="I17" s="14"/>
    </row>
    <row r="18" spans="1:9" ht="15.75" customHeight="1" x14ac:dyDescent="0.25">
      <c r="A18" s="9">
        <v>45947</v>
      </c>
      <c r="B18" s="20">
        <v>734</v>
      </c>
      <c r="C18" s="20">
        <v>10</v>
      </c>
      <c r="D18" s="11">
        <f t="shared" si="0"/>
        <v>724</v>
      </c>
      <c r="E18" s="11">
        <f t="shared" si="1"/>
        <v>1.3623978201634876</v>
      </c>
      <c r="F18" s="13">
        <v>4</v>
      </c>
      <c r="G18" s="14">
        <f t="shared" si="2"/>
        <v>2.6376021798365121</v>
      </c>
      <c r="H18" s="14">
        <f ca="1">IFERROR(__xludf.DUMMYFUNCTION("IFERROR(
  AVERAGE(
    FILTER(
      $E$2:$E18,
      $A$2:$A18 &gt;= A18 - 30,
      $A$2:$A18 &lt;= A18,
      $E$2:$E18 &gt; 0
    )
  ),
"""")"),7.06568476732847)</f>
        <v>7.0656847673284702</v>
      </c>
      <c r="I18" s="14"/>
    </row>
    <row r="19" spans="1:9" ht="15.75" customHeight="1" x14ac:dyDescent="0.25">
      <c r="A19" s="9">
        <v>45948</v>
      </c>
      <c r="B19" s="20">
        <v>0</v>
      </c>
      <c r="C19" s="20">
        <v>0</v>
      </c>
      <c r="D19" s="11">
        <f t="shared" si="0"/>
        <v>0</v>
      </c>
      <c r="E19" s="11" t="e">
        <f t="shared" si="1"/>
        <v>#DIV/0!</v>
      </c>
      <c r="F19" s="13">
        <v>4</v>
      </c>
      <c r="G19" s="14" t="e">
        <f t="shared" si="2"/>
        <v>#DIV/0!</v>
      </c>
      <c r="H19" s="14">
        <f ca="1">IFERROR(__xludf.DUMMYFUNCTION("IFERROR(
  AVERAGE(
    FILTER(
      $E$2:$E19,
      $A$2:$A19 &gt;= A19 - 30,
      $A$2:$A19 &lt;= A19,
      $E$2:$E19 &gt; 0
    )
  ),
"""")"),7.06568476732847)</f>
        <v>7.0656847673284702</v>
      </c>
      <c r="I19" s="14"/>
    </row>
    <row r="20" spans="1:9" ht="15.75" customHeight="1" x14ac:dyDescent="0.25">
      <c r="A20" s="9">
        <v>45949</v>
      </c>
      <c r="B20" s="20">
        <v>0</v>
      </c>
      <c r="C20" s="20">
        <v>0</v>
      </c>
      <c r="D20" s="11">
        <f t="shared" si="0"/>
        <v>0</v>
      </c>
      <c r="E20" s="11" t="e">
        <f t="shared" si="1"/>
        <v>#DIV/0!</v>
      </c>
      <c r="F20" s="13">
        <v>4</v>
      </c>
      <c r="G20" s="14" t="e">
        <f t="shared" si="2"/>
        <v>#DIV/0!</v>
      </c>
      <c r="H20" s="14">
        <f ca="1">IFERROR(__xludf.DUMMYFUNCTION("IFERROR(
  AVERAGE(
    FILTER(
      $E$2:$E20,
      $A$2:$A20 &gt;= A20 - 30,
      $A$2:$A20 &lt;= A20,
      $E$2:$E20 &gt; 0
    )
  ),
"""")"),7.06568476732847)</f>
        <v>7.0656847673284702</v>
      </c>
      <c r="I20" s="14"/>
    </row>
    <row r="21" spans="1:9" ht="15.75" customHeight="1" x14ac:dyDescent="0.25">
      <c r="A21" s="9">
        <v>45950</v>
      </c>
      <c r="B21" s="20">
        <v>0</v>
      </c>
      <c r="C21" s="20">
        <v>0</v>
      </c>
      <c r="D21" s="11">
        <f t="shared" si="0"/>
        <v>0</v>
      </c>
      <c r="E21" s="11" t="e">
        <f t="shared" si="1"/>
        <v>#DIV/0!</v>
      </c>
      <c r="F21" s="13">
        <v>4</v>
      </c>
      <c r="G21" s="14" t="e">
        <f t="shared" si="2"/>
        <v>#DIV/0!</v>
      </c>
      <c r="H21" s="14">
        <f ca="1">IFERROR(__xludf.DUMMYFUNCTION("IFERROR(
  AVERAGE(
    FILTER(
      $E$2:$E21,
      $A$2:$A21 &gt;= A21 - 30,
      $A$2:$A21 &lt;= A21,
      $E$2:$E21 &gt; 0
    )
  ),
"""")"),7.06568476732847)</f>
        <v>7.0656847673284702</v>
      </c>
      <c r="I21" s="14"/>
    </row>
    <row r="22" spans="1:9" ht="15.75" customHeight="1" x14ac:dyDescent="0.25">
      <c r="A22" s="9">
        <v>45951</v>
      </c>
      <c r="B22" s="20">
        <v>0</v>
      </c>
      <c r="C22" s="20">
        <v>0</v>
      </c>
      <c r="D22" s="11">
        <f t="shared" si="0"/>
        <v>0</v>
      </c>
      <c r="E22" s="11" t="e">
        <f t="shared" si="1"/>
        <v>#DIV/0!</v>
      </c>
      <c r="F22" s="13">
        <v>4</v>
      </c>
      <c r="G22" s="14" t="e">
        <f t="shared" si="2"/>
        <v>#DIV/0!</v>
      </c>
      <c r="H22" s="14">
        <f ca="1">IFERROR(__xludf.DUMMYFUNCTION("IFERROR(
  AVERAGE(
    FILTER(
      $E$2:$E22,
      $A$2:$A22 &gt;= A22 - 30,
      $A$2:$A22 &lt;= A22,
      $E$2:$E22 &gt; 0
    )
  ),
"""")"),7.06568476732847)</f>
        <v>7.0656847673284702</v>
      </c>
      <c r="I22" s="14"/>
    </row>
    <row r="23" spans="1:9" ht="15.75" customHeight="1" x14ac:dyDescent="0.25">
      <c r="A23" s="9">
        <v>45952</v>
      </c>
      <c r="B23" s="20">
        <v>0</v>
      </c>
      <c r="C23" s="20">
        <v>0</v>
      </c>
      <c r="D23" s="11">
        <f t="shared" si="0"/>
        <v>0</v>
      </c>
      <c r="E23" s="11" t="e">
        <f t="shared" si="1"/>
        <v>#DIV/0!</v>
      </c>
      <c r="F23" s="13">
        <v>4</v>
      </c>
      <c r="G23" s="14" t="e">
        <f t="shared" si="2"/>
        <v>#DIV/0!</v>
      </c>
      <c r="H23" s="14">
        <f ca="1">IFERROR(__xludf.DUMMYFUNCTION("IFERROR(
  AVERAGE(
    FILTER(
      $E$2:$E23,
      $A$2:$A23 &gt;= A23 - 30,
      $A$2:$A23 &lt;= A23,
      $E$2:$E23 &gt; 0
    )
  ),
"""")"),7.06568476732847)</f>
        <v>7.0656847673284702</v>
      </c>
      <c r="I23" s="14"/>
    </row>
    <row r="24" spans="1:9" ht="15.75" customHeight="1" x14ac:dyDescent="0.25">
      <c r="A24" s="9">
        <v>45953</v>
      </c>
      <c r="B24" s="20">
        <v>0</v>
      </c>
      <c r="C24" s="20">
        <v>0</v>
      </c>
      <c r="D24" s="11">
        <f t="shared" si="0"/>
        <v>0</v>
      </c>
      <c r="E24" s="11" t="e">
        <f t="shared" si="1"/>
        <v>#DIV/0!</v>
      </c>
      <c r="F24" s="13">
        <v>4</v>
      </c>
      <c r="G24" s="14" t="e">
        <f t="shared" si="2"/>
        <v>#DIV/0!</v>
      </c>
      <c r="H24" s="14">
        <f ca="1">IFERROR(__xludf.DUMMYFUNCTION("IFERROR(
  AVERAGE(
    FILTER(
      $E$2:$E24,
      $A$2:$A24 &gt;= A24 - 30,
      $A$2:$A24 &lt;= A24,
      $E$2:$E24 &gt; 0
    )
  ),
"""")"),7.06568476732847)</f>
        <v>7.0656847673284702</v>
      </c>
      <c r="I24" s="14"/>
    </row>
    <row r="25" spans="1:9" ht="15.75" customHeight="1" x14ac:dyDescent="0.25">
      <c r="A25" s="9">
        <v>45954</v>
      </c>
      <c r="B25" s="20">
        <v>0</v>
      </c>
      <c r="C25" s="20">
        <v>0</v>
      </c>
      <c r="D25" s="11">
        <f t="shared" si="0"/>
        <v>0</v>
      </c>
      <c r="E25" s="11" t="e">
        <f t="shared" si="1"/>
        <v>#DIV/0!</v>
      </c>
      <c r="F25" s="13">
        <v>4</v>
      </c>
      <c r="G25" s="14" t="e">
        <f t="shared" si="2"/>
        <v>#DIV/0!</v>
      </c>
      <c r="H25" s="14">
        <f ca="1">IFERROR(__xludf.DUMMYFUNCTION("IFERROR(
  AVERAGE(
    FILTER(
      $E$2:$E25,
      $A$2:$A25 &gt;= A25 - 30,
      $A$2:$A25 &lt;= A25,
      $E$2:$E25 &gt; 0
    )
  ),
"""")"),7.06568476732847)</f>
        <v>7.0656847673284702</v>
      </c>
      <c r="I25" s="14"/>
    </row>
    <row r="26" spans="1:9" ht="15.75" customHeight="1" x14ac:dyDescent="0.25">
      <c r="A26" s="9">
        <v>45955</v>
      </c>
      <c r="B26" s="20">
        <v>2192.1</v>
      </c>
      <c r="C26" s="20">
        <v>296</v>
      </c>
      <c r="D26" s="11">
        <f t="shared" si="0"/>
        <v>1896.1</v>
      </c>
      <c r="E26" s="11">
        <f t="shared" si="1"/>
        <v>13.503033620728983</v>
      </c>
      <c r="F26" s="13">
        <v>4</v>
      </c>
      <c r="G26" s="14">
        <f t="shared" si="2"/>
        <v>-9.5030336207289832</v>
      </c>
      <c r="H26" s="14">
        <f ca="1">IFERROR(__xludf.DUMMYFUNCTION("IFERROR(
  AVERAGE(
    FILTER(
      $E$2:$E26,
      $A$2:$A26 &gt;= A26 - 30,
      $A$2:$A26 &lt;= A26,
      $E$2:$E26 &gt; 0
    )
  ),
"""")"),7.52549539971422)</f>
        <v>7.5254953997142202</v>
      </c>
      <c r="I26" s="14"/>
    </row>
    <row r="27" spans="1:9" ht="15.75" customHeight="1" x14ac:dyDescent="0.25">
      <c r="A27" s="9">
        <v>45956</v>
      </c>
      <c r="B27" s="20">
        <v>0</v>
      </c>
      <c r="C27" s="20">
        <v>0</v>
      </c>
      <c r="D27" s="11">
        <f t="shared" si="0"/>
        <v>0</v>
      </c>
      <c r="E27" s="11" t="e">
        <f t="shared" si="1"/>
        <v>#DIV/0!</v>
      </c>
      <c r="F27" s="13">
        <v>4</v>
      </c>
      <c r="G27" s="14" t="e">
        <f t="shared" si="2"/>
        <v>#DIV/0!</v>
      </c>
      <c r="H27" s="14">
        <f ca="1">IFERROR(__xludf.DUMMYFUNCTION("IFERROR(
  AVERAGE(
    FILTER(
      $E$2:$E27,
      $A$2:$A27 &gt;= A27 - 30,
      $A$2:$A27 &lt;= A27,
      $E$2:$E27 &gt; 0
    )
  ),
"""")"),7.52549539971422)</f>
        <v>7.5254953997142202</v>
      </c>
      <c r="I27" s="14"/>
    </row>
    <row r="28" spans="1:9" ht="15.75" customHeight="1" x14ac:dyDescent="0.25">
      <c r="A28" s="9">
        <v>45957</v>
      </c>
      <c r="B28" s="20">
        <v>775</v>
      </c>
      <c r="C28" s="20">
        <v>32.5</v>
      </c>
      <c r="D28" s="11">
        <f t="shared" si="0"/>
        <v>742.5</v>
      </c>
      <c r="E28" s="11">
        <f t="shared" si="1"/>
        <v>4.1935483870967749</v>
      </c>
      <c r="F28" s="13">
        <v>4</v>
      </c>
      <c r="G28" s="14">
        <f t="shared" si="2"/>
        <v>-0.19354838709677491</v>
      </c>
      <c r="H28" s="14">
        <f ca="1">IFERROR(__xludf.DUMMYFUNCTION("IFERROR(
  AVERAGE(
    FILTER(
      $E$2:$E28,
      $A$2:$A28 &gt;= A28 - 30,
      $A$2:$A28 &lt;= A28,
      $E$2:$E28 &gt; 0
    )
  ),
"""")"),7.30336559887305)</f>
        <v>7.3033655988730501</v>
      </c>
      <c r="I28" s="14"/>
    </row>
    <row r="29" spans="1:9" ht="15.75" customHeight="1" x14ac:dyDescent="0.25">
      <c r="A29" s="9">
        <v>45958</v>
      </c>
      <c r="B29" s="20">
        <v>350</v>
      </c>
      <c r="C29" s="20">
        <v>15</v>
      </c>
      <c r="D29" s="11">
        <f t="shared" si="0"/>
        <v>335</v>
      </c>
      <c r="E29" s="11">
        <f t="shared" si="1"/>
        <v>4.2857142857142856</v>
      </c>
      <c r="F29" s="13">
        <v>4</v>
      </c>
      <c r="G29" s="14">
        <f t="shared" si="2"/>
        <v>-0.28571428571428559</v>
      </c>
      <c r="H29" s="14">
        <f ca="1">IFERROR(__xludf.DUMMYFUNCTION("IFERROR(
  AVERAGE(
    FILTER(
      $E$2:$E29,
      $A$2:$A29 &gt;= A29 - 30,
      $A$2:$A29 &lt;= A29,
      $E$2:$E29 &gt; 0
    )
  ),
"""")"),7.11476239180063)</f>
        <v>7.11476239180063</v>
      </c>
      <c r="I29" s="14"/>
    </row>
    <row r="30" spans="1:9" ht="15.75" customHeight="1" x14ac:dyDescent="0.25">
      <c r="A30" s="9">
        <v>45959</v>
      </c>
      <c r="B30" s="20">
        <v>840.8</v>
      </c>
      <c r="C30" s="20">
        <v>2</v>
      </c>
      <c r="D30" s="11">
        <f t="shared" si="0"/>
        <v>838.8</v>
      </c>
      <c r="E30" s="11">
        <f t="shared" si="1"/>
        <v>0.23786869647954328</v>
      </c>
      <c r="F30" s="13">
        <v>4</v>
      </c>
      <c r="G30" s="14">
        <f t="shared" si="2"/>
        <v>3.7621313035204569</v>
      </c>
      <c r="H30" s="14">
        <f ca="1">IFERROR(__xludf.DUMMYFUNCTION("IFERROR(
  AVERAGE(
    FILTER(
      $E$2:$E30,
      $A$2:$A30 &gt;= A30 - 30,
      $A$2:$A30 &lt;= A30,
      $E$2:$E30 &gt; 0
    )
  ),
"""")"),6.71023923325233)</f>
        <v>6.71023923325233</v>
      </c>
      <c r="I30" s="14"/>
    </row>
    <row r="31" spans="1:9" ht="15.75" customHeight="1" x14ac:dyDescent="0.25">
      <c r="A31" s="9">
        <v>45960</v>
      </c>
      <c r="B31" s="20">
        <v>0</v>
      </c>
      <c r="C31" s="20">
        <v>0</v>
      </c>
      <c r="D31" s="11">
        <f t="shared" si="0"/>
        <v>0</v>
      </c>
      <c r="E31" s="11" t="e">
        <f t="shared" si="1"/>
        <v>#DIV/0!</v>
      </c>
      <c r="F31" s="13">
        <v>4</v>
      </c>
      <c r="G31" s="14" t="e">
        <f t="shared" si="2"/>
        <v>#DIV/0!</v>
      </c>
      <c r="H31" s="14">
        <f ca="1">IFERROR(__xludf.DUMMYFUNCTION("IFERROR(
  AVERAGE(
    FILTER(
      $E$2:$E31,
      $A$2:$A31 &gt;= A31 - 30,
      $A$2:$A31 &lt;= A31,
      $E$2:$E31 &gt; 0
    )
  ),
"""")"),6.71023923325233)</f>
        <v>6.71023923325233</v>
      </c>
      <c r="I31" s="14"/>
    </row>
    <row r="32" spans="1:9" ht="15.75" customHeight="1" x14ac:dyDescent="0.25">
      <c r="A32" s="9">
        <v>45961</v>
      </c>
      <c r="B32" s="20">
        <v>0</v>
      </c>
      <c r="C32" s="20">
        <v>0</v>
      </c>
      <c r="D32" s="11">
        <f t="shared" si="0"/>
        <v>0</v>
      </c>
      <c r="E32" s="11" t="e">
        <f t="shared" si="1"/>
        <v>#DIV/0!</v>
      </c>
      <c r="F32" s="13">
        <v>4</v>
      </c>
      <c r="G32" s="14" t="e">
        <f t="shared" si="2"/>
        <v>#DIV/0!</v>
      </c>
      <c r="H32" s="14">
        <f ca="1">IFERROR(__xludf.DUMMYFUNCTION("IFERROR(
  AVERAGE(
    FILTER(
      $E$2:$E32,
      $A$2:$A32 &gt;= A32 - 30,
      $A$2:$A32 &lt;= A32,
      $E$2:$E32 &gt; 0
    )
  ),
"""")"),6.71023923325233)</f>
        <v>6.71023923325233</v>
      </c>
      <c r="I32" s="14"/>
    </row>
    <row r="33" spans="1:9" ht="15.75" customHeight="1" x14ac:dyDescent="0.25">
      <c r="A33" s="9">
        <v>45962</v>
      </c>
      <c r="B33" s="20">
        <v>0</v>
      </c>
      <c r="C33" s="20">
        <v>0</v>
      </c>
      <c r="D33" s="11">
        <f t="shared" si="0"/>
        <v>0</v>
      </c>
      <c r="E33" s="11" t="e">
        <f t="shared" si="1"/>
        <v>#DIV/0!</v>
      </c>
      <c r="F33" s="13">
        <v>4</v>
      </c>
      <c r="G33" s="14" t="e">
        <f t="shared" si="2"/>
        <v>#DIV/0!</v>
      </c>
      <c r="H33" s="14">
        <f ca="1">IFERROR(__xludf.DUMMYFUNCTION("IFERROR(
  AVERAGE(
    FILTER(
      $E$2:$E33,
      $A$2:$A33 &gt;= A33 - 30,
      $A$2:$A33 &lt;= A33,
      $E$2:$E33 &gt; 0
    )
  ),
"""")"),6.85523894142816)</f>
        <v>6.8552389414281603</v>
      </c>
      <c r="I33" s="14"/>
    </row>
    <row r="34" spans="1:9" ht="15.75" customHeight="1" x14ac:dyDescent="0.25">
      <c r="A34" s="9">
        <v>45963</v>
      </c>
      <c r="B34" s="20">
        <v>0</v>
      </c>
      <c r="C34" s="20">
        <v>0</v>
      </c>
      <c r="D34" s="11">
        <f t="shared" si="0"/>
        <v>0</v>
      </c>
      <c r="E34" s="11" t="e">
        <f t="shared" si="1"/>
        <v>#DIV/0!</v>
      </c>
      <c r="F34" s="13">
        <v>4</v>
      </c>
      <c r="G34" s="14" t="e">
        <f t="shared" si="2"/>
        <v>#DIV/0!</v>
      </c>
      <c r="H34" s="14">
        <f ca="1">IFERROR(__xludf.DUMMYFUNCTION("IFERROR(
  AVERAGE(
    FILTER(
      $E$2:$E34,
      $A$2:$A34 &gt;= A34 - 30,
      $A$2:$A34 &lt;= A34,
      $E$2:$E34 &gt; 0
    )
  ),
"""")"),6.85523894142816)</f>
        <v>6.8552389414281603</v>
      </c>
      <c r="I34" s="14"/>
    </row>
    <row r="35" spans="1:9" ht="15.75" customHeight="1" x14ac:dyDescent="0.25">
      <c r="A35" s="9">
        <v>45964</v>
      </c>
      <c r="B35" s="20">
        <v>0</v>
      </c>
      <c r="C35" s="20">
        <v>0</v>
      </c>
      <c r="D35" s="11">
        <f t="shared" si="0"/>
        <v>0</v>
      </c>
      <c r="E35" s="11" t="e">
        <f t="shared" si="1"/>
        <v>#DIV/0!</v>
      </c>
      <c r="F35" s="13">
        <v>4</v>
      </c>
      <c r="G35" s="14" t="e">
        <f t="shared" si="2"/>
        <v>#DIV/0!</v>
      </c>
      <c r="H35" s="14">
        <f ca="1">IFERROR(__xludf.DUMMYFUNCTION("IFERROR(
  AVERAGE(
    FILTER(
      $E$2:$E35,
      $A$2:$A35 &gt;= A35 - 30,
      $A$2:$A35 &lt;= A35,
      $E$2:$E35 &gt; 0
    )
  ),
"""")"),5.95566572356988)</f>
        <v>5.9556657235698802</v>
      </c>
      <c r="I35" s="14"/>
    </row>
    <row r="36" spans="1:9" ht="15.75" customHeight="1" x14ac:dyDescent="0.25">
      <c r="A36" s="9">
        <v>45965</v>
      </c>
      <c r="B36" s="20">
        <v>0</v>
      </c>
      <c r="C36" s="20">
        <v>0</v>
      </c>
      <c r="D36" s="11">
        <f t="shared" si="0"/>
        <v>0</v>
      </c>
      <c r="E36" s="11" t="e">
        <f t="shared" si="1"/>
        <v>#DIV/0!</v>
      </c>
      <c r="F36" s="13">
        <v>4</v>
      </c>
      <c r="G36" s="14" t="e">
        <f t="shared" si="2"/>
        <v>#DIV/0!</v>
      </c>
      <c r="H36" s="14">
        <f ca="1">IFERROR(__xludf.DUMMYFUNCTION("IFERROR(
  AVERAGE(
    FILTER(
      $E$2:$E36,
      $A$2:$A36 &gt;= A36 - 30,
      $A$2:$A36 &lt;= A36,
      $E$2:$E36 &gt; 0
    )
  ),
"""")"),5.33831755054021)</f>
        <v>5.3383175505402098</v>
      </c>
      <c r="I36" s="14"/>
    </row>
    <row r="37" spans="1:9" ht="15.75" customHeight="1" x14ac:dyDescent="0.25">
      <c r="A37" s="9">
        <v>45966</v>
      </c>
      <c r="B37" s="20">
        <v>0</v>
      </c>
      <c r="C37" s="20">
        <v>0</v>
      </c>
      <c r="D37" s="11">
        <f t="shared" si="0"/>
        <v>0</v>
      </c>
      <c r="E37" s="11" t="e">
        <f t="shared" si="1"/>
        <v>#DIV/0!</v>
      </c>
      <c r="F37" s="13">
        <v>4</v>
      </c>
      <c r="G37" s="14" t="e">
        <f t="shared" si="2"/>
        <v>#DIV/0!</v>
      </c>
      <c r="H37" s="14">
        <f ca="1">IFERROR(__xludf.DUMMYFUNCTION("IFERROR(
  AVERAGE(
    FILTER(
      $E$2:$E37,
      $A$2:$A37 &gt;= A37 - 30,
      $A$2:$A37 &lt;= A37,
      $E$2:$E37 &gt; 0
    )
  ),
"""")"),5.66488842559227)</f>
        <v>5.6648884255922702</v>
      </c>
      <c r="I37" s="14"/>
    </row>
    <row r="38" spans="1:9" ht="15.75" customHeight="1" x14ac:dyDescent="0.25">
      <c r="A38" s="9">
        <v>45967</v>
      </c>
      <c r="B38" s="20">
        <v>400</v>
      </c>
      <c r="C38" s="20">
        <v>12</v>
      </c>
      <c r="D38" s="11">
        <f t="shared" si="0"/>
        <v>388</v>
      </c>
      <c r="E38" s="11">
        <f t="shared" si="1"/>
        <v>3</v>
      </c>
      <c r="F38" s="13">
        <v>4</v>
      </c>
      <c r="G38" s="14">
        <f t="shared" si="2"/>
        <v>1</v>
      </c>
      <c r="H38" s="14">
        <f ca="1">IFERROR(__xludf.DUMMYFUNCTION("IFERROR(
  AVERAGE(
    FILTER(
      $E$2:$E38,
      $A$2:$A38 &gt;= A38 - 30,
      $A$2:$A38 &lt;= A38,
      $E$2:$E38 &gt; 0
    )
  ),
"""")"),5.66970650168464)</f>
        <v>5.6697065016846402</v>
      </c>
      <c r="I38" s="14"/>
    </row>
    <row r="39" spans="1:9" ht="15.75" customHeight="1" x14ac:dyDescent="0.25">
      <c r="A39" s="9">
        <v>45968</v>
      </c>
      <c r="B39" s="20">
        <v>405</v>
      </c>
      <c r="C39" s="20">
        <v>8</v>
      </c>
      <c r="D39" s="11">
        <f t="shared" si="0"/>
        <v>397</v>
      </c>
      <c r="E39" s="11">
        <f t="shared" si="1"/>
        <v>1.9753086419753085</v>
      </c>
      <c r="F39" s="13">
        <v>4</v>
      </c>
      <c r="G39" s="14">
        <f t="shared" si="2"/>
        <v>2.0246913580246915</v>
      </c>
      <c r="H39" s="14">
        <f ca="1">IFERROR(__xludf.DUMMYFUNCTION("IFERROR(
  AVERAGE(
    FILTER(
      $E$2:$E39,
      $A$2:$A39 &gt;= A39 - 30,
      $A$2:$A39 &lt;= A39,
      $E$2:$E39 &gt; 0
    )
  ),
"""")"),4.92096701221875)</f>
        <v>4.9209670122187497</v>
      </c>
      <c r="I39" s="14"/>
    </row>
    <row r="40" spans="1:9" ht="15.75" customHeight="1" x14ac:dyDescent="0.25">
      <c r="A40" s="9">
        <v>45969</v>
      </c>
      <c r="B40" s="20">
        <v>1380</v>
      </c>
      <c r="C40" s="20">
        <v>82</v>
      </c>
      <c r="D40" s="11">
        <f t="shared" si="0"/>
        <v>1298</v>
      </c>
      <c r="E40" s="11">
        <f t="shared" si="1"/>
        <v>5.9420289855072461</v>
      </c>
      <c r="F40" s="13">
        <v>4</v>
      </c>
      <c r="G40" s="14">
        <f t="shared" si="2"/>
        <v>-1.9420289855072461</v>
      </c>
      <c r="H40" s="14">
        <f ca="1">IFERROR(__xludf.DUMMYFUNCTION("IFERROR(
  AVERAGE(
    FILTER(
      $E$2:$E40,
      $A$2:$A40 &gt;= A40 - 30,
      $A$2:$A40 &lt;= A40,
      $E$2:$E40 &gt; 0
    )
  ),
"""")"),4.77746764850158)</f>
        <v>4.7774676485015801</v>
      </c>
      <c r="I40" s="14"/>
    </row>
    <row r="41" spans="1:9" ht="15.75" customHeight="1" x14ac:dyDescent="0.25">
      <c r="A41" s="9">
        <v>45970</v>
      </c>
      <c r="B41" s="20">
        <v>0</v>
      </c>
      <c r="C41" s="20">
        <v>0</v>
      </c>
      <c r="D41" s="11">
        <f t="shared" si="0"/>
        <v>0</v>
      </c>
      <c r="E41" s="11" t="e">
        <f t="shared" si="1"/>
        <v>#DIV/0!</v>
      </c>
      <c r="F41" s="13">
        <v>4</v>
      </c>
      <c r="G41" s="14" t="e">
        <f t="shared" si="2"/>
        <v>#DIV/0!</v>
      </c>
      <c r="H41" s="14">
        <f ca="1">IFERROR(__xludf.DUMMYFUNCTION("IFERROR(
  AVERAGE(
    FILTER(
      $E$2:$E41,
      $A$2:$A41 &gt;= A41 - 30,
      $A$2:$A41 &lt;= A41,
      $E$2:$E41 &gt; 0
    )
  ),
"""")"),4.43180294562152)</f>
        <v>4.43180294562152</v>
      </c>
      <c r="I41" s="14"/>
    </row>
    <row r="42" spans="1:9" ht="15.75" customHeight="1" x14ac:dyDescent="0.25">
      <c r="A42" s="9">
        <v>45971</v>
      </c>
      <c r="B42" s="20">
        <v>550</v>
      </c>
      <c r="C42" s="20">
        <v>12</v>
      </c>
      <c r="D42" s="11">
        <f t="shared" si="0"/>
        <v>538</v>
      </c>
      <c r="E42" s="11">
        <f t="shared" si="1"/>
        <v>2.1818181818181821</v>
      </c>
      <c r="F42" s="13">
        <v>4</v>
      </c>
      <c r="G42" s="14">
        <f t="shared" si="2"/>
        <v>1.8181818181818179</v>
      </c>
      <c r="H42" s="14">
        <f ca="1">IFERROR(__xludf.DUMMYFUNCTION("IFERROR(
  AVERAGE(
    FILTER(
      $E$2:$E42,
      $A$2:$A42 &gt;= A42 - 30,
      $A$2:$A42 &lt;= A42,
      $E$2:$E42 &gt; 0
    )
  ),
"""")"),4.320072294728)</f>
        <v>4.3200722947279999</v>
      </c>
      <c r="I42" s="14"/>
    </row>
    <row r="43" spans="1:9" ht="15.75" customHeight="1" x14ac:dyDescent="0.25">
      <c r="A43" s="9">
        <v>45972</v>
      </c>
      <c r="B43" s="20">
        <v>768</v>
      </c>
      <c r="C43" s="20">
        <v>50</v>
      </c>
      <c r="D43" s="11">
        <f t="shared" si="0"/>
        <v>718</v>
      </c>
      <c r="E43" s="11">
        <f t="shared" si="1"/>
        <v>6.510416666666667</v>
      </c>
      <c r="F43" s="13">
        <v>4</v>
      </c>
      <c r="G43" s="14">
        <f t="shared" si="2"/>
        <v>-2.510416666666667</v>
      </c>
      <c r="H43" s="14">
        <f ca="1">IFERROR(__xludf.DUMMYFUNCTION("IFERROR(
  AVERAGE(
    FILTER(
      $E$2:$E43,
      $A$2:$A43 &gt;= A43 - 30,
      $A$2:$A43 &lt;= A43,
      $E$2:$E43 &gt; 0
    )
  ),
"""")"),3.7999077608397)</f>
        <v>3.7999077608396998</v>
      </c>
      <c r="I43" s="14"/>
    </row>
    <row r="44" spans="1:9" ht="15.75" customHeight="1" x14ac:dyDescent="0.25">
      <c r="A44" s="9">
        <v>45973</v>
      </c>
      <c r="B44" s="20">
        <v>419</v>
      </c>
      <c r="C44" s="20">
        <v>36.5</v>
      </c>
      <c r="D44" s="11">
        <f t="shared" si="0"/>
        <v>382.5</v>
      </c>
      <c r="E44" s="11">
        <f t="shared" si="1"/>
        <v>8.7112171837708843</v>
      </c>
      <c r="F44" s="13">
        <v>4</v>
      </c>
      <c r="G44" s="14">
        <f t="shared" si="2"/>
        <v>-4.7112171837708843</v>
      </c>
      <c r="H44" s="14">
        <f ca="1">IFERROR(__xludf.DUMMYFUNCTION("IFERROR(
  AVERAGE(
    FILTER(
      $E$2:$E44,
      $A$2:$A44 &gt;= A44 - 30,
      $A$2:$A44 &lt;= A44,
      $E$2:$E44 &gt; 0
    )
  ),
"""")"),4.17770079337287)</f>
        <v>4.1777007933728703</v>
      </c>
      <c r="I44" s="14"/>
    </row>
    <row r="45" spans="1:9" ht="15.75" customHeight="1" x14ac:dyDescent="0.25">
      <c r="A45" s="9">
        <v>45974</v>
      </c>
      <c r="B45" s="20">
        <v>0</v>
      </c>
      <c r="C45" s="20">
        <v>0</v>
      </c>
      <c r="D45" s="11">
        <f t="shared" si="0"/>
        <v>0</v>
      </c>
      <c r="E45" s="11" t="e">
        <f t="shared" si="1"/>
        <v>#DIV/0!</v>
      </c>
      <c r="F45" s="13">
        <v>4</v>
      </c>
      <c r="G45" s="14" t="e">
        <f t="shared" si="2"/>
        <v>#DIV/0!</v>
      </c>
      <c r="H45" s="14">
        <f ca="1">IFERROR(__xludf.DUMMYFUNCTION("IFERROR(
  AVERAGE(
    FILTER(
      $E$2:$E45,
      $A$2:$A45 &gt;= A45 - 30,
      $A$2:$A45 &lt;= A45,
      $E$2:$E45 &gt; 0
    )
  ),
"""")"),4.17770079337287)</f>
        <v>4.1777007933728703</v>
      </c>
      <c r="I45" s="14"/>
    </row>
    <row r="46" spans="1:9" ht="15.75" customHeight="1" x14ac:dyDescent="0.25">
      <c r="A46" s="9">
        <v>45975</v>
      </c>
      <c r="B46" s="20">
        <v>0</v>
      </c>
      <c r="C46" s="20">
        <v>0</v>
      </c>
      <c r="D46" s="11">
        <f t="shared" si="0"/>
        <v>0</v>
      </c>
      <c r="E46" s="11" t="e">
        <f t="shared" si="1"/>
        <v>#DIV/0!</v>
      </c>
      <c r="F46" s="13">
        <v>4</v>
      </c>
      <c r="G46" s="14" t="e">
        <f t="shared" si="2"/>
        <v>#DIV/0!</v>
      </c>
      <c r="H46" s="14">
        <f ca="1">IFERROR(__xludf.DUMMYFUNCTION("IFERROR(
  AVERAGE(
    FILTER(
      $E$2:$E46,
      $A$2:$A46 &gt;= A46 - 30,
      $A$2:$A46 &lt;= A46,
      $E$2:$E46 &gt; 0
    )
  ),
"""")"),4.17770079337287)</f>
        <v>4.1777007933728703</v>
      </c>
      <c r="I46" s="14"/>
    </row>
    <row r="47" spans="1:9" ht="15.75" customHeight="1" x14ac:dyDescent="0.25">
      <c r="A47" s="9">
        <v>45976</v>
      </c>
      <c r="B47" s="20">
        <v>0</v>
      </c>
      <c r="C47" s="20">
        <v>0</v>
      </c>
      <c r="D47" s="11">
        <f t="shared" si="0"/>
        <v>0</v>
      </c>
      <c r="E47" s="11" t="e">
        <f t="shared" si="1"/>
        <v>#DIV/0!</v>
      </c>
      <c r="F47" s="13">
        <v>4</v>
      </c>
      <c r="G47" s="14" t="e">
        <f t="shared" si="2"/>
        <v>#DIV/0!</v>
      </c>
      <c r="H47" s="14">
        <f ca="1">IFERROR(__xludf.DUMMYFUNCTION("IFERROR(
  AVERAGE(
    FILTER(
      $E$2:$E47,
      $A$2:$A47 &gt;= A47 - 30,
      $A$2:$A47 &lt;= A47,
      $E$2:$E47 &gt; 0
    )
  ),
"""")"),4.42584252615394)</f>
        <v>4.4258425261539402</v>
      </c>
      <c r="I47" s="14"/>
    </row>
    <row r="48" spans="1:9" ht="15.75" customHeight="1" x14ac:dyDescent="0.25">
      <c r="A48" s="9">
        <v>45977</v>
      </c>
      <c r="B48" s="20">
        <v>0</v>
      </c>
      <c r="C48" s="20">
        <v>0</v>
      </c>
      <c r="D48" s="11">
        <f t="shared" si="0"/>
        <v>0</v>
      </c>
      <c r="E48" s="11" t="e">
        <f t="shared" si="1"/>
        <v>#DIV/0!</v>
      </c>
      <c r="F48" s="13">
        <v>4</v>
      </c>
      <c r="G48" s="14" t="e">
        <f t="shared" si="2"/>
        <v>#DIV/0!</v>
      </c>
      <c r="H48" s="14">
        <f ca="1">IFERROR(__xludf.DUMMYFUNCTION("IFERROR(
  AVERAGE(
    FILTER(
      $E$2:$E48,
      $A$2:$A48 &gt;= A48 - 30,
      $A$2:$A48 &lt;= A48,
      $E$2:$E48 &gt; 0
    )
  ),
"""")"),4.71848658817466)</f>
        <v>4.7184865881746596</v>
      </c>
      <c r="I48" s="14"/>
    </row>
    <row r="49" spans="1:9" ht="15.75" customHeight="1" x14ac:dyDescent="0.25">
      <c r="A49" s="9">
        <v>45978</v>
      </c>
      <c r="B49" s="20">
        <v>588</v>
      </c>
      <c r="C49" s="20">
        <v>35</v>
      </c>
      <c r="D49" s="11">
        <f t="shared" si="0"/>
        <v>553</v>
      </c>
      <c r="E49" s="11">
        <f t="shared" si="1"/>
        <v>5.9523809523809517</v>
      </c>
      <c r="F49" s="13">
        <v>4</v>
      </c>
      <c r="G49" s="14">
        <f t="shared" si="2"/>
        <v>-1.9523809523809517</v>
      </c>
      <c r="H49" s="14">
        <f ca="1">IFERROR(__xludf.DUMMYFUNCTION("IFERROR(
  AVERAGE(
    FILTER(
      $E$2:$E49,
      $A$2:$A49 &gt;= A49 - 30,
      $A$2:$A49 &lt;= A49,
      $E$2:$E49 &gt; 0
    )
  ),
"""")"),5.13575778201261)</f>
        <v>5.1357577820126101</v>
      </c>
      <c r="I49" s="14"/>
    </row>
    <row r="50" spans="1:9" ht="15.75" customHeight="1" x14ac:dyDescent="0.25">
      <c r="A50" s="9">
        <v>45979</v>
      </c>
      <c r="B50" s="20">
        <v>600</v>
      </c>
      <c r="C50" s="20">
        <v>32</v>
      </c>
      <c r="D50" s="11">
        <f t="shared" si="0"/>
        <v>568</v>
      </c>
      <c r="E50" s="11">
        <f t="shared" si="1"/>
        <v>5.3333333333333339</v>
      </c>
      <c r="F50" s="13">
        <v>4</v>
      </c>
      <c r="G50" s="14">
        <f t="shared" si="2"/>
        <v>-1.3333333333333339</v>
      </c>
      <c r="H50" s="14">
        <f ca="1">IFERROR(__xludf.DUMMYFUNCTION("IFERROR(
  AVERAGE(
    FILTER(
      $E$2:$E50,
      $A$2:$A50 &gt;= A50 - 30,
      $A$2:$A50 &lt;= A50,
      $E$2:$E50 &gt; 0
    )
  ),
"""")"),5.15222241128934)</f>
        <v>5.1522224112893404</v>
      </c>
      <c r="I50" s="14"/>
    </row>
    <row r="51" spans="1:9" ht="15.75" customHeight="1" x14ac:dyDescent="0.25">
      <c r="A51" s="9">
        <v>45980</v>
      </c>
      <c r="B51" s="20">
        <v>605</v>
      </c>
      <c r="C51" s="20">
        <v>81</v>
      </c>
      <c r="D51" s="11">
        <f t="shared" si="0"/>
        <v>524</v>
      </c>
      <c r="E51" s="11">
        <f t="shared" si="1"/>
        <v>13.388429752066116</v>
      </c>
      <c r="F51" s="13">
        <v>4</v>
      </c>
      <c r="G51" s="14">
        <f t="shared" si="2"/>
        <v>-9.3884297520661164</v>
      </c>
      <c r="H51" s="14">
        <f ca="1">IFERROR(__xludf.DUMMYFUNCTION("IFERROR(
  AVERAGE(
    FILTER(
      $E$2:$E51,
      $A$2:$A51 &gt;= A51 - 30,
      $A$2:$A51 &lt;= A51,
      $E$2:$E51 &gt; 0
    )
  ),
"""")"),5.78577682211832)</f>
        <v>5.7857768221183203</v>
      </c>
      <c r="I51" s="14"/>
    </row>
    <row r="52" spans="1:9" ht="15.75" customHeight="1" x14ac:dyDescent="0.25">
      <c r="A52" s="9">
        <v>45981</v>
      </c>
      <c r="B52" s="20">
        <v>0</v>
      </c>
      <c r="C52" s="20">
        <v>0</v>
      </c>
      <c r="D52" s="11">
        <f t="shared" si="0"/>
        <v>0</v>
      </c>
      <c r="E52" s="11" t="e">
        <f t="shared" si="1"/>
        <v>#DIV/0!</v>
      </c>
      <c r="F52" s="13">
        <v>4</v>
      </c>
      <c r="G52" s="14" t="e">
        <f t="shared" si="2"/>
        <v>#DIV/0!</v>
      </c>
      <c r="H52" s="14">
        <f ca="1">IFERROR(__xludf.DUMMYFUNCTION("IFERROR(
  AVERAGE(
    FILTER(
      $E$2:$E52,
      $A$2:$A52 &gt;= A52 - 30,
      $A$2:$A52 &lt;= A52,
      $E$2:$E52 &gt; 0
    )
  ),
"""")"),5.78577682211832)</f>
        <v>5.7857768221183203</v>
      </c>
      <c r="I52" s="14"/>
    </row>
    <row r="53" spans="1:9" ht="15.75" customHeight="1" x14ac:dyDescent="0.25">
      <c r="A53" s="9">
        <v>45982</v>
      </c>
      <c r="B53" s="20">
        <v>0</v>
      </c>
      <c r="C53" s="20">
        <v>0</v>
      </c>
      <c r="D53" s="11">
        <f t="shared" si="0"/>
        <v>0</v>
      </c>
      <c r="E53" s="11" t="e">
        <f t="shared" si="1"/>
        <v>#DIV/0!</v>
      </c>
      <c r="F53" s="13">
        <v>4</v>
      </c>
      <c r="G53" s="14" t="e">
        <f t="shared" si="2"/>
        <v>#DIV/0!</v>
      </c>
      <c r="H53" s="14">
        <f ca="1">IFERROR(__xludf.DUMMYFUNCTION("IFERROR(
  AVERAGE(
    FILTER(
      $E$2:$E53,
      $A$2:$A53 &gt;= A53 - 30,
      $A$2:$A53 &lt;= A53,
      $E$2:$E53 &gt; 0
    )
  ),
"""")"),5.78577682211832)</f>
        <v>5.7857768221183203</v>
      </c>
      <c r="I53" s="14"/>
    </row>
    <row r="54" spans="1:9" ht="15.75" customHeight="1" x14ac:dyDescent="0.25">
      <c r="A54" s="9">
        <v>45983</v>
      </c>
      <c r="B54" s="20">
        <v>478</v>
      </c>
      <c r="C54" s="20">
        <v>130</v>
      </c>
      <c r="D54" s="11">
        <f t="shared" si="0"/>
        <v>348</v>
      </c>
      <c r="E54" s="11">
        <f t="shared" si="1"/>
        <v>27.19665271966527</v>
      </c>
      <c r="F54" s="13">
        <v>4</v>
      </c>
      <c r="G54" s="14">
        <f t="shared" si="2"/>
        <v>-23.19665271966527</v>
      </c>
      <c r="H54" s="14">
        <f ca="1">IFERROR(__xludf.DUMMYFUNCTION("IFERROR(
  AVERAGE(
    FILTER(
      $E$2:$E54,
      $A$2:$A54 &gt;= A54 - 30,
      $A$2:$A54 &lt;= A54,
      $E$2:$E54 &gt; 0
    )
  ),
"""")"),7.31512510051453)</f>
        <v>7.3151251005145301</v>
      </c>
      <c r="I54" s="14"/>
    </row>
    <row r="55" spans="1:9" ht="15.75" customHeight="1" x14ac:dyDescent="0.25">
      <c r="A55" s="9">
        <v>45984</v>
      </c>
      <c r="B55" s="20">
        <v>500</v>
      </c>
      <c r="C55" s="20">
        <v>150</v>
      </c>
      <c r="D55" s="11">
        <f t="shared" si="0"/>
        <v>350</v>
      </c>
      <c r="E55" s="11">
        <f t="shared" si="1"/>
        <v>30</v>
      </c>
      <c r="F55" s="13">
        <v>4</v>
      </c>
      <c r="G55" s="14">
        <f t="shared" si="2"/>
        <v>-26</v>
      </c>
      <c r="H55" s="14">
        <f ca="1">IFERROR(__xludf.DUMMYFUNCTION("IFERROR(
  AVERAGE(
    FILTER(
      $E$2:$E55,
      $A$2:$A55 &gt;= A55 - 30,
      $A$2:$A55 &lt;= A55,
      $E$2:$E55 &gt; 0
    )
  ),
"""")"),8.82745009381357)</f>
        <v>8.8274500938135692</v>
      </c>
      <c r="I55" s="14"/>
    </row>
    <row r="56" spans="1:9" ht="15.75" customHeight="1" x14ac:dyDescent="0.25">
      <c r="A56" s="9">
        <v>45985</v>
      </c>
      <c r="B56" s="20">
        <f>482+1268</f>
        <v>1750</v>
      </c>
      <c r="C56" s="20">
        <v>68</v>
      </c>
      <c r="D56" s="11">
        <f t="shared" si="0"/>
        <v>1682</v>
      </c>
      <c r="E56" s="11">
        <f t="shared" si="1"/>
        <v>3.8857142857142852</v>
      </c>
      <c r="F56" s="13">
        <v>4</v>
      </c>
      <c r="G56" s="14">
        <f t="shared" si="2"/>
        <v>0.11428571428571477</v>
      </c>
      <c r="H56" s="14">
        <f ca="1">IFERROR(__xludf.DUMMYFUNCTION("IFERROR(
  AVERAGE(
    FILTER(
      $E$2:$E56,
      $A$2:$A56 &gt;= A56 - 30,
      $A$2:$A56 &lt;= A56,
      $E$2:$E56 &gt; 0
    )
  ),
"""")"),8.51859160580736)</f>
        <v>8.5185916058073605</v>
      </c>
      <c r="I56" s="14"/>
    </row>
    <row r="57" spans="1:9" ht="15.75" customHeight="1" x14ac:dyDescent="0.25">
      <c r="A57" s="9">
        <v>45986</v>
      </c>
      <c r="B57" s="20">
        <v>321</v>
      </c>
      <c r="C57" s="20">
        <v>77.7</v>
      </c>
      <c r="D57" s="11">
        <f t="shared" si="0"/>
        <v>243.3</v>
      </c>
      <c r="E57" s="11">
        <f t="shared" si="1"/>
        <v>24.205607476635514</v>
      </c>
      <c r="F57" s="13">
        <v>4</v>
      </c>
      <c r="G57" s="14">
        <f t="shared" si="2"/>
        <v>-20.205607476635514</v>
      </c>
      <c r="H57" s="14">
        <f ca="1">IFERROR(__xludf.DUMMYFUNCTION("IFERROR(
  AVERAGE(
    FILTER(
      $E$2:$E57,
      $A$2:$A57 &gt;= A57 - 30,
      $A$2:$A57 &lt;= A57,
      $E$2:$E57 &gt; 0
    )
  ),
"""")"),9.18750247180152)</f>
        <v>9.1875024718015208</v>
      </c>
      <c r="I57" s="14"/>
    </row>
    <row r="58" spans="1:9" ht="15.75" customHeight="1" x14ac:dyDescent="0.25">
      <c r="A58" s="9">
        <v>45987</v>
      </c>
      <c r="B58" s="20">
        <v>0</v>
      </c>
      <c r="C58" s="20">
        <v>0</v>
      </c>
      <c r="D58" s="11">
        <f t="shared" si="0"/>
        <v>0</v>
      </c>
      <c r="E58" s="11" t="e">
        <f t="shared" si="1"/>
        <v>#DIV/0!</v>
      </c>
      <c r="F58" s="13">
        <v>4</v>
      </c>
      <c r="G58" s="14" t="e">
        <f t="shared" si="2"/>
        <v>#DIV/0!</v>
      </c>
      <c r="H58" s="14">
        <f ca="1">IFERROR(__xludf.DUMMYFUNCTION("IFERROR(
  AVERAGE(
    FILTER(
      $E$2:$E58,
      $A$2:$A58 &gt;= A58 - 30,
      $A$2:$A58 &lt;= A58,
      $E$2:$E58 &gt; 0
    )
  ),
"""")"),9.18750247180152)</f>
        <v>9.1875024718015208</v>
      </c>
      <c r="I58" s="14"/>
    </row>
    <row r="59" spans="1:9" ht="15.75" customHeight="1" x14ac:dyDescent="0.25">
      <c r="A59" s="9">
        <v>45988</v>
      </c>
      <c r="B59" s="20">
        <v>0</v>
      </c>
      <c r="C59" s="20">
        <v>0</v>
      </c>
      <c r="D59" s="11">
        <f t="shared" si="0"/>
        <v>0</v>
      </c>
      <c r="E59" s="11" t="e">
        <f t="shared" si="1"/>
        <v>#DIV/0!</v>
      </c>
      <c r="F59" s="13">
        <v>4</v>
      </c>
      <c r="G59" s="14" t="e">
        <f t="shared" si="2"/>
        <v>#DIV/0!</v>
      </c>
      <c r="H59" s="14">
        <f ca="1">IFERROR(__xludf.DUMMYFUNCTION("IFERROR(
  AVERAGE(
    FILTER(
      $E$2:$E59,
      $A$2:$A59 &gt;= A59 - 30,
      $A$2:$A59 &lt;= A59,
      $E$2:$E59 &gt; 0
    )
  ),
"""")"),9.52043274411517)</f>
        <v>9.5204327441151708</v>
      </c>
      <c r="I59" s="14"/>
    </row>
    <row r="60" spans="1:9" ht="15.75" customHeight="1" x14ac:dyDescent="0.25">
      <c r="A60" s="9">
        <v>45989</v>
      </c>
      <c r="B60" s="20">
        <v>1685.8</v>
      </c>
      <c r="C60" s="20">
        <v>42</v>
      </c>
      <c r="D60" s="11">
        <f t="shared" si="0"/>
        <v>1643.8</v>
      </c>
      <c r="E60" s="11">
        <f t="shared" si="1"/>
        <v>2.4913987424368256</v>
      </c>
      <c r="F60" s="13">
        <v>4</v>
      </c>
      <c r="G60" s="14">
        <f t="shared" si="2"/>
        <v>1.5086012575631744</v>
      </c>
      <c r="H60" s="14">
        <f ca="1">IFERROR(__xludf.DUMMYFUNCTION("IFERROR(
  AVERAGE(
    FILTER(
      $E$2:$E60,
      $A$2:$A60 &gt;= A60 - 30,
      $A$2:$A60 &lt;= A60,
      $E$2:$E60 &gt; 0
    )
  ),
"""")"),9.40081170789667)</f>
        <v>9.4008117078966702</v>
      </c>
      <c r="I60" s="14"/>
    </row>
    <row r="61" spans="1:9" ht="15.75" customHeight="1" x14ac:dyDescent="0.25">
      <c r="A61" s="9">
        <v>45990</v>
      </c>
      <c r="B61" s="20">
        <v>0</v>
      </c>
      <c r="C61" s="20">
        <v>0</v>
      </c>
      <c r="D61" s="11">
        <f t="shared" si="0"/>
        <v>0</v>
      </c>
      <c r="E61" s="11" t="e">
        <f t="shared" si="1"/>
        <v>#DIV/0!</v>
      </c>
      <c r="F61" s="13">
        <v>4</v>
      </c>
      <c r="G61" s="14" t="e">
        <f t="shared" si="2"/>
        <v>#DIV/0!</v>
      </c>
      <c r="H61" s="14">
        <f ca="1">IFERROR(__xludf.DUMMYFUNCTION("IFERROR(
  AVERAGE(
    FILTER(
      $E$2:$E61,
      $A$2:$A61 &gt;= A61 - 30,
      $A$2:$A61 &lt;= A61,
      $E$2:$E61 &gt; 0
    )
  ),
"""")"),10.0553076372836)</f>
        <v>10.055307637283599</v>
      </c>
      <c r="I61" s="14"/>
    </row>
    <row r="62" spans="1:9" ht="15.75" customHeight="1" x14ac:dyDescent="0.25">
      <c r="A62" s="9">
        <v>45991</v>
      </c>
      <c r="B62" s="20">
        <v>0</v>
      </c>
      <c r="C62" s="20">
        <v>0</v>
      </c>
      <c r="D62" s="11">
        <f t="shared" si="0"/>
        <v>0</v>
      </c>
      <c r="E62" s="11" t="e">
        <f t="shared" si="1"/>
        <v>#DIV/0!</v>
      </c>
      <c r="F62" s="13">
        <v>4</v>
      </c>
      <c r="G62" s="14" t="e">
        <f t="shared" si="2"/>
        <v>#DIV/0!</v>
      </c>
      <c r="H62" s="14">
        <f ca="1">IFERROR(__xludf.DUMMYFUNCTION("IFERROR(
  AVERAGE(
    FILTER(
      $E$2:$E62,
      $A$2:$A62 &gt;= A62 - 30,
      $A$2:$A62 &lt;= A62,
      $E$2:$E62 &gt; 0
    )
  ),
"""")"),10.0553076372836)</f>
        <v>10.055307637283599</v>
      </c>
      <c r="I62" s="14"/>
    </row>
    <row r="63" spans="1:9" ht="15.75" customHeight="1" x14ac:dyDescent="0.25">
      <c r="A63" s="9">
        <v>45992</v>
      </c>
      <c r="B63" s="20">
        <v>0</v>
      </c>
      <c r="C63" s="20">
        <v>0</v>
      </c>
      <c r="D63" s="11">
        <f t="shared" si="0"/>
        <v>0</v>
      </c>
      <c r="E63" s="11" t="e">
        <f t="shared" si="1"/>
        <v>#DIV/0!</v>
      </c>
      <c r="F63" s="13">
        <v>4</v>
      </c>
      <c r="G63" s="14" t="e">
        <f t="shared" si="2"/>
        <v>#DIV/0!</v>
      </c>
      <c r="H63" s="14">
        <f ca="1">IFERROR(__xludf.DUMMYFUNCTION("IFERROR(
  AVERAGE(
    FILTER(
      $E$2:$E63,
      $A$2:$A63 &gt;= A63 - 30,
      $A$2:$A63 &lt;= A63,
      $E$2:$E63 &gt; 0
    )
  ),
"""")"),10.0553076372836)</f>
        <v>10.055307637283599</v>
      </c>
      <c r="I63" s="14"/>
    </row>
    <row r="64" spans="1:9" ht="15.75" customHeight="1" x14ac:dyDescent="0.25">
      <c r="A64" s="9">
        <v>45993</v>
      </c>
      <c r="B64" s="20">
        <v>0</v>
      </c>
      <c r="C64" s="20">
        <v>0</v>
      </c>
      <c r="D64" s="11">
        <f t="shared" si="0"/>
        <v>0</v>
      </c>
      <c r="E64" s="11" t="e">
        <f t="shared" si="1"/>
        <v>#DIV/0!</v>
      </c>
      <c r="F64" s="13">
        <v>4</v>
      </c>
      <c r="G64" s="14" t="e">
        <f t="shared" si="2"/>
        <v>#DIV/0!</v>
      </c>
      <c r="H64" s="14">
        <f ca="1">IFERROR(__xludf.DUMMYFUNCTION("IFERROR(
  AVERAGE(
    FILTER(
      $E$2:$E64,
      $A$2:$A64 &gt;= A64 - 30,
      $A$2:$A64 &lt;= A64,
      $E$2:$E64 &gt; 0
    )
  ),
"""")"),10.0553076372836)</f>
        <v>10.055307637283599</v>
      </c>
      <c r="I64" s="14"/>
    </row>
    <row r="65" spans="1:9" ht="15.75" customHeight="1" x14ac:dyDescent="0.25">
      <c r="A65" s="9">
        <v>45994</v>
      </c>
      <c r="B65" s="20">
        <v>0</v>
      </c>
      <c r="C65" s="20">
        <v>0</v>
      </c>
      <c r="D65" s="11">
        <f t="shared" si="0"/>
        <v>0</v>
      </c>
      <c r="E65" s="11" t="e">
        <f t="shared" si="1"/>
        <v>#DIV/0!</v>
      </c>
      <c r="F65" s="13">
        <v>4</v>
      </c>
      <c r="G65" s="14" t="e">
        <f t="shared" si="2"/>
        <v>#DIV/0!</v>
      </c>
      <c r="H65" s="14">
        <f ca="1">IFERROR(__xludf.DUMMYFUNCTION("IFERROR(
  AVERAGE(
    FILTER(
      $E$2:$E65,
      $A$2:$A65 &gt;= A65 - 30,
      $A$2:$A65 &lt;= A65,
      $E$2:$E65 &gt; 0
    )
  ),
"""")"),10.0553076372836)</f>
        <v>10.055307637283599</v>
      </c>
      <c r="I65" s="14"/>
    </row>
    <row r="66" spans="1:9" ht="15.75" customHeight="1" x14ac:dyDescent="0.25">
      <c r="A66" s="9">
        <v>45995</v>
      </c>
      <c r="B66" s="20">
        <v>172</v>
      </c>
      <c r="C66" s="20">
        <v>8</v>
      </c>
      <c r="D66" s="11">
        <f t="shared" si="0"/>
        <v>164</v>
      </c>
      <c r="E66" s="11">
        <f t="shared" si="1"/>
        <v>4.6511627906976747</v>
      </c>
      <c r="F66" s="13">
        <v>4</v>
      </c>
      <c r="G66" s="14">
        <f t="shared" si="2"/>
        <v>-0.65116279069767469</v>
      </c>
      <c r="H66" s="14">
        <f ca="1">IFERROR(__xludf.DUMMYFUNCTION("IFERROR(
  AVERAGE(
    FILTER(
      $E$2:$E66,
      $A$2:$A66 &gt;= A66 - 30,
      $A$2:$A66 &lt;= A66,
      $E$2:$E66 &gt; 0
    )
  ),
"""")"),9.69503131417788)</f>
        <v>9.6950313141778803</v>
      </c>
      <c r="I66" s="14"/>
    </row>
    <row r="67" spans="1:9" ht="15.75" customHeight="1" x14ac:dyDescent="0.25">
      <c r="A67" s="9">
        <v>45996</v>
      </c>
      <c r="B67" s="20">
        <v>0</v>
      </c>
      <c r="C67" s="20">
        <v>0</v>
      </c>
      <c r="D67" s="11">
        <f t="shared" si="0"/>
        <v>0</v>
      </c>
      <c r="E67" s="11" t="e">
        <f t="shared" si="1"/>
        <v>#DIV/0!</v>
      </c>
      <c r="F67" s="13">
        <v>4</v>
      </c>
      <c r="G67" s="14" t="e">
        <f t="shared" si="2"/>
        <v>#DIV/0!</v>
      </c>
      <c r="H67" s="14">
        <f ca="1">IFERROR(__xludf.DUMMYFUNCTION("IFERROR(
  AVERAGE(
    FILTER(
      $E$2:$E67,
      $A$2:$A67 &gt;= A67 - 30,
      $A$2:$A67 &lt;= A67,
      $E$2:$E67 &gt; 0
    )
  ),
"""")"),9.69503131417788)</f>
        <v>9.6950313141778803</v>
      </c>
      <c r="I67" s="14"/>
    </row>
    <row r="68" spans="1:9" ht="15.75" customHeight="1" x14ac:dyDescent="0.25">
      <c r="A68" s="9">
        <v>45997</v>
      </c>
      <c r="B68" s="20">
        <v>0</v>
      </c>
      <c r="C68" s="20">
        <v>0</v>
      </c>
      <c r="D68" s="11">
        <f t="shared" si="0"/>
        <v>0</v>
      </c>
      <c r="E68" s="11" t="e">
        <f t="shared" si="1"/>
        <v>#DIV/0!</v>
      </c>
      <c r="F68" s="13">
        <v>4</v>
      </c>
      <c r="G68" s="14" t="e">
        <f t="shared" si="2"/>
        <v>#DIV/0!</v>
      </c>
      <c r="H68" s="14">
        <f ca="1">IFERROR(__xludf.DUMMYFUNCTION("IFERROR(
  AVERAGE(
    FILTER(
      $E$2:$E68,
      $A$2:$A68 &gt;= A68 - 30,
      $A$2:$A68 &lt;= A68,
      $E$2:$E68 &gt; 0
    )
  ),
"""")"),9.69503131417788)</f>
        <v>9.6950313141778803</v>
      </c>
      <c r="I68" s="14"/>
    </row>
    <row r="69" spans="1:9" ht="15.75" customHeight="1" x14ac:dyDescent="0.25">
      <c r="A69" s="9">
        <v>45998</v>
      </c>
      <c r="B69" s="20">
        <v>0</v>
      </c>
      <c r="C69" s="20">
        <v>0</v>
      </c>
      <c r="D69" s="11">
        <f t="shared" si="0"/>
        <v>0</v>
      </c>
      <c r="E69" s="11" t="e">
        <f t="shared" si="1"/>
        <v>#DIV/0!</v>
      </c>
      <c r="F69" s="13">
        <v>4</v>
      </c>
      <c r="G69" s="14" t="e">
        <f t="shared" si="2"/>
        <v>#DIV/0!</v>
      </c>
      <c r="H69" s="14">
        <f ca="1">IFERROR(__xludf.DUMMYFUNCTION("IFERROR(
  AVERAGE(
    FILTER(
      $E$2:$E69,
      $A$2:$A69 &gt;= A69 - 30,
      $A$2:$A69 &lt;= A69,
      $E$2:$E69 &gt; 0
    )
  ),
"""")"),10.1732478366191)</f>
        <v>10.173247836619099</v>
      </c>
      <c r="I69" s="14"/>
    </row>
    <row r="70" spans="1:9" ht="15.75" customHeight="1" x14ac:dyDescent="0.25">
      <c r="A70" s="9">
        <v>45999</v>
      </c>
      <c r="B70" s="20">
        <v>1035</v>
      </c>
      <c r="C70" s="20">
        <v>70</v>
      </c>
      <c r="D70" s="11">
        <f t="shared" si="0"/>
        <v>965</v>
      </c>
      <c r="E70" s="11">
        <f t="shared" si="1"/>
        <v>6.7632850241545892</v>
      </c>
      <c r="F70" s="13">
        <v>4</v>
      </c>
      <c r="G70" s="14">
        <f t="shared" si="2"/>
        <v>-2.7632850241545892</v>
      </c>
      <c r="H70" s="14">
        <f ca="1">IFERROR(__xludf.DUMMYFUNCTION("IFERROR(
  AVERAGE(
    FILTER(
      $E$2:$E70,
      $A$2:$A70 &gt;= A70 - 30,
      $A$2:$A70 &lt;= A70,
      $E$2:$E70 &gt; 0
    )
  ),
"""")"),10.5152461496319)</f>
        <v>10.515246149631899</v>
      </c>
      <c r="I70" s="14"/>
    </row>
    <row r="71" spans="1:9" ht="15.75" customHeight="1" x14ac:dyDescent="0.25">
      <c r="A71" s="9">
        <v>46000</v>
      </c>
      <c r="B71" s="20">
        <v>1500</v>
      </c>
      <c r="C71" s="20">
        <v>80</v>
      </c>
      <c r="D71" s="11">
        <f t="shared" si="0"/>
        <v>1420</v>
      </c>
      <c r="E71" s="11">
        <f t="shared" si="1"/>
        <v>5.3333333333333339</v>
      </c>
      <c r="F71" s="13">
        <v>4</v>
      </c>
      <c r="G71" s="14">
        <f t="shared" si="2"/>
        <v>-1.3333333333333339</v>
      </c>
      <c r="H71" s="14">
        <f ca="1">IFERROR(__xludf.DUMMYFUNCTION("IFERROR(
  AVERAGE(
    FILTER(
      $E$2:$E71,
      $A$2:$A71 &gt;= A71 - 30,
      $A$2:$A71 &lt;= A71,
      $E$2:$E71 &gt; 0
    )
  ),
"""")"),10.4717678887624)</f>
        <v>10.4717678887624</v>
      </c>
      <c r="I71" s="14"/>
    </row>
    <row r="72" spans="1:9" ht="15.75" customHeight="1" x14ac:dyDescent="0.25">
      <c r="A72" s="9">
        <v>46001</v>
      </c>
      <c r="B72" s="20">
        <v>1549</v>
      </c>
      <c r="C72" s="20">
        <v>150</v>
      </c>
      <c r="D72" s="11">
        <f t="shared" si="0"/>
        <v>1399</v>
      </c>
      <c r="E72" s="11">
        <f t="shared" si="1"/>
        <v>9.6836668818592635</v>
      </c>
      <c r="F72" s="13">
        <v>4</v>
      </c>
      <c r="G72" s="14">
        <f t="shared" si="2"/>
        <v>-5.6836668818592635</v>
      </c>
      <c r="H72" s="14">
        <f ca="1">IFERROR(__xludf.DUMMYFUNCTION("IFERROR(
  AVERAGE(
    FILTER(
      $E$2:$E72,
      $A$2:$A72 &gt;= A72 - 30,
      $A$2:$A72 &lt;= A72,
      $E$2:$E72 &gt; 0
    )
  ),
"""")"),10.4192278216355)</f>
        <v>10.4192278216355</v>
      </c>
      <c r="I72" s="14"/>
    </row>
    <row r="73" spans="1:9" ht="15.75" customHeight="1" x14ac:dyDescent="0.25">
      <c r="A73" s="9">
        <v>46002</v>
      </c>
      <c r="B73" s="20">
        <v>406</v>
      </c>
      <c r="C73" s="20">
        <v>35</v>
      </c>
      <c r="D73" s="11">
        <f t="shared" si="0"/>
        <v>371</v>
      </c>
      <c r="E73" s="11">
        <f t="shared" si="1"/>
        <v>8.6206896551724146</v>
      </c>
      <c r="F73" s="13">
        <v>4</v>
      </c>
      <c r="G73" s="14">
        <f t="shared" si="2"/>
        <v>-4.6206896551724146</v>
      </c>
      <c r="H73" s="14">
        <f ca="1">IFERROR(__xludf.DUMMYFUNCTION("IFERROR(
  AVERAGE(
    FILTER(
      $E$2:$E73,
      $A$2:$A73 &gt;= A73 - 30,
      $A$2:$A73 &lt;= A73,
      $E$2:$E73 &gt; 0
    )
  ),
"""")"),10.8484859198591)</f>
        <v>10.848485919859099</v>
      </c>
      <c r="I73" s="14"/>
    </row>
    <row r="74" spans="1:9" ht="15.75" customHeight="1" x14ac:dyDescent="0.25">
      <c r="A74" s="9">
        <v>46003</v>
      </c>
      <c r="B74" s="20">
        <v>0</v>
      </c>
      <c r="C74" s="20">
        <v>0</v>
      </c>
      <c r="D74" s="11">
        <f t="shared" si="0"/>
        <v>0</v>
      </c>
      <c r="E74" s="11" t="e">
        <f t="shared" si="1"/>
        <v>#DIV/0!</v>
      </c>
      <c r="F74" s="13">
        <v>4</v>
      </c>
      <c r="G74" s="14" t="e">
        <f t="shared" si="2"/>
        <v>#DIV/0!</v>
      </c>
      <c r="H74" s="14">
        <f ca="1">IFERROR(__xludf.DUMMYFUNCTION("IFERROR(
  AVERAGE(
    FILTER(
      $E$2:$E74,
      $A$2:$A74 &gt;= A74 - 30,
      $A$2:$A74 &lt;= A74,
      $E$2:$E74 &gt; 0
    )
  ),
"""")"),11.1583480093728)</f>
        <v>11.1583480093728</v>
      </c>
      <c r="I74" s="14"/>
    </row>
    <row r="75" spans="1:9" ht="15.75" customHeight="1" x14ac:dyDescent="0.25">
      <c r="A75" s="9">
        <v>46004</v>
      </c>
      <c r="B75" s="20">
        <v>450</v>
      </c>
      <c r="C75" s="20">
        <v>35</v>
      </c>
      <c r="D75" s="11">
        <f t="shared" si="0"/>
        <v>415</v>
      </c>
      <c r="E75" s="11">
        <f t="shared" si="1"/>
        <v>7.7777777777777777</v>
      </c>
      <c r="F75" s="13">
        <v>4</v>
      </c>
      <c r="G75" s="14">
        <f t="shared" si="2"/>
        <v>-3.7777777777777777</v>
      </c>
      <c r="H75" s="14">
        <f ca="1">IFERROR(__xludf.DUMMYFUNCTION("IFERROR(
  AVERAGE(
    FILTER(
      $E$2:$E75,
      $A$2:$A75 &gt;= A75 - 30,
      $A$2:$A75 &lt;= A75,
      $E$2:$E75 &gt; 0
    )
  ),
"""")"),11.0916737660876)</f>
        <v>11.091673766087601</v>
      </c>
      <c r="I75" s="14"/>
    </row>
    <row r="76" spans="1:9" ht="15.75" customHeight="1" x14ac:dyDescent="0.25">
      <c r="A76" s="9">
        <v>46005</v>
      </c>
      <c r="B76" s="20">
        <v>0</v>
      </c>
      <c r="C76" s="20">
        <v>0</v>
      </c>
      <c r="D76" s="11">
        <f t="shared" si="0"/>
        <v>0</v>
      </c>
      <c r="E76" s="11" t="e">
        <f t="shared" si="1"/>
        <v>#DIV/0!</v>
      </c>
      <c r="F76" s="13">
        <v>4</v>
      </c>
      <c r="G76" s="14" t="e">
        <f t="shared" si="2"/>
        <v>#DIV/0!</v>
      </c>
      <c r="H76" s="14">
        <f ca="1">IFERROR(__xludf.DUMMYFUNCTION("IFERROR(
  AVERAGE(
    FILTER(
      $E$2:$E76,
      $A$2:$A76 &gt;= A76 - 30,
      $A$2:$A76 &lt;= A76,
      $E$2:$E76 &gt; 0
    )
  ),
"""")"),11.0916737660876)</f>
        <v>11.091673766087601</v>
      </c>
      <c r="I76" s="14"/>
    </row>
    <row r="77" spans="1:9" ht="15.75" customHeight="1" x14ac:dyDescent="0.25">
      <c r="A77" s="9">
        <v>46006</v>
      </c>
      <c r="B77" s="20">
        <v>396</v>
      </c>
      <c r="C77" s="20">
        <v>25</v>
      </c>
      <c r="D77" s="11">
        <f t="shared" si="0"/>
        <v>371</v>
      </c>
      <c r="E77" s="11">
        <f t="shared" si="1"/>
        <v>6.3131313131313131</v>
      </c>
      <c r="F77" s="13">
        <v>4</v>
      </c>
      <c r="G77" s="14">
        <f t="shared" si="2"/>
        <v>-2.3131313131313131</v>
      </c>
      <c r="H77" s="14">
        <f ca="1">IFERROR(__xludf.DUMMYFUNCTION("IFERROR(
  AVERAGE(
    FILTER(
      $E$2:$E77,
      $A$2:$A77 &gt;= A77 - 30,
      $A$2:$A77 &lt;= A77,
      $E$2:$E77 &gt; 0
    )
  ),
"""")"),10.7731042692239)</f>
        <v>10.7731042692239</v>
      </c>
      <c r="I77" s="14"/>
    </row>
    <row r="78" spans="1:9" ht="15.75" customHeight="1" x14ac:dyDescent="0.25">
      <c r="A78" s="9">
        <v>46007</v>
      </c>
      <c r="B78" s="20">
        <v>457</v>
      </c>
      <c r="C78" s="20">
        <v>32</v>
      </c>
      <c r="D78" s="11">
        <f t="shared" si="0"/>
        <v>425</v>
      </c>
      <c r="E78" s="11">
        <f t="shared" si="1"/>
        <v>7.0021881838074398</v>
      </c>
      <c r="F78" s="13">
        <v>4</v>
      </c>
      <c r="G78" s="14">
        <f t="shared" si="2"/>
        <v>-3.0021881838074398</v>
      </c>
      <c r="H78" s="14">
        <f ca="1">IFERROR(__xludf.DUMMYFUNCTION("IFERROR(
  AVERAGE(
    FILTER(
      $E$2:$E78,
      $A$2:$A78 &gt;= A78 - 30,
      $A$2:$A78 &lt;= A78,
      $E$2:$E78 &gt; 0
    )
  ),
"""")"),10.5374220138853)</f>
        <v>10.537422013885299</v>
      </c>
      <c r="I78" s="14"/>
    </row>
    <row r="79" spans="1:9" ht="15.75" customHeight="1" x14ac:dyDescent="0.25">
      <c r="A79" s="9">
        <v>46008</v>
      </c>
      <c r="B79" s="20">
        <v>485</v>
      </c>
      <c r="C79" s="20">
        <v>30</v>
      </c>
      <c r="D79" s="11">
        <f t="shared" si="0"/>
        <v>455</v>
      </c>
      <c r="E79" s="11">
        <f t="shared" si="1"/>
        <v>6.1855670103092786</v>
      </c>
      <c r="F79" s="13">
        <v>4</v>
      </c>
      <c r="G79" s="14">
        <f t="shared" si="2"/>
        <v>-2.1855670103092786</v>
      </c>
      <c r="H79" s="14">
        <f ca="1">IFERROR(__xludf.DUMMYFUNCTION("IFERROR(
  AVERAGE(
    FILTER(
      $E$2:$E79,
      $A$2:$A79 &gt;= A79 - 30,
      $A$2:$A79 &lt;= A79,
      $E$2:$E79 &gt; 0
    )
  ),
"""")"),10.2814305430867)</f>
        <v>10.281430543086699</v>
      </c>
      <c r="I79" s="14"/>
    </row>
    <row r="80" spans="1:9" ht="15.75" customHeight="1" x14ac:dyDescent="0.25">
      <c r="A80" s="9">
        <v>46009</v>
      </c>
      <c r="B80" s="20">
        <v>1249</v>
      </c>
      <c r="C80" s="20">
        <v>93</v>
      </c>
      <c r="D80" s="11">
        <f t="shared" si="0"/>
        <v>1156</v>
      </c>
      <c r="E80" s="11">
        <f t="shared" si="1"/>
        <v>7.4459567654123298</v>
      </c>
      <c r="F80" s="13">
        <v>4</v>
      </c>
      <c r="G80" s="14">
        <f t="shared" si="2"/>
        <v>-3.4459567654123298</v>
      </c>
      <c r="H80" s="14">
        <f ca="1">IFERROR(__xludf.DUMMYFUNCTION("IFERROR(
  AVERAGE(
    FILTER(
      $E$2:$E80,
      $A$2:$A80 &gt;= A80 - 30,
      $A$2:$A80 &lt;= A80,
      $E$2:$E80 &gt; 0
    )
  ),
"""")"),10.3692879438533)</f>
        <v>10.369287943853299</v>
      </c>
      <c r="I80" s="14"/>
    </row>
    <row r="81" spans="1:9" ht="15.75" customHeight="1" x14ac:dyDescent="0.25">
      <c r="A81" s="9">
        <v>46010</v>
      </c>
      <c r="B81" s="20">
        <v>1542</v>
      </c>
      <c r="C81" s="20">
        <v>145</v>
      </c>
      <c r="D81" s="11">
        <f t="shared" si="0"/>
        <v>1397</v>
      </c>
      <c r="E81" s="11">
        <f t="shared" si="1"/>
        <v>9.4033722438391703</v>
      </c>
      <c r="F81" s="13">
        <v>4</v>
      </c>
      <c r="G81" s="14">
        <f t="shared" si="2"/>
        <v>-5.4033722438391703</v>
      </c>
      <c r="H81" s="14">
        <f ca="1">IFERROR(__xludf.DUMMYFUNCTION("IFERROR(
  AVERAGE(
    FILTER(
      $E$2:$E81,
      $A$2:$A81 &gt;= A81 - 30,
      $A$2:$A81 &lt;= A81,
      $E$2:$E81 &gt; 0
    )
  ),
"""")"),10.6087019974125)</f>
        <v>10.608701997412499</v>
      </c>
      <c r="I81" s="14"/>
    </row>
    <row r="82" spans="1:9" ht="15.75" customHeight="1" x14ac:dyDescent="0.25">
      <c r="A82" s="9">
        <v>46011</v>
      </c>
      <c r="B82" s="20">
        <v>932</v>
      </c>
      <c r="C82" s="20">
        <v>40</v>
      </c>
      <c r="D82" s="11">
        <f t="shared" si="0"/>
        <v>892</v>
      </c>
      <c r="E82" s="11">
        <f t="shared" si="1"/>
        <v>4.2918454935622314</v>
      </c>
      <c r="F82" s="13">
        <v>4</v>
      </c>
      <c r="G82" s="14">
        <f t="shared" si="2"/>
        <v>-0.29184549356223144</v>
      </c>
      <c r="H82" s="14">
        <f ca="1">IFERROR(__xludf.DUMMYFUNCTION("IFERROR(
  AVERAGE(
    FILTER(
      $E$2:$E82,
      $A$2:$A82 &gt;= A82 - 30,
      $A$2:$A82 &lt;= A82,
      $E$2:$E82 &gt; 0
    )
  ),
"""")"),10.0736088057358)</f>
        <v>10.0736088057358</v>
      </c>
      <c r="I82" s="14"/>
    </row>
    <row r="83" spans="1:9" ht="15.75" customHeight="1" x14ac:dyDescent="0.25">
      <c r="A83" s="9">
        <v>46012</v>
      </c>
      <c r="B83" s="20">
        <v>416</v>
      </c>
      <c r="C83" s="20">
        <v>26</v>
      </c>
      <c r="D83" s="11">
        <f t="shared" si="0"/>
        <v>390</v>
      </c>
      <c r="E83" s="11">
        <f t="shared" si="1"/>
        <v>6.25</v>
      </c>
      <c r="F83" s="13">
        <v>4</v>
      </c>
      <c r="G83" s="14">
        <f t="shared" si="2"/>
        <v>-2.25</v>
      </c>
      <c r="H83" s="14">
        <f ca="1">IFERROR(__xludf.DUMMYFUNCTION("IFERROR(
  AVERAGE(
    FILTER(
      $E$2:$E83,
      $A$2:$A83 &gt;= A83 - 30,
      $A$2:$A83 &lt;= A83,
      $E$2:$E83 &gt; 0
    )
  ),
"""")"),9.86118609430603)</f>
        <v>9.8611860943060297</v>
      </c>
      <c r="I83" s="14"/>
    </row>
    <row r="84" spans="1:9" ht="15.75" customHeight="1" x14ac:dyDescent="0.25">
      <c r="A84" s="9">
        <v>46013</v>
      </c>
      <c r="B84" s="20">
        <v>1373</v>
      </c>
      <c r="C84" s="20">
        <v>123</v>
      </c>
      <c r="D84" s="11">
        <f t="shared" si="0"/>
        <v>1250</v>
      </c>
      <c r="E84" s="11">
        <f t="shared" si="1"/>
        <v>8.9584850691915516</v>
      </c>
      <c r="F84" s="13">
        <v>4</v>
      </c>
      <c r="G84" s="14">
        <f t="shared" si="2"/>
        <v>-4.9584850691915516</v>
      </c>
      <c r="H84" s="14">
        <f ca="1">IFERROR(__xludf.DUMMYFUNCTION("IFERROR(
  AVERAGE(
    FILTER(
      $E$2:$E84,
      $A$2:$A84 &gt;= A84 - 30,
      $A$2:$A84 &lt;= A84,
      $E$2:$E84 &gt; 0
    )
  ),
"""")"),9.81367551403685)</f>
        <v>9.8136755140368503</v>
      </c>
      <c r="I84" s="14"/>
    </row>
    <row r="85" spans="1:9" ht="15.75" customHeight="1" x14ac:dyDescent="0.25">
      <c r="A85" s="9">
        <v>46014</v>
      </c>
      <c r="B85" s="20">
        <v>1167</v>
      </c>
      <c r="C85" s="20">
        <v>60</v>
      </c>
      <c r="D85" s="11">
        <f t="shared" si="0"/>
        <v>1107</v>
      </c>
      <c r="E85" s="11">
        <f t="shared" si="1"/>
        <v>5.1413881748071981</v>
      </c>
      <c r="F85" s="13">
        <v>4</v>
      </c>
      <c r="G85" s="14">
        <f t="shared" si="2"/>
        <v>-1.1413881748071981</v>
      </c>
      <c r="H85" s="14">
        <f ca="1">IFERROR(__xludf.DUMMYFUNCTION("IFERROR(
  AVERAGE(
    FILTER(
      $E$2:$E85,
      $A$2:$A85 &gt;= A85 - 30,
      $A$2:$A85 &lt;= A85,
      $E$2:$E85 &gt; 0
    )
  ),
"""")"),8.65287211693906)</f>
        <v>8.6528721169390597</v>
      </c>
      <c r="I85" s="14"/>
    </row>
    <row r="86" spans="1:9" ht="15.75" customHeight="1" x14ac:dyDescent="0.25">
      <c r="A86" s="9">
        <v>46015</v>
      </c>
      <c r="B86" s="20">
        <v>1167</v>
      </c>
      <c r="C86" s="20">
        <v>39</v>
      </c>
      <c r="D86" s="11">
        <f t="shared" si="0"/>
        <v>1128</v>
      </c>
      <c r="E86" s="11">
        <f t="shared" si="1"/>
        <v>3.3419023136246784</v>
      </c>
      <c r="F86" s="13">
        <v>4</v>
      </c>
      <c r="G86" s="14">
        <f t="shared" si="2"/>
        <v>0.65809768637532162</v>
      </c>
      <c r="H86" s="14">
        <f ca="1">IFERROR(__xludf.DUMMYFUNCTION("IFERROR(
  AVERAGE(
    FILTER(
      $E$2:$E86,
      $A$2:$A86 &gt;= A86 - 30,
      $A$2:$A86 &lt;= A86,
      $E$2:$E86 &gt; 0
    )
  ),
"""")"),7.24981434397193)</f>
        <v>7.2498143439719298</v>
      </c>
      <c r="I86" s="14"/>
    </row>
    <row r="87" spans="1:9" ht="15.75" customHeight="1" x14ac:dyDescent="0.25">
      <c r="A87" s="9">
        <v>46016</v>
      </c>
      <c r="B87" s="20">
        <v>755</v>
      </c>
      <c r="C87" s="20">
        <v>35</v>
      </c>
      <c r="D87" s="11">
        <f t="shared" si="0"/>
        <v>720</v>
      </c>
      <c r="E87" s="11">
        <f t="shared" si="1"/>
        <v>4.6357615894039732</v>
      </c>
      <c r="F87" s="13">
        <v>4</v>
      </c>
      <c r="G87" s="14">
        <f t="shared" si="2"/>
        <v>-0.6357615894039732</v>
      </c>
      <c r="H87" s="14">
        <f ca="1">IFERROR(__xludf.DUMMYFUNCTION("IFERROR(
  AVERAGE(
    FILTER(
      $E$2:$E87,
      $A$2:$A87 &gt;= A87 - 30,
      $A$2:$A87 &lt;= A87,
      $E$2:$E87 &gt; 0
    )
  ),
"""")"),7.28929051785034)</f>
        <v>7.2892905178503398</v>
      </c>
      <c r="I87" s="14"/>
    </row>
    <row r="88" spans="1:9" ht="15.75" customHeight="1" x14ac:dyDescent="0.25">
      <c r="A88" s="9">
        <v>46017</v>
      </c>
      <c r="B88" s="20">
        <v>1200</v>
      </c>
      <c r="C88" s="20">
        <v>65</v>
      </c>
      <c r="D88" s="11">
        <f t="shared" si="0"/>
        <v>1135</v>
      </c>
      <c r="E88" s="11">
        <f t="shared" si="1"/>
        <v>5.416666666666667</v>
      </c>
      <c r="F88" s="13">
        <v>4</v>
      </c>
      <c r="G88" s="14">
        <f t="shared" si="2"/>
        <v>-1.416666666666667</v>
      </c>
      <c r="H88" s="14">
        <f ca="1">IFERROR(__xludf.DUMMYFUNCTION("IFERROR(
  AVERAGE(
    FILTER(
      $E$2:$E88,
      $A$2:$A88 &gt;= A88 - 30,
      $A$2:$A88 &lt;= A88,
      $E$2:$E88 &gt; 0
    )
  ),
"""")"),6.30039889627303)</f>
        <v>6.3003988962730304</v>
      </c>
      <c r="I88" s="14"/>
    </row>
    <row r="89" spans="1:9" ht="15.75" customHeight="1" x14ac:dyDescent="0.25">
      <c r="A89" s="9">
        <v>46018</v>
      </c>
      <c r="B89" s="20">
        <v>1203</v>
      </c>
      <c r="C89" s="20">
        <v>60</v>
      </c>
      <c r="D89" s="11">
        <f t="shared" si="0"/>
        <v>1143</v>
      </c>
      <c r="E89" s="11">
        <f t="shared" si="1"/>
        <v>4.9875311720698257</v>
      </c>
      <c r="F89" s="13">
        <v>4</v>
      </c>
      <c r="G89" s="14">
        <f t="shared" si="2"/>
        <v>-0.98753117206982566</v>
      </c>
      <c r="H89" s="14">
        <f ca="1">IFERROR(__xludf.DUMMYFUNCTION("IFERROR(
  AVERAGE(
    FILTER(
      $E$2:$E89,
      $A$2:$A89 &gt;= A89 - 30,
      $A$2:$A89 &lt;= A89,
      $E$2:$E89 &gt; 0
    )
  ),
"""")"),6.23475551006287)</f>
        <v>6.23475551006287</v>
      </c>
      <c r="I89" s="14"/>
    </row>
    <row r="90" spans="1:9" ht="15.75" customHeight="1" x14ac:dyDescent="0.25">
      <c r="A90" s="9">
        <v>46019</v>
      </c>
      <c r="B90" s="20">
        <v>0</v>
      </c>
      <c r="C90" s="20">
        <v>0</v>
      </c>
      <c r="D90" s="11">
        <f t="shared" si="0"/>
        <v>0</v>
      </c>
      <c r="E90" s="11" t="e">
        <f t="shared" si="1"/>
        <v>#DIV/0!</v>
      </c>
      <c r="F90" s="13">
        <v>4</v>
      </c>
      <c r="G90" s="14" t="e">
        <f t="shared" si="2"/>
        <v>#DIV/0!</v>
      </c>
      <c r="H90" s="14">
        <f ca="1">IFERROR(__xludf.DUMMYFUNCTION("IFERROR(
  AVERAGE(
    FILTER(
      $E$2:$E90,
      $A$2:$A90 &gt;= A90 - 30,
      $A$2:$A90 &lt;= A90,
      $E$2:$E90 &gt; 0
    )
  ),
"""")"),6.23475551006287)</f>
        <v>6.23475551006287</v>
      </c>
      <c r="I90" s="14"/>
    </row>
    <row r="91" spans="1:9" ht="15.75" customHeight="1" x14ac:dyDescent="0.25">
      <c r="A91" s="9">
        <v>46020</v>
      </c>
      <c r="B91" s="20">
        <v>1575</v>
      </c>
      <c r="C91" s="20">
        <v>35</v>
      </c>
      <c r="D91" s="11">
        <f t="shared" si="0"/>
        <v>1540</v>
      </c>
      <c r="E91" s="11">
        <f t="shared" si="1"/>
        <v>2.2222222222222223</v>
      </c>
      <c r="F91" s="13">
        <v>4</v>
      </c>
      <c r="G91" s="14">
        <f t="shared" si="2"/>
        <v>1.7777777777777777</v>
      </c>
      <c r="H91" s="14">
        <f ca="1">IFERROR(__xludf.DUMMYFUNCTION("IFERROR(
  AVERAGE(
    FILTER(
      $E$2:$E91,
      $A$2:$A91 &gt;= A91 - 30,
      $A$2:$A91 &lt;= A91,
      $E$2:$E91 &gt; 0
    )
  ),
"""")"),6.22129668405214)</f>
        <v>6.22129668405214</v>
      </c>
      <c r="I91" s="14"/>
    </row>
    <row r="92" spans="1:9" ht="15.75" customHeight="1" x14ac:dyDescent="0.25">
      <c r="A92" s="9">
        <v>46021</v>
      </c>
      <c r="B92" s="20">
        <v>2302</v>
      </c>
      <c r="C92" s="20">
        <v>70</v>
      </c>
      <c r="D92" s="11">
        <f t="shared" si="0"/>
        <v>2232</v>
      </c>
      <c r="E92" s="11">
        <f t="shared" si="1"/>
        <v>3.0408340573414421</v>
      </c>
      <c r="F92" s="13">
        <v>4</v>
      </c>
      <c r="G92" s="14">
        <f t="shared" si="2"/>
        <v>0.95916594265855792</v>
      </c>
      <c r="H92" s="14">
        <f ca="1">IFERROR(__xludf.DUMMYFUNCTION("IFERROR(
  AVERAGE(
    FILTER(
      $E$2:$E92,
      $A$2:$A92 &gt;= A92 - 30,
      $A$2:$A92 &lt;= A92,
      $E$2:$E92 &gt; 0
    )
  ),
"""")"),6.0698460827802)</f>
        <v>6.0698460827801997</v>
      </c>
      <c r="I92" s="14"/>
    </row>
    <row r="93" spans="1:9" ht="15.75" customHeight="1" x14ac:dyDescent="0.25">
      <c r="A93" s="9">
        <v>46022</v>
      </c>
      <c r="B93" s="20">
        <v>2515</v>
      </c>
      <c r="C93" s="20">
        <v>110</v>
      </c>
      <c r="D93" s="11">
        <f t="shared" si="0"/>
        <v>2405</v>
      </c>
      <c r="E93" s="11">
        <f t="shared" si="1"/>
        <v>4.3737574552683895</v>
      </c>
      <c r="F93" s="13">
        <v>4</v>
      </c>
      <c r="G93" s="14">
        <f t="shared" si="2"/>
        <v>-0.37375745526838955</v>
      </c>
      <c r="H93" s="14">
        <f ca="1">IFERROR(__xludf.DUMMYFUNCTION("IFERROR(
  AVERAGE(
    FILTER(
      $E$2:$E93,
      $A$2:$A93 &gt;= A93 - 30,
      $A$2:$A93 &lt;= A93,
      $E$2:$E93 &gt; 0
    )
  ),
"""")"),5.99275114516603)</f>
        <v>5.9927511451660296</v>
      </c>
      <c r="I93" s="14">
        <f>23846-1366</f>
        <v>22480</v>
      </c>
    </row>
    <row r="94" spans="1:9" ht="15.75" customHeight="1" x14ac:dyDescent="0.25">
      <c r="A94" s="9">
        <v>46023</v>
      </c>
      <c r="B94" s="20">
        <v>0</v>
      </c>
      <c r="C94" s="20">
        <v>0</v>
      </c>
      <c r="D94" s="11">
        <f t="shared" si="0"/>
        <v>0</v>
      </c>
      <c r="E94" s="11" t="e">
        <f t="shared" si="1"/>
        <v>#DIV/0!</v>
      </c>
      <c r="F94" s="13">
        <v>4</v>
      </c>
      <c r="G94" s="14" t="e">
        <f t="shared" si="2"/>
        <v>#DIV/0!</v>
      </c>
      <c r="H94" s="14">
        <f ca="1">IFERROR(__xludf.DUMMYFUNCTION("IFERROR(
  AVERAGE(
    FILTER(
      $E$2:$E94,
      $A$2:$A94 &gt;= A94 - 30,
      $A$2:$A94 &lt;= A94,
      $E$2:$E94 &gt; 0
    )
  ),
"""")"),5.99275114516603)</f>
        <v>5.9927511451660296</v>
      </c>
      <c r="I94" s="14"/>
    </row>
    <row r="95" spans="1:9" ht="15.75" customHeight="1" x14ac:dyDescent="0.25">
      <c r="A95" s="9">
        <v>46024</v>
      </c>
      <c r="B95" s="20">
        <v>0</v>
      </c>
      <c r="C95" s="20">
        <v>0</v>
      </c>
      <c r="D95" s="11">
        <f t="shared" si="0"/>
        <v>0</v>
      </c>
      <c r="E95" s="11" t="e">
        <f t="shared" si="1"/>
        <v>#DIV/0!</v>
      </c>
      <c r="F95" s="13">
        <v>4</v>
      </c>
      <c r="G95" s="14" t="e">
        <f t="shared" si="2"/>
        <v>#DIV/0!</v>
      </c>
      <c r="H95" s="14">
        <f ca="1">IFERROR(__xludf.DUMMYFUNCTION("IFERROR(
  AVERAGE(
    FILTER(
      $E$2:$E95,
      $A$2:$A95 &gt;= A95 - 30,
      $A$2:$A95 &lt;= A95,
      $E$2:$E95 &gt; 0
    )
  ),
"""")"),5.99275114516603)</f>
        <v>5.9927511451660296</v>
      </c>
      <c r="I95" s="14"/>
    </row>
    <row r="96" spans="1:9" ht="15.75" customHeight="1" x14ac:dyDescent="0.25">
      <c r="A96" s="9">
        <v>46025</v>
      </c>
      <c r="B96" s="20">
        <v>0</v>
      </c>
      <c r="C96" s="20">
        <v>0</v>
      </c>
      <c r="D96" s="11">
        <f t="shared" si="0"/>
        <v>0</v>
      </c>
      <c r="E96" s="11" t="e">
        <f t="shared" si="1"/>
        <v>#DIV/0!</v>
      </c>
      <c r="F96" s="13">
        <v>4</v>
      </c>
      <c r="G96" s="14" t="e">
        <f t="shared" si="2"/>
        <v>#DIV/0!</v>
      </c>
      <c r="H96" s="14">
        <f ca="1">IFERROR(__xludf.DUMMYFUNCTION("IFERROR(
  AVERAGE(
    FILTER(
      $E$2:$E96,
      $A$2:$A96 &gt;= A96 - 30,
      $A$2:$A96 &lt;= A96,
      $E$2:$E96 &gt; 0
    )
  ),
"""")"),5.99275114516603)</f>
        <v>5.9927511451660296</v>
      </c>
      <c r="I96" s="14"/>
    </row>
    <row r="97" spans="1:9" ht="15.75" customHeight="1" x14ac:dyDescent="0.25">
      <c r="A97" s="9">
        <v>46026</v>
      </c>
      <c r="B97" s="20">
        <v>0</v>
      </c>
      <c r="C97" s="20">
        <v>0</v>
      </c>
      <c r="D97" s="11">
        <f t="shared" si="0"/>
        <v>0</v>
      </c>
      <c r="E97" s="11" t="e">
        <f t="shared" si="1"/>
        <v>#DIV/0!</v>
      </c>
      <c r="F97" s="13">
        <v>4</v>
      </c>
      <c r="G97" s="14" t="e">
        <f t="shared" si="2"/>
        <v>#DIV/0!</v>
      </c>
      <c r="H97" s="14">
        <f ca="1">IFERROR(__xludf.DUMMYFUNCTION("IFERROR(
  AVERAGE(
    FILTER(
      $E$2:$E97,
      $A$2:$A97 &gt;= A97 - 30,
      $A$2:$A97 &lt;= A97,
      $E$2:$E97 &gt; 0
    )
  ),
"""")"),6.05663630490262)</f>
        <v>6.0566363049026197</v>
      </c>
      <c r="I97" s="14"/>
    </row>
    <row r="98" spans="1:9" ht="15.75" customHeight="1" x14ac:dyDescent="0.25">
      <c r="A98" s="9">
        <v>46027</v>
      </c>
      <c r="B98" s="20">
        <v>770</v>
      </c>
      <c r="C98" s="20">
        <v>57</v>
      </c>
      <c r="D98" s="11">
        <f t="shared" si="0"/>
        <v>713</v>
      </c>
      <c r="E98" s="11">
        <f t="shared" si="1"/>
        <v>7.4025974025974026</v>
      </c>
      <c r="F98" s="13">
        <v>4</v>
      </c>
      <c r="G98" s="14">
        <f t="shared" si="2"/>
        <v>-3.4025974025974026</v>
      </c>
      <c r="H98" s="14">
        <f ca="1">IFERROR(__xludf.DUMMYFUNCTION("IFERROR(
  AVERAGE(
    FILTER(
      $E$2:$E98,
      $A$2:$A98 &gt;= A98 - 30,
      $A$2:$A98 &lt;= A98,
      $E$2:$E98 &gt; 0
    )
  ),
"""")"),6.11781635479784)</f>
        <v>6.1178163547978404</v>
      </c>
      <c r="I98" s="14"/>
    </row>
    <row r="99" spans="1:9" ht="15.75" customHeight="1" x14ac:dyDescent="0.25">
      <c r="A99" s="9">
        <v>46028</v>
      </c>
      <c r="B99" s="20">
        <v>0</v>
      </c>
      <c r="C99" s="20">
        <v>0</v>
      </c>
      <c r="D99" s="11">
        <f t="shared" si="0"/>
        <v>0</v>
      </c>
      <c r="E99" s="11" t="e">
        <f t="shared" si="1"/>
        <v>#DIV/0!</v>
      </c>
      <c r="F99" s="13">
        <v>4</v>
      </c>
      <c r="G99" s="14" t="e">
        <f t="shared" si="2"/>
        <v>#DIV/0!</v>
      </c>
      <c r="H99" s="14">
        <f ca="1">IFERROR(__xludf.DUMMYFUNCTION("IFERROR(
  AVERAGE(
    FILTER(
      $E$2:$E99,
      $A$2:$A99 &gt;= A99 - 30,
      $A$2:$A99 &lt;= A99,
      $E$2:$E99 &gt; 0
    )
  ),
"""")"),6.11781635479784)</f>
        <v>6.1178163547978404</v>
      </c>
      <c r="I99" s="14"/>
    </row>
    <row r="100" spans="1:9" ht="15.75" customHeight="1" x14ac:dyDescent="0.25">
      <c r="A100" s="9">
        <v>46029</v>
      </c>
      <c r="B100" s="20">
        <v>1732</v>
      </c>
      <c r="C100" s="20">
        <v>196</v>
      </c>
      <c r="D100" s="11">
        <f t="shared" si="0"/>
        <v>1536</v>
      </c>
      <c r="E100" s="11">
        <f t="shared" si="1"/>
        <v>11.316397228637413</v>
      </c>
      <c r="F100" s="13">
        <v>4</v>
      </c>
      <c r="G100" s="14">
        <f t="shared" si="2"/>
        <v>-7.3163972286374133</v>
      </c>
      <c r="H100" s="14">
        <f ca="1">IFERROR(__xludf.DUMMYFUNCTION("IFERROR(
  AVERAGE(
    FILTER(
      $E$2:$E100,
      $A$2:$A100 &gt;= A100 - 30,
      $A$2:$A100 &lt;= A100,
      $E$2:$E100 &gt; 0
    )
  ),
"""")"),6.34384161018217)</f>
        <v>6.34384161018217</v>
      </c>
      <c r="I100" s="14"/>
    </row>
    <row r="101" spans="1:9" ht="15.75" customHeight="1" x14ac:dyDescent="0.25">
      <c r="A101" s="9">
        <v>46030</v>
      </c>
      <c r="B101" s="20">
        <v>0</v>
      </c>
      <c r="C101" s="20">
        <v>0</v>
      </c>
      <c r="D101" s="11">
        <f t="shared" si="0"/>
        <v>0</v>
      </c>
      <c r="E101" s="11" t="e">
        <f t="shared" si="1"/>
        <v>#DIV/0!</v>
      </c>
      <c r="F101" s="13">
        <v>4</v>
      </c>
      <c r="G101" s="14" t="e">
        <f t="shared" si="2"/>
        <v>#DIV/0!</v>
      </c>
      <c r="H101" s="14">
        <f ca="1">IFERROR(__xludf.DUMMYFUNCTION("IFERROR(
  AVERAGE(
    FILTER(
      $E$2:$E101,
      $A$2:$A101 &gt;= A101 - 30,
      $A$2:$A101 &lt;= A101,
      $E$2:$E101 &gt; 0
    )
  ),
"""")"),6.32477600045615)</f>
        <v>6.3247760004561497</v>
      </c>
      <c r="I101" s="14"/>
    </row>
    <row r="102" spans="1:9" ht="15.75" customHeight="1" x14ac:dyDescent="0.25">
      <c r="A102" s="9">
        <v>46031</v>
      </c>
      <c r="B102" s="20">
        <v>985</v>
      </c>
      <c r="C102" s="20">
        <v>55</v>
      </c>
      <c r="D102" s="11">
        <f t="shared" si="0"/>
        <v>930</v>
      </c>
      <c r="E102" s="11">
        <f t="shared" si="1"/>
        <v>5.5837563451776653</v>
      </c>
      <c r="F102" s="13">
        <v>4</v>
      </c>
      <c r="G102" s="14">
        <f t="shared" si="2"/>
        <v>-1.5837563451776653</v>
      </c>
      <c r="H102" s="14">
        <f ca="1">IFERROR(__xludf.DUMMYFUNCTION("IFERROR(
  AVERAGE(
    FILTER(
      $E$2:$E102,
      $A$2:$A102 &gt;= A102 - 30,
      $A$2:$A102 &lt;= A102,
      $E$2:$E102 &gt; 0
    )
  ),
"""")"),6.33615886463089)</f>
        <v>6.3361588646308897</v>
      </c>
      <c r="I102" s="14"/>
    </row>
    <row r="103" spans="1:9" ht="15.75" customHeight="1" x14ac:dyDescent="0.25">
      <c r="A103" s="9">
        <v>46032</v>
      </c>
      <c r="B103" s="20">
        <v>964.39</v>
      </c>
      <c r="C103" s="20">
        <v>52</v>
      </c>
      <c r="D103" s="11">
        <f t="shared" si="0"/>
        <v>912.39</v>
      </c>
      <c r="E103" s="11">
        <f t="shared" si="1"/>
        <v>5.3920094567550469</v>
      </c>
      <c r="F103" s="13">
        <v>4</v>
      </c>
      <c r="G103" s="14">
        <f t="shared" si="2"/>
        <v>-1.3920094567550469</v>
      </c>
      <c r="H103" s="14">
        <f ca="1">IFERROR(__xludf.DUMMYFUNCTION("IFERROR(
  AVERAGE(
    FILTER(
      $E$2:$E103,
      $A$2:$A103 &gt;= A103 - 30,
      $A$2:$A103 &lt;= A103,
      $E$2:$E103 &gt; 0
    )
  ),
"""")"),6.14108352712615)</f>
        <v>6.1410835271261499</v>
      </c>
      <c r="I103" s="14"/>
    </row>
    <row r="104" spans="1:9" ht="15.75" customHeight="1" x14ac:dyDescent="0.25">
      <c r="A104" s="9">
        <v>46033</v>
      </c>
      <c r="B104" s="20">
        <v>0</v>
      </c>
      <c r="C104" s="20">
        <v>0</v>
      </c>
      <c r="D104" s="11">
        <f t="shared" si="0"/>
        <v>0</v>
      </c>
      <c r="E104" s="11" t="e">
        <f t="shared" si="1"/>
        <v>#DIV/0!</v>
      </c>
      <c r="F104" s="13">
        <v>4</v>
      </c>
      <c r="G104" s="14" t="e">
        <f t="shared" si="2"/>
        <v>#DIV/0!</v>
      </c>
      <c r="H104" s="14">
        <f ca="1">IFERROR(__xludf.DUMMYFUNCTION("IFERROR(
  AVERAGE(
    FILTER(
      $E$2:$E104,
      $A$2:$A104 &gt;= A104 - 30,
      $A$2:$A104 &lt;= A104,
      $E$2:$E104 &gt; 0
    )
  ),
"""")"),6.02300704483824)</f>
        <v>6.0230070448382396</v>
      </c>
      <c r="I104" s="14"/>
    </row>
    <row r="105" spans="1:9" ht="15.75" customHeight="1" x14ac:dyDescent="0.25">
      <c r="A105" s="9">
        <v>46034</v>
      </c>
      <c r="B105" s="20">
        <v>975</v>
      </c>
      <c r="C105" s="20">
        <v>160</v>
      </c>
      <c r="D105" s="11">
        <f t="shared" si="0"/>
        <v>815</v>
      </c>
      <c r="E105" s="11">
        <f t="shared" si="1"/>
        <v>16.410256410256409</v>
      </c>
      <c r="F105" s="13">
        <v>4</v>
      </c>
      <c r="G105" s="14">
        <f t="shared" si="2"/>
        <v>-12.410256410256409</v>
      </c>
      <c r="H105" s="14">
        <f ca="1">IFERROR(__xludf.DUMMYFUNCTION("IFERROR(
  AVERAGE(
    FILTER(
      $E$2:$E105,
      $A$2:$A105 &gt;= A105 - 30,
      $A$2:$A105 &lt;= A105,
      $E$2:$E105 &gt; 0
    )
  ),
"""")"),6.49515474326633)</f>
        <v>6.4951547432663297</v>
      </c>
      <c r="I105" s="14"/>
    </row>
    <row r="106" spans="1:9" ht="15.75" customHeight="1" x14ac:dyDescent="0.25">
      <c r="A106" s="9">
        <v>46035</v>
      </c>
      <c r="B106" s="20">
        <v>0</v>
      </c>
      <c r="C106" s="20">
        <v>0</v>
      </c>
      <c r="D106" s="11">
        <f t="shared" si="0"/>
        <v>0</v>
      </c>
      <c r="E106" s="11" t="e">
        <f t="shared" si="1"/>
        <v>#DIV/0!</v>
      </c>
      <c r="F106" s="13">
        <v>4</v>
      </c>
      <c r="G106" s="14" t="e">
        <f t="shared" si="2"/>
        <v>#DIV/0!</v>
      </c>
      <c r="H106" s="14">
        <f ca="1">IFERROR(__xludf.DUMMYFUNCTION("IFERROR(
  AVERAGE(
    FILTER(
      $E$2:$E106,
      $A$2:$A106 &gt;= A106 - 30,
      $A$2:$A106 &lt;= A106,
      $E$2:$E106 &gt; 0
    )
  ),
"""")"),6.43407745590865)</f>
        <v>6.4340774559086498</v>
      </c>
      <c r="I106" s="14"/>
    </row>
    <row r="107" spans="1:9" ht="15.75" customHeight="1" x14ac:dyDescent="0.25">
      <c r="A107" s="9">
        <v>46036</v>
      </c>
      <c r="B107" s="20">
        <v>0</v>
      </c>
      <c r="C107" s="20">
        <v>0</v>
      </c>
      <c r="D107" s="11">
        <f t="shared" si="0"/>
        <v>0</v>
      </c>
      <c r="E107" s="11" t="e">
        <f t="shared" si="1"/>
        <v>#DIV/0!</v>
      </c>
      <c r="F107" s="13">
        <v>4</v>
      </c>
      <c r="G107" s="14" t="e">
        <f t="shared" si="2"/>
        <v>#DIV/0!</v>
      </c>
      <c r="H107" s="14">
        <f ca="1">IFERROR(__xludf.DUMMYFUNCTION("IFERROR(
  AVERAGE(
    FILTER(
      $E$2:$E107,
      $A$2:$A107 &gt;= A107 - 30,
      $A$2:$A107 &lt;= A107,
      $E$2:$E107 &gt; 0
    )
  ),
"""")"),6.43407745590865)</f>
        <v>6.4340774559086498</v>
      </c>
      <c r="I107" s="14"/>
    </row>
    <row r="108" spans="1:9" ht="15.75" customHeight="1" x14ac:dyDescent="0.25">
      <c r="A108" s="9">
        <v>46037</v>
      </c>
      <c r="B108" s="20">
        <v>758</v>
      </c>
      <c r="C108" s="20">
        <v>40</v>
      </c>
      <c r="D108" s="11">
        <f t="shared" si="0"/>
        <v>718</v>
      </c>
      <c r="E108" s="11">
        <f t="shared" si="1"/>
        <v>5.2770448548812663</v>
      </c>
      <c r="F108" s="13">
        <v>4</v>
      </c>
      <c r="G108" s="14">
        <f t="shared" si="2"/>
        <v>-1.2770448548812663</v>
      </c>
      <c r="H108" s="14">
        <f ca="1">IFERROR(__xludf.DUMMYFUNCTION("IFERROR(
  AVERAGE(
    FILTER(
      $E$2:$E108,
      $A$2:$A108 &gt;= A108 - 30,
      $A$2:$A108 &lt;= A108,
      $E$2:$E108 &gt; 0
    )
  ),
"""")"),6.38474000551579)</f>
        <v>6.3847400055157904</v>
      </c>
      <c r="I108" s="14"/>
    </row>
    <row r="109" spans="1:9" ht="15.75" customHeight="1" x14ac:dyDescent="0.25">
      <c r="A109" s="9">
        <v>46038</v>
      </c>
      <c r="B109" s="20">
        <v>760</v>
      </c>
      <c r="C109" s="20">
        <v>50</v>
      </c>
      <c r="D109" s="11">
        <f t="shared" si="0"/>
        <v>710</v>
      </c>
      <c r="E109" s="11">
        <f t="shared" si="1"/>
        <v>6.5789473684210522</v>
      </c>
      <c r="F109" s="13">
        <v>4</v>
      </c>
      <c r="G109" s="14">
        <f t="shared" si="2"/>
        <v>-2.5789473684210522</v>
      </c>
      <c r="H109" s="14">
        <f ca="1">IFERROR(__xludf.DUMMYFUNCTION("IFERROR(
  AVERAGE(
    FILTER(
      $E$2:$E109,
      $A$2:$A109 &gt;= A109 - 30,
      $A$2:$A109 &lt;= A109,
      $E$2:$E109 &gt; 0
    )
  ),
"""")"),6.36458568097358)</f>
        <v>6.3645856809735797</v>
      </c>
      <c r="I109" s="14"/>
    </row>
    <row r="110" spans="1:9" ht="15.75" customHeight="1" x14ac:dyDescent="0.25">
      <c r="A110" s="9">
        <v>46039</v>
      </c>
      <c r="B110" s="20">
        <v>755</v>
      </c>
      <c r="C110" s="20">
        <v>50</v>
      </c>
      <c r="D110" s="11">
        <f t="shared" si="0"/>
        <v>705</v>
      </c>
      <c r="E110" s="11">
        <f t="shared" si="1"/>
        <v>6.6225165562913908</v>
      </c>
      <c r="F110" s="13">
        <v>4</v>
      </c>
      <c r="G110" s="14">
        <f t="shared" si="2"/>
        <v>-2.6225165562913908</v>
      </c>
      <c r="H110" s="14">
        <f ca="1">IFERROR(__xludf.DUMMYFUNCTION("IFERROR(
  AVERAGE(
    FILTER(
      $E$2:$E110,
      $A$2:$A110 &gt;= A110 - 30,
      $A$2:$A110 &lt;= A110,
      $E$2:$E110 &gt; 0
    )
  ),
"""")"),6.38539280221082)</f>
        <v>6.38539280221082</v>
      </c>
      <c r="I110" s="14"/>
    </row>
    <row r="111" spans="1:9" ht="15.75" customHeight="1" x14ac:dyDescent="0.25">
      <c r="A111" s="9">
        <v>46040</v>
      </c>
      <c r="B111" s="20">
        <v>0</v>
      </c>
      <c r="C111" s="20">
        <v>0</v>
      </c>
      <c r="D111" s="11">
        <f t="shared" si="0"/>
        <v>0</v>
      </c>
      <c r="E111" s="11" t="e">
        <f t="shared" si="1"/>
        <v>#DIV/0!</v>
      </c>
      <c r="F111" s="13">
        <v>4</v>
      </c>
      <c r="G111" s="14" t="e">
        <f t="shared" si="2"/>
        <v>#DIV/0!</v>
      </c>
      <c r="H111" s="14">
        <f ca="1">IFERROR(__xludf.DUMMYFUNCTION("IFERROR(
  AVERAGE(
    FILTER(
      $E$2:$E111,
      $A$2:$A111 &gt;= A111 - 30,
      $A$2:$A111 &lt;= A111,
      $E$2:$E111 &gt; 0
    )
  ),
"""")"),6.33236460405075)</f>
        <v>6.33236460405075</v>
      </c>
      <c r="I111" s="14"/>
    </row>
    <row r="112" spans="1:9" ht="15.75" customHeight="1" x14ac:dyDescent="0.25">
      <c r="A112" s="9">
        <v>46041</v>
      </c>
      <c r="B112" s="20">
        <v>0</v>
      </c>
      <c r="C112" s="20">
        <v>0</v>
      </c>
      <c r="D112" s="11">
        <f t="shared" si="0"/>
        <v>0</v>
      </c>
      <c r="E112" s="11" t="e">
        <f t="shared" si="1"/>
        <v>#DIV/0!</v>
      </c>
      <c r="F112" s="13">
        <v>4</v>
      </c>
      <c r="G112" s="14" t="e">
        <f t="shared" si="2"/>
        <v>#DIV/0!</v>
      </c>
      <c r="H112" s="14">
        <f ca="1">IFERROR(__xludf.DUMMYFUNCTION("IFERROR(
  AVERAGE(
    FILTER(
      $E$2:$E112,
      $A$2:$A112 &gt;= A112 - 30,
      $A$2:$A112 &lt;= A112,
      $E$2:$E112 &gt; 0
    )
  ),
"""")"),6.17073262300925)</f>
        <v>6.1707326230092496</v>
      </c>
      <c r="I112" s="14"/>
    </row>
    <row r="113" spans="1:9" ht="15.75" customHeight="1" x14ac:dyDescent="0.25">
      <c r="A113" s="9">
        <v>46042</v>
      </c>
      <c r="B113" s="20">
        <v>548</v>
      </c>
      <c r="C113" s="20">
        <v>60</v>
      </c>
      <c r="D113" s="11">
        <f t="shared" si="0"/>
        <v>488</v>
      </c>
      <c r="E113" s="11">
        <f t="shared" si="1"/>
        <v>10.948905109489052</v>
      </c>
      <c r="F113" s="13">
        <v>4</v>
      </c>
      <c r="G113" s="14">
        <f t="shared" si="2"/>
        <v>-6.9489051094890524</v>
      </c>
      <c r="H113" s="14">
        <f ca="1">IFERROR(__xludf.DUMMYFUNCTION("IFERROR(
  AVERAGE(
    FILTER(
      $E$2:$E113,
      $A$2:$A113 &gt;= A113 - 30,
      $A$2:$A113 &lt;= A113,
      $E$2:$E113 &gt; 0
    )
  ),
"""")"),6.52110418174224)</f>
        <v>6.5211041817422402</v>
      </c>
      <c r="I113" s="14"/>
    </row>
    <row r="114" spans="1:9" ht="15.75" customHeight="1" x14ac:dyDescent="0.25">
      <c r="A114" s="9">
        <v>46043</v>
      </c>
      <c r="B114" s="20">
        <v>0</v>
      </c>
      <c r="C114" s="20">
        <v>0</v>
      </c>
      <c r="D114" s="11">
        <f t="shared" si="0"/>
        <v>0</v>
      </c>
      <c r="E114" s="11" t="e">
        <f t="shared" si="1"/>
        <v>#DIV/0!</v>
      </c>
      <c r="F114" s="13">
        <v>4</v>
      </c>
      <c r="G114" s="14" t="e">
        <f t="shared" si="2"/>
        <v>#DIV/0!</v>
      </c>
      <c r="H114" s="14">
        <f ca="1">IFERROR(__xludf.DUMMYFUNCTION("IFERROR(
  AVERAGE(
    FILTER(
      $E$2:$E114,
      $A$2:$A114 &gt;= A114 - 30,
      $A$2:$A114 &lt;= A114,
      $E$2:$E114 &gt; 0
    )
  ),
"""")"),6.53616552517236)</f>
        <v>6.5361655251723603</v>
      </c>
      <c r="I114" s="14"/>
    </row>
    <row r="115" spans="1:9" ht="15.75" customHeight="1" x14ac:dyDescent="0.25">
      <c r="A115" s="9">
        <v>46044</v>
      </c>
      <c r="B115" s="20">
        <v>0</v>
      </c>
      <c r="C115" s="20">
        <v>0</v>
      </c>
      <c r="D115" s="11">
        <f t="shared" si="0"/>
        <v>0</v>
      </c>
      <c r="E115" s="11" t="e">
        <f t="shared" si="1"/>
        <v>#DIV/0!</v>
      </c>
      <c r="F115" s="13">
        <v>4</v>
      </c>
      <c r="G115" s="14" t="e">
        <f t="shared" si="2"/>
        <v>#DIV/0!</v>
      </c>
      <c r="H115" s="14">
        <f ca="1">IFERROR(__xludf.DUMMYFUNCTION("IFERROR(
  AVERAGE(
    FILTER(
      $E$2:$E115,
      $A$2:$A115 &gt;= A115 - 30,
      $A$2:$A115 &lt;= A115,
      $E$2:$E115 &gt; 0
    )
  ),
"""")"),6.39367614023006)</f>
        <v>6.3936761402300597</v>
      </c>
      <c r="I115" s="14"/>
    </row>
    <row r="116" spans="1:9" ht="15.75" customHeight="1" x14ac:dyDescent="0.25">
      <c r="A116" s="9">
        <v>46045</v>
      </c>
      <c r="B116" s="20">
        <v>2376</v>
      </c>
      <c r="C116" s="20">
        <v>101</v>
      </c>
      <c r="D116" s="11">
        <f t="shared" si="0"/>
        <v>2275</v>
      </c>
      <c r="E116" s="11">
        <f t="shared" si="1"/>
        <v>4.2508417508417509</v>
      </c>
      <c r="F116" s="13">
        <v>4</v>
      </c>
      <c r="G116" s="14">
        <f t="shared" si="2"/>
        <v>-0.25084175084175087</v>
      </c>
      <c r="H116" s="14">
        <f ca="1">IFERROR(__xludf.DUMMYFUNCTION("IFERROR(
  AVERAGE(
    FILTER(
      $E$2:$E116,
      $A$2:$A116 &gt;= A116 - 30,
      $A$2:$A116 &lt;= A116,
      $E$2:$E116 &gt; 0
    )
  ),
"""")"),6.34129105646739)</f>
        <v>6.3412910564673899</v>
      </c>
      <c r="I116" s="14"/>
    </row>
    <row r="117" spans="1:9" ht="15.75" customHeight="1" x14ac:dyDescent="0.25">
      <c r="A117" s="9">
        <v>46046</v>
      </c>
      <c r="B117" s="20">
        <v>1102</v>
      </c>
      <c r="C117" s="20">
        <v>76</v>
      </c>
      <c r="D117" s="11">
        <f t="shared" si="0"/>
        <v>1026</v>
      </c>
      <c r="E117" s="11">
        <f t="shared" si="1"/>
        <v>6.8965517241379306</v>
      </c>
      <c r="F117" s="13">
        <v>4</v>
      </c>
      <c r="G117" s="14">
        <f t="shared" si="2"/>
        <v>-2.8965517241379306</v>
      </c>
      <c r="H117" s="14">
        <f ca="1">IFERROR(__xludf.DUMMYFUNCTION("IFERROR(
  AVERAGE(
    FILTER(
      $E$2:$E117,
      $A$2:$A117 &gt;= A117 - 30,
      $A$2:$A117 &lt;= A117,
      $E$2:$E117 &gt; 0
    )
  ),
"""")"),6.55038808061522)</f>
        <v>6.5503880806152202</v>
      </c>
      <c r="I117" s="14"/>
    </row>
    <row r="118" spans="1:9" ht="15.75" customHeight="1" x14ac:dyDescent="0.25">
      <c r="A118" s="9">
        <v>46047</v>
      </c>
      <c r="B118" s="20">
        <v>0</v>
      </c>
      <c r="C118" s="20">
        <v>0</v>
      </c>
      <c r="D118" s="11">
        <f t="shared" si="0"/>
        <v>0</v>
      </c>
      <c r="E118" s="11" t="e">
        <f t="shared" si="1"/>
        <v>#DIV/0!</v>
      </c>
      <c r="F118" s="13">
        <v>4</v>
      </c>
      <c r="G118" s="14" t="e">
        <f t="shared" si="2"/>
        <v>#DIV/0!</v>
      </c>
      <c r="H118" s="14">
        <f ca="1">IFERROR(__xludf.DUMMYFUNCTION("IFERROR(
  AVERAGE(
    FILTER(
      $E$2:$E118,
      $A$2:$A118 &gt;= A118 - 30,
      $A$2:$A118 &lt;= A118,
      $E$2:$E118 &gt; 0
    )
  ),
"""")"),6.67005223631593)</f>
        <v>6.6700522363159296</v>
      </c>
      <c r="I118" s="14"/>
    </row>
    <row r="119" spans="1:9" ht="15.75" customHeight="1" x14ac:dyDescent="0.25">
      <c r="A119" s="9">
        <v>46048</v>
      </c>
      <c r="B119" s="20">
        <v>0</v>
      </c>
      <c r="C119" s="20">
        <v>0</v>
      </c>
      <c r="D119" s="11">
        <f t="shared" si="0"/>
        <v>0</v>
      </c>
      <c r="E119" s="11" t="e">
        <f t="shared" si="1"/>
        <v>#DIV/0!</v>
      </c>
      <c r="F119" s="13">
        <v>4</v>
      </c>
      <c r="G119" s="14" t="e">
        <f t="shared" si="2"/>
        <v>#DIV/0!</v>
      </c>
      <c r="H119" s="14">
        <f ca="1">IFERROR(__xludf.DUMMYFUNCTION("IFERROR(
  AVERAGE(
    FILTER(
      $E$2:$E119,
      $A$2:$A119 &gt;= A119 - 30,
      $A$2:$A119 &lt;= A119,
      $E$2:$E119 &gt; 0
    )
  ),
"""")"),6.75361127429255)</f>
        <v>6.7536112742925498</v>
      </c>
      <c r="I119" s="14"/>
    </row>
    <row r="120" spans="1:9" ht="15.75" customHeight="1" x14ac:dyDescent="0.25">
      <c r="A120" s="9">
        <v>46049</v>
      </c>
      <c r="B120" s="20">
        <v>0</v>
      </c>
      <c r="C120" s="20">
        <v>0</v>
      </c>
      <c r="D120" s="11">
        <f t="shared" si="0"/>
        <v>0</v>
      </c>
      <c r="E120" s="11" t="e">
        <f t="shared" si="1"/>
        <v>#DIV/0!</v>
      </c>
      <c r="F120" s="13">
        <v>4</v>
      </c>
      <c r="G120" s="14" t="e">
        <f t="shared" si="2"/>
        <v>#DIV/0!</v>
      </c>
      <c r="H120" s="14">
        <f ca="1">IFERROR(__xludf.DUMMYFUNCTION("IFERROR(
  AVERAGE(
    FILTER(
      $E$2:$E120,
      $A$2:$A120 &gt;= A120 - 30,
      $A$2:$A120 &lt;= A120,
      $E$2:$E120 &gt; 0
    )
  ),
"""")"),6.87975985302274)</f>
        <v>6.8797598530227404</v>
      </c>
      <c r="I120" s="14"/>
    </row>
    <row r="121" spans="1:9" ht="15.75" customHeight="1" x14ac:dyDescent="0.25">
      <c r="A121" s="9">
        <v>46050</v>
      </c>
      <c r="B121" s="20">
        <v>1303.03</v>
      </c>
      <c r="C121" s="20">
        <v>48</v>
      </c>
      <c r="D121" s="11">
        <f t="shared" si="0"/>
        <v>1255.03</v>
      </c>
      <c r="E121" s="11">
        <f t="shared" si="1"/>
        <v>3.6837217869120433</v>
      </c>
      <c r="F121" s="13">
        <v>4</v>
      </c>
      <c r="G121" s="14">
        <f t="shared" si="2"/>
        <v>0.31627821308795667</v>
      </c>
      <c r="H121" s="14">
        <f ca="1">IFERROR(__xludf.DUMMYFUNCTION("IFERROR(
  AVERAGE(
    FILTER(
      $E$2:$E121,
      $A$2:$A121 &gt;= A121 - 30,
      $A$2:$A121 &lt;= A121,
      $E$2:$E121 &gt; 0
    )
  ),
"""")"),6.66669064861536)</f>
        <v>6.6666906486153596</v>
      </c>
      <c r="I121" s="14"/>
    </row>
    <row r="122" spans="1:9" ht="15.75" customHeight="1" x14ac:dyDescent="0.25">
      <c r="A122" s="9">
        <v>46051</v>
      </c>
      <c r="B122" s="20">
        <v>0</v>
      </c>
      <c r="C122" s="20">
        <v>0</v>
      </c>
      <c r="D122" s="11">
        <f t="shared" si="0"/>
        <v>0</v>
      </c>
      <c r="E122" s="11" t="e">
        <f t="shared" si="1"/>
        <v>#DIV/0!</v>
      </c>
      <c r="F122" s="13">
        <v>4</v>
      </c>
      <c r="G122" s="14" t="e">
        <f t="shared" si="2"/>
        <v>#DIV/0!</v>
      </c>
      <c r="H122" s="14">
        <f ca="1">IFERROR(__xludf.DUMMYFUNCTION("IFERROR(
  AVERAGE(
    FILTER(
      $E$2:$E122,
      $A$2:$A122 &gt;= A122 - 30,
      $A$2:$A122 &lt;= A122,
      $E$2:$E122 &gt; 0
    )
  ),
"""")"),6.98415267907201)</f>
        <v>6.9841526790720101</v>
      </c>
      <c r="I122" s="14"/>
    </row>
    <row r="123" spans="1:9" ht="15.75" customHeight="1" x14ac:dyDescent="0.25">
      <c r="A123" s="9">
        <v>46052</v>
      </c>
      <c r="B123" s="20">
        <v>2026</v>
      </c>
      <c r="C123" s="20">
        <v>138</v>
      </c>
      <c r="D123" s="11">
        <f t="shared" si="0"/>
        <v>1888</v>
      </c>
      <c r="E123" s="11">
        <f t="shared" si="1"/>
        <v>6.8114511352418559</v>
      </c>
      <c r="F123" s="13">
        <v>4</v>
      </c>
      <c r="G123" s="14">
        <f t="shared" si="2"/>
        <v>-2.8114511352418559</v>
      </c>
      <c r="H123" s="14">
        <f ca="1">IFERROR(__xludf.DUMMYFUNCTION("IFERROR(
  AVERAGE(
    FILTER(
      $E$2:$E123,
      $A$2:$A123 &gt;= A123 - 30,
      $A$2:$A123 &lt;= A123,
      $E$2:$E123 &gt; 0
    )
  ),
"""")"),7.25348247035061)</f>
        <v>7.25348247035061</v>
      </c>
      <c r="I123" s="14"/>
    </row>
    <row r="124" spans="1:9" ht="15.75" customHeight="1" x14ac:dyDescent="0.25">
      <c r="A124" s="9">
        <v>46053</v>
      </c>
      <c r="B124" s="20">
        <v>1578</v>
      </c>
      <c r="C124" s="20">
        <v>82</v>
      </c>
      <c r="D124" s="11">
        <f t="shared" si="0"/>
        <v>1496</v>
      </c>
      <c r="E124" s="11">
        <f t="shared" si="1"/>
        <v>5.1964512040557667</v>
      </c>
      <c r="F124" s="13">
        <v>4</v>
      </c>
      <c r="G124" s="14">
        <f t="shared" si="2"/>
        <v>-1.1964512040557667</v>
      </c>
      <c r="H124" s="14">
        <f ca="1">IFERROR(__xludf.DUMMYFUNCTION("IFERROR(
  AVERAGE(
    FILTER(
      $E$2:$E124,
      $A$2:$A124 &gt;= A124 - 30,
      $A$2:$A124 &lt;= A124,
      $E$2:$E124 &gt; 0
    )
  ),
"""")"),7.31224630954971)</f>
        <v>7.3122463095497103</v>
      </c>
      <c r="I124" s="14"/>
    </row>
    <row r="125" spans="1:9" ht="15.75" customHeight="1" x14ac:dyDescent="0.25">
      <c r="A125" s="9">
        <v>46054</v>
      </c>
      <c r="B125" s="20">
        <v>0</v>
      </c>
      <c r="C125" s="20">
        <v>0</v>
      </c>
      <c r="D125" s="11">
        <f t="shared" si="0"/>
        <v>0</v>
      </c>
      <c r="E125" s="11" t="e">
        <f t="shared" si="1"/>
        <v>#DIV/0!</v>
      </c>
      <c r="F125" s="13">
        <v>4</v>
      </c>
      <c r="G125" s="14" t="e">
        <f t="shared" si="2"/>
        <v>#DIV/0!</v>
      </c>
      <c r="H125" s="14">
        <f ca="1">IFERROR(__xludf.DUMMYFUNCTION("IFERROR(
  AVERAGE(
    FILTER(
      $E$2:$E125,
      $A$2:$A125 &gt;= A125 - 30,
      $A$2:$A125 &lt;= A125,
      $E$2:$E125 &gt; 0
    )
  ),
"""")"),7.31224630954971)</f>
        <v>7.3122463095497103</v>
      </c>
      <c r="I125" s="14"/>
    </row>
    <row r="126" spans="1:9" ht="15.75" customHeight="1" x14ac:dyDescent="0.25">
      <c r="A126" s="9">
        <v>46055</v>
      </c>
      <c r="B126" s="20">
        <v>582</v>
      </c>
      <c r="C126" s="20">
        <v>69</v>
      </c>
      <c r="D126" s="11">
        <f t="shared" si="0"/>
        <v>513</v>
      </c>
      <c r="E126" s="11">
        <f t="shared" si="1"/>
        <v>11.855670103092782</v>
      </c>
      <c r="F126" s="13">
        <v>4</v>
      </c>
      <c r="G126" s="14">
        <f t="shared" si="2"/>
        <v>-7.8556701030927822</v>
      </c>
      <c r="H126" s="14">
        <f ca="1">IFERROR(__xludf.DUMMYFUNCTION("IFERROR(
  AVERAGE(
    FILTER(
      $E$2:$E126,
      $A$2:$A126 &gt;= A126 - 30,
      $A$2:$A126 &lt;= A126,
      $E$2:$E126 &gt; 0
    )
  ),
"""")"),7.61514122911925)</f>
        <v>7.6151412291192502</v>
      </c>
      <c r="I126" s="14"/>
    </row>
    <row r="127" spans="1:9" ht="15.75" customHeight="1" x14ac:dyDescent="0.25">
      <c r="A127" s="9">
        <v>46056</v>
      </c>
      <c r="B127" s="20">
        <v>420</v>
      </c>
      <c r="C127" s="20">
        <v>20</v>
      </c>
      <c r="D127" s="11">
        <f t="shared" si="0"/>
        <v>400</v>
      </c>
      <c r="E127" s="11">
        <f t="shared" si="1"/>
        <v>4.7619047619047619</v>
      </c>
      <c r="F127" s="13">
        <v>4</v>
      </c>
      <c r="G127" s="14">
        <f t="shared" si="2"/>
        <v>-0.76190476190476186</v>
      </c>
      <c r="H127" s="14">
        <f ca="1">IFERROR(__xludf.DUMMYFUNCTION("IFERROR(
  AVERAGE(
    FILTER(
      $E$2:$E127,
      $A$2:$A127 &gt;= A127 - 30,
      $A$2:$A127 &lt;= A127,
      $E$2:$E127 &gt; 0
    )
  ),
"""")"),7.43681394991834)</f>
        <v>7.4368139499183403</v>
      </c>
      <c r="I127" s="14"/>
    </row>
    <row r="128" spans="1:9" ht="15.75" customHeight="1" x14ac:dyDescent="0.25">
      <c r="A128" s="9">
        <v>46057</v>
      </c>
      <c r="B128" s="20">
        <f>842+741</f>
        <v>1583</v>
      </c>
      <c r="C128" s="20">
        <f>35+159</f>
        <v>194</v>
      </c>
      <c r="D128" s="11">
        <f t="shared" si="0"/>
        <v>1389</v>
      </c>
      <c r="E128" s="11">
        <f t="shared" si="1"/>
        <v>12.255211623499685</v>
      </c>
      <c r="F128" s="13">
        <v>4</v>
      </c>
      <c r="G128" s="14">
        <f t="shared" si="2"/>
        <v>-8.2552116234996848</v>
      </c>
      <c r="H128" s="14">
        <f ca="1">IFERROR(__xludf.DUMMYFUNCTION("IFERROR(
  AVERAGE(
    FILTER(
      $E$2:$E128,
      $A$2:$A128 &gt;= A128 - 30,
      $A$2:$A128 &lt;= A128,
      $E$2:$E128 &gt; 0
    )
  ),
"""")"),7.72024910718783)</f>
        <v>7.7202491071878301</v>
      </c>
      <c r="I128" s="14"/>
    </row>
    <row r="129" spans="1:9" ht="15.75" customHeight="1" x14ac:dyDescent="0.25">
      <c r="A129" s="9">
        <v>46058</v>
      </c>
      <c r="B129" s="20">
        <v>1666</v>
      </c>
      <c r="C129" s="20">
        <v>100</v>
      </c>
      <c r="D129" s="11">
        <f t="shared" si="0"/>
        <v>1566</v>
      </c>
      <c r="E129" s="11">
        <f t="shared" si="1"/>
        <v>6.0024009603841533</v>
      </c>
      <c r="F129" s="13">
        <v>4</v>
      </c>
      <c r="G129" s="14">
        <f t="shared" si="2"/>
        <v>-2.0024009603841533</v>
      </c>
      <c r="H129" s="14">
        <f ca="1">IFERROR(__xludf.DUMMYFUNCTION("IFERROR(
  AVERAGE(
    FILTER(
      $E$2:$E129,
      $A$2:$A129 &gt;= A129 - 30,
      $A$2:$A129 &lt;= A129,
      $E$2:$E129 &gt; 0
    )
  ),
"""")"),7.63788461058706)</f>
        <v>7.6378846105870597</v>
      </c>
      <c r="I129" s="14"/>
    </row>
    <row r="130" spans="1:9" ht="15.75" customHeight="1" x14ac:dyDescent="0.25">
      <c r="A130" s="9">
        <v>46059</v>
      </c>
      <c r="B130" s="20">
        <v>1012</v>
      </c>
      <c r="C130" s="20">
        <v>35</v>
      </c>
      <c r="D130" s="11">
        <f t="shared" si="0"/>
        <v>977</v>
      </c>
      <c r="E130" s="11">
        <f t="shared" si="1"/>
        <v>3.458498023715415</v>
      </c>
      <c r="F130" s="13">
        <v>4</v>
      </c>
      <c r="G130" s="14">
        <f t="shared" si="2"/>
        <v>0.54150197628458496</v>
      </c>
      <c r="H130" s="14">
        <f ca="1">IFERROR(__xludf.DUMMYFUNCTION("IFERROR(
  AVERAGE(
    FILTER(
      $E$2:$E130,
      $A$2:$A130 &gt;= A130 - 30,
      $A$2:$A130 &lt;= A130,
      $E$2:$E130 &gt; 0
    )
  ),
"""")"),7.40569646687196)</f>
        <v>7.4056964668719596</v>
      </c>
      <c r="I130" s="14"/>
    </row>
    <row r="131" spans="1:9" ht="15.75" customHeight="1" x14ac:dyDescent="0.25">
      <c r="A131" s="9">
        <v>46060</v>
      </c>
      <c r="B131" s="20">
        <v>1548</v>
      </c>
      <c r="C131" s="20">
        <v>80</v>
      </c>
      <c r="D131" s="11">
        <f t="shared" si="0"/>
        <v>1468</v>
      </c>
      <c r="E131" s="11">
        <f t="shared" si="1"/>
        <v>5.1679586563307494</v>
      </c>
      <c r="F131" s="13">
        <v>4</v>
      </c>
      <c r="G131" s="14">
        <f t="shared" si="2"/>
        <v>-1.1679586563307494</v>
      </c>
      <c r="H131" s="14">
        <f ca="1">IFERROR(__xludf.DUMMYFUNCTION("IFERROR(
  AVERAGE(
    FILTER(
      $E$2:$E131,
      $A$2:$A131 &gt;= A131 - 30,
      $A$2:$A131 &lt;= A131,
      $E$2:$E131 &gt; 0
    )
  ),
"""")"),7.06411654618826)</f>
        <v>7.0641165461882602</v>
      </c>
      <c r="I131" s="14"/>
    </row>
    <row r="132" spans="1:9" ht="15.75" customHeight="1" x14ac:dyDescent="0.25">
      <c r="A132" s="9">
        <v>46061</v>
      </c>
      <c r="B132" s="20">
        <v>476.5</v>
      </c>
      <c r="C132" s="20">
        <v>24</v>
      </c>
      <c r="D132" s="11">
        <f t="shared" si="0"/>
        <v>452.5</v>
      </c>
      <c r="E132" s="11">
        <f t="shared" si="1"/>
        <v>5.036726128016789</v>
      </c>
      <c r="F132" s="13">
        <v>4</v>
      </c>
      <c r="G132" s="14">
        <f t="shared" si="2"/>
        <v>-1.036726128016789</v>
      </c>
      <c r="H132" s="14">
        <f ca="1">IFERROR(__xludf.DUMMYFUNCTION("IFERROR(
  AVERAGE(
    FILTER(
      $E$2:$E132,
      $A$2:$A132 &gt;= A132 - 30,
      $A$2:$A132 &lt;= A132,
      $E$2:$E132 &gt; 0
    )
  ),
"""")"),6.95741178733713)</f>
        <v>6.9574117873371302</v>
      </c>
      <c r="I132" s="14"/>
    </row>
    <row r="133" spans="1:9" ht="15.75" customHeight="1" x14ac:dyDescent="0.25">
      <c r="A133" s="9">
        <v>46062</v>
      </c>
      <c r="B133" s="20">
        <v>2978</v>
      </c>
      <c r="C133" s="20">
        <v>95</v>
      </c>
      <c r="D133" s="11">
        <f t="shared" si="0"/>
        <v>2883</v>
      </c>
      <c r="E133" s="11">
        <f t="shared" si="1"/>
        <v>3.1900604432505038</v>
      </c>
      <c r="F133" s="13">
        <v>4</v>
      </c>
      <c r="G133" s="14">
        <f t="shared" si="2"/>
        <v>0.80993955674949625</v>
      </c>
      <c r="H133" s="14">
        <f ca="1">IFERROR(__xludf.DUMMYFUNCTION("IFERROR(
  AVERAGE(
    FILTER(
      $E$2:$E133,
      $A$2:$A133 &gt;= A133 - 30,
      $A$2:$A133 &lt;= A133,
      $E$2:$E133 &gt; 0
    )
  ),
"""")"),6.83142779249886)</f>
        <v>6.83142779249886</v>
      </c>
      <c r="I133" s="14"/>
    </row>
    <row r="134" spans="1:9" ht="15.75" customHeight="1" x14ac:dyDescent="0.25">
      <c r="A134" s="9">
        <v>46063</v>
      </c>
      <c r="B134" s="20">
        <v>1402</v>
      </c>
      <c r="C134" s="20">
        <v>80</v>
      </c>
      <c r="D134" s="11">
        <f t="shared" si="0"/>
        <v>1322</v>
      </c>
      <c r="E134" s="11">
        <f t="shared" si="1"/>
        <v>5.7061340941512126</v>
      </c>
      <c r="F134" s="13">
        <v>4</v>
      </c>
      <c r="G134" s="14">
        <f t="shared" si="2"/>
        <v>-1.7061340941512126</v>
      </c>
      <c r="H134" s="14">
        <f ca="1">IFERROR(__xludf.DUMMYFUNCTION("IFERROR(
  AVERAGE(
    FILTER(
      $E$2:$E134,
      $A$2:$A134 &gt;= A134 - 30,
      $A$2:$A134 &lt;= A134,
      $E$2:$E134 &gt; 0
    )
  ),
"""")"),6.84796066815129)</f>
        <v>6.8479606681512903</v>
      </c>
      <c r="I134" s="14"/>
    </row>
    <row r="135" spans="1:9" ht="15.75" customHeight="1" x14ac:dyDescent="0.25">
      <c r="A135" s="9">
        <v>46064</v>
      </c>
      <c r="B135" s="20">
        <v>1117</v>
      </c>
      <c r="C135" s="20">
        <v>90</v>
      </c>
      <c r="D135" s="11">
        <f t="shared" si="0"/>
        <v>1027</v>
      </c>
      <c r="E135" s="11">
        <f t="shared" si="1"/>
        <v>8.0572963294538944</v>
      </c>
      <c r="F135" s="13">
        <v>4</v>
      </c>
      <c r="G135" s="14">
        <f t="shared" si="2"/>
        <v>-4.0572963294538944</v>
      </c>
      <c r="H135" s="14">
        <f ca="1">IFERROR(__xludf.DUMMYFUNCTION("IFERROR(
  AVERAGE(
    FILTER(
      $E$2:$E135,
      $A$2:$A135 &gt;= A135 - 30,
      $A$2:$A135 &lt;= A135,
      $E$2:$E135 &gt; 0
    )
  ),
"""")"),6.90842745121642)</f>
        <v>6.9084274512164203</v>
      </c>
      <c r="I135" s="14"/>
    </row>
    <row r="136" spans="1:9" ht="15.75" customHeight="1" x14ac:dyDescent="0.25">
      <c r="A136" s="9">
        <v>46065</v>
      </c>
      <c r="B136" s="20">
        <v>0</v>
      </c>
      <c r="C136" s="20">
        <v>0</v>
      </c>
      <c r="D136" s="11">
        <f t="shared" si="0"/>
        <v>0</v>
      </c>
      <c r="E136" s="11" t="e">
        <f t="shared" si="1"/>
        <v>#DIV/0!</v>
      </c>
      <c r="F136" s="13">
        <v>4</v>
      </c>
      <c r="G136" s="14" t="e">
        <f t="shared" si="2"/>
        <v>#DIV/0!</v>
      </c>
      <c r="H136" s="14">
        <f ca="1">IFERROR(__xludf.DUMMYFUNCTION("IFERROR(
  AVERAGE(
    FILTER(
      $E$2:$E136,
      $A$2:$A136 &gt;= A136 - 30,
      $A$2:$A136 &lt;= A136,
      $E$2:$E136 &gt; 0
    )
  ),
"""")"),6.40833119021431)</f>
        <v>6.4083311902143096</v>
      </c>
      <c r="I136" s="14"/>
    </row>
    <row r="137" spans="1:9" ht="15.75" customHeight="1" x14ac:dyDescent="0.25">
      <c r="A137" s="9">
        <v>46066</v>
      </c>
      <c r="B137" s="20">
        <v>0</v>
      </c>
      <c r="C137" s="20">
        <v>0</v>
      </c>
      <c r="D137" s="11">
        <f t="shared" si="0"/>
        <v>0</v>
      </c>
      <c r="E137" s="11" t="e">
        <f t="shared" si="1"/>
        <v>#DIV/0!</v>
      </c>
      <c r="F137" s="13">
        <v>4</v>
      </c>
      <c r="G137" s="14" t="e">
        <f t="shared" si="2"/>
        <v>#DIV/0!</v>
      </c>
      <c r="H137" s="14">
        <f ca="1">IFERROR(__xludf.DUMMYFUNCTION("IFERROR(
  AVERAGE(
    FILTER(
      $E$2:$E137,
      $A$2:$A137 &gt;= A137 - 30,
      $A$2:$A137 &lt;= A137,
      $E$2:$E137 &gt; 0
    )
  ),
"""")"),6.40833119021431)</f>
        <v>6.4083311902143096</v>
      </c>
      <c r="I137" s="14"/>
    </row>
    <row r="138" spans="1:9" ht="15.75" customHeight="1" x14ac:dyDescent="0.25">
      <c r="A138" s="9">
        <v>46067</v>
      </c>
      <c r="B138" s="20">
        <v>0</v>
      </c>
      <c r="C138" s="20">
        <v>0</v>
      </c>
      <c r="D138" s="11">
        <f t="shared" si="0"/>
        <v>0</v>
      </c>
      <c r="E138" s="11" t="e">
        <f t="shared" si="1"/>
        <v>#DIV/0!</v>
      </c>
      <c r="F138" s="13">
        <v>4</v>
      </c>
      <c r="G138" s="14" t="e">
        <f t="shared" si="2"/>
        <v>#DIV/0!</v>
      </c>
      <c r="H138" s="14">
        <f ca="1">IFERROR(__xludf.DUMMYFUNCTION("IFERROR(
  AVERAGE(
    FILTER(
      $E$2:$E138,
      $A$2:$A138 &gt;= A138 - 30,
      $A$2:$A138 &lt;= A138,
      $E$2:$E138 &gt; 0
    )
  ),
"""")"),6.40833119021431)</f>
        <v>6.4083311902143096</v>
      </c>
      <c r="I138" s="14"/>
    </row>
    <row r="139" spans="1:9" ht="15.75" customHeight="1" x14ac:dyDescent="0.25">
      <c r="A139" s="9">
        <v>46068</v>
      </c>
      <c r="B139" s="20">
        <v>0</v>
      </c>
      <c r="C139" s="20">
        <v>0</v>
      </c>
      <c r="D139" s="11">
        <f t="shared" si="0"/>
        <v>0</v>
      </c>
      <c r="E139" s="11" t="e">
        <f t="shared" si="1"/>
        <v>#DIV/0!</v>
      </c>
      <c r="F139" s="13">
        <v>4</v>
      </c>
      <c r="G139" s="14" t="e">
        <f t="shared" si="2"/>
        <v>#DIV/0!</v>
      </c>
      <c r="H139" s="14">
        <f ca="1">IFERROR(__xludf.DUMMYFUNCTION("IFERROR(
  AVERAGE(
    FILTER(
      $E$2:$E139,
      $A$2:$A139 &gt;= A139 - 30,
      $A$2:$A139 &lt;= A139,
      $E$2:$E139 &gt; 0
    )
  ),
"""")"),6.47118043106615)</f>
        <v>6.4711804310661503</v>
      </c>
      <c r="I139" s="14"/>
    </row>
    <row r="140" spans="1:9" ht="15.75" customHeight="1" x14ac:dyDescent="0.25">
      <c r="A140" s="9">
        <v>46069</v>
      </c>
      <c r="B140" s="20">
        <v>0</v>
      </c>
      <c r="C140" s="20">
        <v>0</v>
      </c>
      <c r="D140" s="11">
        <f t="shared" si="0"/>
        <v>0</v>
      </c>
      <c r="E140" s="11" t="e">
        <f t="shared" si="1"/>
        <v>#DIV/0!</v>
      </c>
      <c r="F140" s="13">
        <v>4</v>
      </c>
      <c r="G140" s="14" t="e">
        <f t="shared" si="2"/>
        <v>#DIV/0!</v>
      </c>
      <c r="H140" s="14">
        <f ca="1">IFERROR(__xludf.DUMMYFUNCTION("IFERROR(
  AVERAGE(
    FILTER(
      $E$2:$E140,
      $A$2:$A140 &gt;= A140 - 30,
      $A$2:$A140 &lt;= A140,
      $E$2:$E140 &gt; 0
    )
  ),
"""")"),6.46484119945704)</f>
        <v>6.4648411994570401</v>
      </c>
      <c r="I140" s="14"/>
    </row>
    <row r="141" spans="1:9" ht="15.75" customHeight="1" x14ac:dyDescent="0.25">
      <c r="A141" s="9">
        <v>46070</v>
      </c>
      <c r="B141" s="20">
        <v>943</v>
      </c>
      <c r="C141" s="20">
        <v>66</v>
      </c>
      <c r="D141" s="11">
        <f t="shared" si="0"/>
        <v>877</v>
      </c>
      <c r="E141" s="11">
        <f t="shared" si="1"/>
        <v>6.9989395546129369</v>
      </c>
      <c r="F141" s="13">
        <v>4</v>
      </c>
      <c r="G141" s="14">
        <f t="shared" si="2"/>
        <v>-2.9989395546129369</v>
      </c>
      <c r="H141" s="14">
        <f ca="1">IFERROR(__xludf.DUMMYFUNCTION("IFERROR(
  AVERAGE(
    FILTER(
      $E$2:$E141,
      $A$2:$A141 &gt;= A141 - 30,
      $A$2:$A141 &lt;= A141,
      $E$2:$E141 &gt; 0
    )
  ),
"""")"),6.48698372877007)</f>
        <v>6.4869837287700696</v>
      </c>
      <c r="I141" s="14"/>
    </row>
    <row r="142" spans="1:9" ht="15.75" customHeight="1" x14ac:dyDescent="0.25">
      <c r="A142" s="9">
        <v>46071</v>
      </c>
      <c r="B142" s="20">
        <v>0</v>
      </c>
      <c r="C142" s="20">
        <v>0</v>
      </c>
      <c r="D142" s="11">
        <f t="shared" si="0"/>
        <v>0</v>
      </c>
      <c r="E142" s="11" t="e">
        <f t="shared" si="1"/>
        <v>#DIV/0!</v>
      </c>
      <c r="F142" s="13">
        <v>4</v>
      </c>
      <c r="G142" s="14" t="e">
        <f t="shared" si="2"/>
        <v>#DIV/0!</v>
      </c>
      <c r="H142" s="14">
        <f ca="1">IFERROR(__xludf.DUMMYFUNCTION("IFERROR(
  AVERAGE(
    FILTER(
      $E$2:$E142,
      $A$2:$A142 &gt;= A142 - 30,
      $A$2:$A142 &lt;= A142,
      $E$2:$E142 &gt; 0
    )
  ),
"""")"),6.48698372877007)</f>
        <v>6.4869837287700696</v>
      </c>
      <c r="I142" s="14"/>
    </row>
    <row r="143" spans="1:9" ht="15.75" customHeight="1" x14ac:dyDescent="0.25">
      <c r="A143" s="9">
        <v>46072</v>
      </c>
      <c r="B143" s="20">
        <v>0</v>
      </c>
      <c r="C143" s="20">
        <v>0</v>
      </c>
      <c r="D143" s="11">
        <f t="shared" si="0"/>
        <v>0</v>
      </c>
      <c r="E143" s="11" t="e">
        <f t="shared" si="1"/>
        <v>#DIV/0!</v>
      </c>
      <c r="F143" s="13">
        <v>4</v>
      </c>
      <c r="G143" s="14" t="e">
        <f t="shared" si="2"/>
        <v>#DIV/0!</v>
      </c>
      <c r="H143" s="14">
        <f ca="1">IFERROR(__xludf.DUMMYFUNCTION("IFERROR(
  AVERAGE(
    FILTER(
      $E$2:$E143,
      $A$2:$A143 &gt;= A143 - 30,
      $A$2:$A143 &lt;= A143,
      $E$2:$E143 &gt; 0
    )
  ),
"""")"),6.48698372877007)</f>
        <v>6.4869837287700696</v>
      </c>
      <c r="I143" s="14"/>
    </row>
    <row r="144" spans="1:9" ht="15.75" customHeight="1" x14ac:dyDescent="0.25">
      <c r="A144" s="9">
        <v>46073</v>
      </c>
      <c r="B144" s="20">
        <v>0</v>
      </c>
      <c r="C144" s="20">
        <v>0</v>
      </c>
      <c r="D144" s="11">
        <f t="shared" si="0"/>
        <v>0</v>
      </c>
      <c r="E144" s="11" t="e">
        <f t="shared" si="1"/>
        <v>#DIV/0!</v>
      </c>
      <c r="F144" s="13">
        <v>4</v>
      </c>
      <c r="G144" s="14" t="e">
        <f t="shared" si="2"/>
        <v>#DIV/0!</v>
      </c>
      <c r="H144" s="14">
        <f ca="1">IFERROR(__xludf.DUMMYFUNCTION("IFERROR(
  AVERAGE(
    FILTER(
      $E$2:$E144,
      $A$2:$A144 &gt;= A144 - 30,
      $A$2:$A144 &lt;= A144,
      $E$2:$E144 &gt; 0
    )
  ),
"""")"),6.20811364247513)</f>
        <v>6.20811364247513</v>
      </c>
      <c r="I144" s="14"/>
    </row>
    <row r="145" spans="1:9" ht="15.75" customHeight="1" x14ac:dyDescent="0.25">
      <c r="A145" s="9">
        <v>46074</v>
      </c>
      <c r="B145" s="20">
        <v>360</v>
      </c>
      <c r="C145" s="20">
        <v>40</v>
      </c>
      <c r="D145" s="11">
        <f t="shared" si="0"/>
        <v>320</v>
      </c>
      <c r="E145" s="11">
        <f t="shared" si="1"/>
        <v>11.111111111111111</v>
      </c>
      <c r="F145" s="13">
        <v>4</v>
      </c>
      <c r="G145" s="14">
        <f t="shared" si="2"/>
        <v>-7.1111111111111107</v>
      </c>
      <c r="H145" s="14">
        <f ca="1">IFERROR(__xludf.DUMMYFUNCTION("IFERROR(
  AVERAGE(
    FILTER(
      $E$2:$E145,
      $A$2:$A145 &gt;= A145 - 30,
      $A$2:$A145 &lt;= A145,
      $E$2:$E145 &gt; 0
    )
  ),
"""")"),6.49652525827725)</f>
        <v>6.4965252582772504</v>
      </c>
      <c r="I145" s="14"/>
    </row>
    <row r="146" spans="1:9" ht="15.75" customHeight="1" x14ac:dyDescent="0.25">
      <c r="A146" s="9">
        <v>46075</v>
      </c>
      <c r="B146" s="20">
        <v>0</v>
      </c>
      <c r="C146" s="20">
        <v>0</v>
      </c>
      <c r="D146" s="11">
        <f t="shared" si="0"/>
        <v>0</v>
      </c>
      <c r="E146" s="11" t="e">
        <f t="shared" si="1"/>
        <v>#DIV/0!</v>
      </c>
      <c r="F146" s="13">
        <v>4</v>
      </c>
      <c r="G146" s="14" t="e">
        <f t="shared" si="2"/>
        <v>#DIV/0!</v>
      </c>
      <c r="H146" s="14">
        <f ca="1">IFERROR(__xludf.DUMMYFUNCTION("IFERROR(
  AVERAGE(
    FILTER(
      $E$2:$E146,
      $A$2:$A146 &gt;= A146 - 30,
      $A$2:$A146 &lt;= A146,
      $E$2:$E146 &gt; 0
    )
  ),
"""")"),6.49652525827725)</f>
        <v>6.4965252582772504</v>
      </c>
      <c r="I146" s="14"/>
    </row>
    <row r="147" spans="1:9" ht="15.75" customHeight="1" x14ac:dyDescent="0.25">
      <c r="A147" s="9">
        <v>46076</v>
      </c>
      <c r="B147" s="20">
        <v>4410</v>
      </c>
      <c r="C147" s="20">
        <v>180</v>
      </c>
      <c r="D147" s="11">
        <f t="shared" si="0"/>
        <v>4230</v>
      </c>
      <c r="E147" s="11">
        <f t="shared" si="1"/>
        <v>4.0816326530612246</v>
      </c>
      <c r="F147" s="13">
        <v>4</v>
      </c>
      <c r="G147" s="14">
        <f t="shared" si="2"/>
        <v>-8.163265306122458E-2</v>
      </c>
      <c r="H147" s="14">
        <f ca="1">IFERROR(__xludf.DUMMYFUNCTION("IFERROR(
  AVERAGE(
    FILTER(
      $E$2:$E147,
      $A$2:$A147 &gt;= A147 - 30,
      $A$2:$A147 &lt;= A147,
      $E$2:$E147 &gt; 0
    )
  ),
"""")"),6.48657178193722)</f>
        <v>6.4865717819372204</v>
      </c>
      <c r="I147" s="14"/>
    </row>
    <row r="148" spans="1:9" ht="15.75" customHeight="1" x14ac:dyDescent="0.25">
      <c r="A148" s="9">
        <v>46077</v>
      </c>
      <c r="B148" s="20">
        <v>0</v>
      </c>
      <c r="C148" s="20">
        <v>0</v>
      </c>
      <c r="D148" s="11">
        <f t="shared" si="0"/>
        <v>0</v>
      </c>
      <c r="E148" s="11" t="e">
        <f t="shared" si="1"/>
        <v>#DIV/0!</v>
      </c>
      <c r="F148" s="13">
        <v>4</v>
      </c>
      <c r="G148" s="14" t="e">
        <f t="shared" si="2"/>
        <v>#DIV/0!</v>
      </c>
      <c r="H148" s="14">
        <f ca="1">IFERROR(__xludf.DUMMYFUNCTION("IFERROR(
  AVERAGE(
    FILTER(
      $E$2:$E148,
      $A$2:$A148 &gt;= A148 - 30,
      $A$2:$A148 &lt;= A148,
      $E$2:$E148 &gt; 0
    )
  ),
"""")"),6.46094803554967)</f>
        <v>6.46094803554967</v>
      </c>
      <c r="I148" s="14"/>
    </row>
    <row r="149" spans="1:9" ht="15.75" customHeight="1" x14ac:dyDescent="0.25">
      <c r="A149" s="9">
        <v>46078</v>
      </c>
      <c r="B149" s="20">
        <v>0</v>
      </c>
      <c r="C149" s="20">
        <v>0</v>
      </c>
      <c r="D149" s="11">
        <f t="shared" si="0"/>
        <v>0</v>
      </c>
      <c r="E149" s="11" t="e">
        <f t="shared" si="1"/>
        <v>#DIV/0!</v>
      </c>
      <c r="F149" s="13">
        <v>4</v>
      </c>
      <c r="G149" s="14" t="e">
        <f t="shared" si="2"/>
        <v>#DIV/0!</v>
      </c>
      <c r="H149" s="14">
        <f ca="1">IFERROR(__xludf.DUMMYFUNCTION("IFERROR(
  AVERAGE(
    FILTER(
      $E$2:$E149,
      $A$2:$A149 &gt;= A149 - 30,
      $A$2:$A149 &lt;= A149,
      $E$2:$E149 &gt; 0
    )
  ),
"""")"),6.46094803554967)</f>
        <v>6.46094803554967</v>
      </c>
      <c r="I149" s="14"/>
    </row>
    <row r="150" spans="1:9" ht="15.75" customHeight="1" x14ac:dyDescent="0.25">
      <c r="A150" s="9">
        <v>46079</v>
      </c>
      <c r="B150" s="20">
        <v>0</v>
      </c>
      <c r="C150" s="20">
        <v>0</v>
      </c>
      <c r="D150" s="11">
        <f t="shared" si="0"/>
        <v>0</v>
      </c>
      <c r="E150" s="11" t="e">
        <f t="shared" si="1"/>
        <v>#DIV/0!</v>
      </c>
      <c r="F150" s="13">
        <v>4</v>
      </c>
      <c r="G150" s="14" t="e">
        <f t="shared" si="2"/>
        <v>#DIV/0!</v>
      </c>
      <c r="H150" s="14">
        <f ca="1">IFERROR(__xludf.DUMMYFUNCTION("IFERROR(
  AVERAGE(
    FILTER(
      $E$2:$E150,
      $A$2:$A150 &gt;= A150 - 30,
      $A$2:$A150 &lt;= A150,
      $E$2:$E150 &gt; 0
    )
  ),
"""")"),6.46094803554967)</f>
        <v>6.46094803554967</v>
      </c>
      <c r="I150" s="14"/>
    </row>
    <row r="151" spans="1:9" ht="15.75" customHeight="1" x14ac:dyDescent="0.25">
      <c r="A151" s="9">
        <v>46080</v>
      </c>
      <c r="B151" s="20">
        <v>0</v>
      </c>
      <c r="C151" s="20">
        <v>0</v>
      </c>
      <c r="D151" s="11">
        <f t="shared" si="0"/>
        <v>0</v>
      </c>
      <c r="E151" s="11" t="e">
        <f t="shared" si="1"/>
        <v>#DIV/0!</v>
      </c>
      <c r="F151" s="13">
        <v>4</v>
      </c>
      <c r="G151" s="14" t="e">
        <f t="shared" si="2"/>
        <v>#DIV/0!</v>
      </c>
      <c r="H151" s="14">
        <f ca="1">IFERROR(__xludf.DUMMYFUNCTION("IFERROR(
  AVERAGE(
    FILTER(
      $E$2:$E151,
      $A$2:$A151 &gt;= A151 - 30,
      $A$2:$A151 &lt;= A151,
      $E$2:$E151 &gt; 0
    )
  ),
"""")"),6.46094803554967)</f>
        <v>6.46094803554967</v>
      </c>
      <c r="I151" s="14"/>
    </row>
    <row r="152" spans="1:9" ht="15.75" customHeight="1" x14ac:dyDescent="0.25">
      <c r="A152" s="9">
        <v>46081</v>
      </c>
      <c r="B152" s="20">
        <v>0</v>
      </c>
      <c r="C152" s="20">
        <v>0</v>
      </c>
      <c r="D152" s="11">
        <f t="shared" si="0"/>
        <v>0</v>
      </c>
      <c r="E152" s="11" t="e">
        <f t="shared" si="1"/>
        <v>#DIV/0!</v>
      </c>
      <c r="F152" s="13">
        <v>4</v>
      </c>
      <c r="G152" s="14" t="e">
        <f t="shared" si="2"/>
        <v>#DIV/0!</v>
      </c>
      <c r="H152" s="14">
        <f ca="1">IFERROR(__xludf.DUMMYFUNCTION("IFERROR(
  AVERAGE(
    FILTER(
      $E$2:$E152,
      $A$2:$A152 &gt;= A152 - 30,
      $A$2:$A152 &lt;= A152,
      $E$2:$E152 &gt; 0
    )
  ),
"""")"),6.64609645212552)</f>
        <v>6.6460964521255201</v>
      </c>
      <c r="I152" s="14"/>
    </row>
    <row r="153" spans="1:9" ht="15.75" customHeight="1" x14ac:dyDescent="0.25">
      <c r="A153" s="9">
        <v>46082</v>
      </c>
      <c r="B153" s="20">
        <v>0</v>
      </c>
      <c r="C153" s="20">
        <v>0</v>
      </c>
      <c r="D153" s="11">
        <f t="shared" si="0"/>
        <v>0</v>
      </c>
      <c r="E153" s="11" t="e">
        <f t="shared" si="1"/>
        <v>#DIV/0!</v>
      </c>
      <c r="F153" s="13">
        <v>4</v>
      </c>
      <c r="G153" s="14" t="e">
        <f t="shared" si="2"/>
        <v>#DIV/0!</v>
      </c>
      <c r="H153" s="14">
        <f ca="1">IFERROR(__xludf.DUMMYFUNCTION("IFERROR(
  AVERAGE(
    FILTER(
      $E$2:$E153,
      $A$2:$A153 &gt;= A153 - 30,
      $A$2:$A153 &lt;= A153,
      $E$2:$E153 &gt; 0
    )
  ),
"""")"),6.64609645212552)</f>
        <v>6.6460964521255201</v>
      </c>
      <c r="I153" s="14"/>
    </row>
    <row r="154" spans="1:9" ht="15.75" customHeight="1" x14ac:dyDescent="0.25">
      <c r="A154" s="9">
        <v>46083</v>
      </c>
      <c r="B154" s="20">
        <v>0</v>
      </c>
      <c r="C154" s="20">
        <v>0</v>
      </c>
      <c r="D154" s="11">
        <f t="shared" si="0"/>
        <v>0</v>
      </c>
      <c r="E154" s="11" t="e">
        <f t="shared" si="1"/>
        <v>#DIV/0!</v>
      </c>
      <c r="F154" s="13">
        <v>4</v>
      </c>
      <c r="G154" s="14" t="e">
        <f t="shared" si="2"/>
        <v>#DIV/0!</v>
      </c>
      <c r="H154" s="14">
        <f ca="1">IFERROR(__xludf.DUMMYFUNCTION("IFERROR(
  AVERAGE(
    FILTER(
      $E$2:$E154,
      $A$2:$A154 &gt;= A154 - 30,
      $A$2:$A154 &lt;= A154,
      $E$2:$E154 &gt; 0
    )
  ),
"""")"),6.63428540333149)</f>
        <v>6.6342854033314902</v>
      </c>
      <c r="I154" s="14"/>
    </row>
    <row r="155" spans="1:9" ht="15.75" customHeight="1" x14ac:dyDescent="0.25">
      <c r="A155" s="9">
        <v>46084</v>
      </c>
      <c r="B155" s="20">
        <v>0</v>
      </c>
      <c r="C155" s="20">
        <v>0</v>
      </c>
      <c r="D155" s="11">
        <f t="shared" si="0"/>
        <v>0</v>
      </c>
      <c r="E155" s="11" t="e">
        <f t="shared" si="1"/>
        <v>#DIV/0!</v>
      </c>
      <c r="F155" s="13">
        <v>4</v>
      </c>
      <c r="G155" s="14" t="e">
        <f t="shared" si="2"/>
        <v>#DIV/0!</v>
      </c>
      <c r="H155" s="14">
        <f ca="1">IFERROR(__xludf.DUMMYFUNCTION("IFERROR(
  AVERAGE(
    FILTER(
      $E$2:$E155,
      $A$2:$A155 &gt;= A155 - 30,
      $A$2:$A155 &lt;= A155,
      $E$2:$E155 &gt; 0
    )
  ),
"""")"),6.74488803404501)</f>
        <v>6.7448880340450099</v>
      </c>
      <c r="I155" s="14"/>
    </row>
    <row r="156" spans="1:9" ht="15.75" customHeight="1" x14ac:dyDescent="0.25">
      <c r="A156" s="9">
        <v>46085</v>
      </c>
      <c r="B156" s="20">
        <v>0</v>
      </c>
      <c r="C156" s="20">
        <v>0</v>
      </c>
      <c r="D156" s="11">
        <f t="shared" si="0"/>
        <v>0</v>
      </c>
      <c r="E156" s="11" t="e">
        <f t="shared" si="1"/>
        <v>#DIV/0!</v>
      </c>
      <c r="F156" s="13">
        <v>4</v>
      </c>
      <c r="G156" s="14" t="e">
        <f t="shared" si="2"/>
        <v>#DIV/0!</v>
      </c>
      <c r="H156" s="14">
        <f ca="1">IFERROR(__xludf.DUMMYFUNCTION("IFERROR(
  AVERAGE(
    FILTER(
      $E$2:$E156,
      $A$2:$A156 &gt;= A156 - 30,
      $A$2:$A156 &lt;= A156,
      $E$2:$E156 &gt; 0
    )
  ),
"""")"),6.74488803404501)</f>
        <v>6.7448880340450099</v>
      </c>
      <c r="I156" s="14"/>
    </row>
    <row r="157" spans="1:9" ht="15.75" customHeight="1" x14ac:dyDescent="0.25">
      <c r="A157" s="9">
        <v>46086</v>
      </c>
      <c r="B157" s="20">
        <v>0</v>
      </c>
      <c r="C157" s="20">
        <v>0</v>
      </c>
      <c r="D157" s="11">
        <f t="shared" si="0"/>
        <v>0</v>
      </c>
      <c r="E157" s="11" t="e">
        <f t="shared" si="1"/>
        <v>#DIV/0!</v>
      </c>
      <c r="F157" s="13">
        <v>4</v>
      </c>
      <c r="G157" s="14" t="e">
        <f t="shared" si="2"/>
        <v>#DIV/0!</v>
      </c>
      <c r="H157" s="14">
        <f ca="1">IFERROR(__xludf.DUMMYFUNCTION("IFERROR(
  AVERAGE(
    FILTER(
      $E$2:$E157,
      $A$2:$A157 &gt;= A157 - 30,
      $A$2:$A157 &lt;= A157,
      $E$2:$E157 &gt; 0
    )
  ),
"""")"),6.31898952829103)</f>
        <v>6.3189895282910298</v>
      </c>
      <c r="I157" s="14"/>
    </row>
    <row r="158" spans="1:9" ht="15.75" customHeight="1" x14ac:dyDescent="0.25">
      <c r="A158" s="9">
        <v>46087</v>
      </c>
      <c r="B158" s="20">
        <v>0</v>
      </c>
      <c r="C158" s="20">
        <v>0</v>
      </c>
      <c r="D158" s="11">
        <f t="shared" si="0"/>
        <v>0</v>
      </c>
      <c r="E158" s="11" t="e">
        <f t="shared" si="1"/>
        <v>#DIV/0!</v>
      </c>
      <c r="F158" s="13">
        <v>4</v>
      </c>
      <c r="G158" s="14" t="e">
        <f t="shared" si="2"/>
        <v>#DIV/0!</v>
      </c>
      <c r="H158" s="14">
        <f ca="1">IFERROR(__xludf.DUMMYFUNCTION("IFERROR(
  AVERAGE(
    FILTER(
      $E$2:$E158,
      $A$2:$A158 &gt;= A158 - 30,
      $A$2:$A158 &lt;= A158,
      $E$2:$E158 &gt; 0
    )
  ),
"""")"),6.4605426888716)</f>
        <v>6.4605426888716</v>
      </c>
      <c r="I158" s="14"/>
    </row>
    <row r="159" spans="1:9" ht="15.75" customHeight="1" x14ac:dyDescent="0.25">
      <c r="A159" s="9">
        <v>46088</v>
      </c>
      <c r="B159" s="20">
        <v>0</v>
      </c>
      <c r="C159" s="20">
        <v>0</v>
      </c>
      <c r="D159" s="11">
        <f t="shared" si="0"/>
        <v>0</v>
      </c>
      <c r="E159" s="11" t="e">
        <f t="shared" si="1"/>
        <v>#DIV/0!</v>
      </c>
      <c r="F159" s="13">
        <v>4</v>
      </c>
      <c r="G159" s="14" t="e">
        <f t="shared" si="2"/>
        <v>#DIV/0!</v>
      </c>
      <c r="H159" s="14">
        <f ca="1">IFERROR(__xludf.DUMMYFUNCTION("IFERROR(
  AVERAGE(
    FILTER(
      $E$2:$E159,
      $A$2:$A159 &gt;= A159 - 30,
      $A$2:$A159 &lt;= A159,
      $E$2:$E159 &gt; 0
    )
  ),
"""")"),5.88107579540879)</f>
        <v>5.8810757954087904</v>
      </c>
      <c r="I159" s="14"/>
    </row>
    <row r="160" spans="1:9" ht="15.75" customHeight="1" x14ac:dyDescent="0.25">
      <c r="A160" s="9">
        <v>46089</v>
      </c>
      <c r="B160" s="20">
        <v>0</v>
      </c>
      <c r="C160" s="20">
        <v>0</v>
      </c>
      <c r="D160" s="11">
        <f t="shared" si="0"/>
        <v>0</v>
      </c>
      <c r="E160" s="11" t="e">
        <f t="shared" si="1"/>
        <v>#DIV/0!</v>
      </c>
      <c r="F160" s="13">
        <v>4</v>
      </c>
      <c r="G160" s="14" t="e">
        <f t="shared" si="2"/>
        <v>#DIV/0!</v>
      </c>
      <c r="H160" s="14">
        <f ca="1">IFERROR(__xludf.DUMMYFUNCTION("IFERROR(
  AVERAGE(
    FILTER(
      $E$2:$E160,
      $A$2:$A160 &gt;= A160 - 30,
      $A$2:$A160 &lt;= A160,
      $E$2:$E160 &gt; 0
    )
  ),
"""")"),5.86759522152265)</f>
        <v>5.8675952215226497</v>
      </c>
      <c r="I160" s="14"/>
    </row>
    <row r="161" spans="1:9" ht="15.75" customHeight="1" x14ac:dyDescent="0.25">
      <c r="A161" s="9">
        <v>46090</v>
      </c>
      <c r="B161" s="20">
        <v>0</v>
      </c>
      <c r="C161" s="20">
        <v>0</v>
      </c>
      <c r="D161" s="11">
        <f t="shared" si="0"/>
        <v>0</v>
      </c>
      <c r="E161" s="11" t="e">
        <f t="shared" si="1"/>
        <v>#DIV/0!</v>
      </c>
      <c r="F161" s="13">
        <v>4</v>
      </c>
      <c r="G161" s="14" t="e">
        <f t="shared" si="2"/>
        <v>#DIV/0!</v>
      </c>
      <c r="H161" s="14">
        <f ca="1">IFERROR(__xludf.DUMMYFUNCTION("IFERROR(
  AVERAGE(
    FILTER(
      $E$2:$E161,
      $A$2:$A161 &gt;= A161 - 30,
      $A$2:$A161 &lt;= A161,
      $E$2:$E161 &gt; 0
    )
  ),
"""")"),6.16873237124855)</f>
        <v>6.1687323712485496</v>
      </c>
      <c r="I161" s="14"/>
    </row>
    <row r="162" spans="1:9" ht="15.75" customHeight="1" x14ac:dyDescent="0.25">
      <c r="A162" s="9">
        <v>46091</v>
      </c>
      <c r="B162" s="20">
        <v>0</v>
      </c>
      <c r="C162" s="20">
        <v>0</v>
      </c>
      <c r="D162" s="11">
        <f t="shared" si="0"/>
        <v>0</v>
      </c>
      <c r="E162" s="11" t="e">
        <f t="shared" si="1"/>
        <v>#DIV/0!</v>
      </c>
      <c r="F162" s="13">
        <v>4</v>
      </c>
      <c r="G162" s="14" t="e">
        <f t="shared" si="2"/>
        <v>#DIV/0!</v>
      </c>
      <c r="H162" s="14">
        <f ca="1">IFERROR(__xludf.DUMMYFUNCTION("IFERROR(
  AVERAGE(
    FILTER(
      $E$2:$E162,
      $A$2:$A162 &gt;= A162 - 30,
      $A$2:$A162 &lt;= A162,
      $E$2:$E162 &gt; 0
    )
  ),
"""")"),6.31170004480823)</f>
        <v>6.3117000448082301</v>
      </c>
      <c r="I162" s="14"/>
    </row>
    <row r="163" spans="1:9" ht="15.75" customHeight="1" x14ac:dyDescent="0.25">
      <c r="A163" s="9">
        <v>46092</v>
      </c>
      <c r="B163" s="20">
        <v>0</v>
      </c>
      <c r="C163" s="20">
        <v>0</v>
      </c>
      <c r="D163" s="11">
        <f t="shared" si="0"/>
        <v>0</v>
      </c>
      <c r="E163" s="11" t="e">
        <f t="shared" si="1"/>
        <v>#DIV/0!</v>
      </c>
      <c r="F163" s="13">
        <v>4</v>
      </c>
      <c r="G163" s="14" t="e">
        <f t="shared" si="2"/>
        <v>#DIV/0!</v>
      </c>
      <c r="H163" s="14">
        <f ca="1">IFERROR(__xludf.DUMMYFUNCTION("IFERROR(
  AVERAGE(
    FILTER(
      $E$2:$E163,
      $A$2:$A163 &gt;= A163 - 30,
      $A$2:$A163 &lt;= A163,
      $E$2:$E163 &gt; 0
    )
  ),
"""")"),6.52419569760681)</f>
        <v>6.5241956976068103</v>
      </c>
      <c r="I163" s="14"/>
    </row>
    <row r="164" spans="1:9" ht="15.75" customHeight="1" x14ac:dyDescent="0.25">
      <c r="A164" s="9">
        <v>46093</v>
      </c>
      <c r="B164" s="20">
        <v>0</v>
      </c>
      <c r="C164" s="20">
        <v>0</v>
      </c>
      <c r="D164" s="11">
        <f t="shared" si="0"/>
        <v>0</v>
      </c>
      <c r="E164" s="11" t="e">
        <f t="shared" si="1"/>
        <v>#DIV/0!</v>
      </c>
      <c r="F164" s="13">
        <v>4</v>
      </c>
      <c r="G164" s="14" t="e">
        <f t="shared" si="2"/>
        <v>#DIV/0!</v>
      </c>
      <c r="H164" s="14">
        <f ca="1">IFERROR(__xludf.DUMMYFUNCTION("IFERROR(
  AVERAGE(
    FILTER(
      $E$2:$E164,
      $A$2:$A164 &gt;= A164 - 30,
      $A$2:$A164 &lt;= A164,
      $E$2:$E164 &gt; 0
    )
  ),
"""")"),7.19102274847807)</f>
        <v>7.19102274847807</v>
      </c>
      <c r="I164" s="14"/>
    </row>
    <row r="165" spans="1:9" ht="15.75" customHeight="1" x14ac:dyDescent="0.25">
      <c r="A165" s="9">
        <v>46094</v>
      </c>
      <c r="B165" s="20">
        <v>0</v>
      </c>
      <c r="C165" s="20">
        <v>0</v>
      </c>
      <c r="D165" s="11">
        <f t="shared" si="0"/>
        <v>0</v>
      </c>
      <c r="E165" s="11" t="e">
        <f t="shared" si="1"/>
        <v>#DIV/0!</v>
      </c>
      <c r="F165" s="13">
        <v>4</v>
      </c>
      <c r="G165" s="14" t="e">
        <f t="shared" si="2"/>
        <v>#DIV/0!</v>
      </c>
      <c r="H165" s="14">
        <f ca="1">IFERROR(__xludf.DUMMYFUNCTION("IFERROR(
  AVERAGE(
    FILTER(
      $E$2:$E165,
      $A$2:$A165 &gt;= A165 - 30,
      $A$2:$A165 &lt;= A165,
      $E$2:$E165 &gt; 0
    )
  ),
"""")"),7.56224491205979)</f>
        <v>7.5622449120597901</v>
      </c>
      <c r="I165" s="14"/>
    </row>
    <row r="166" spans="1:9" ht="15.75" customHeight="1" x14ac:dyDescent="0.25">
      <c r="A166" s="9">
        <v>46095</v>
      </c>
      <c r="B166" s="20">
        <v>0</v>
      </c>
      <c r="C166" s="20">
        <v>0</v>
      </c>
      <c r="D166" s="11">
        <f t="shared" si="0"/>
        <v>0</v>
      </c>
      <c r="E166" s="11" t="e">
        <f t="shared" si="1"/>
        <v>#DIV/0!</v>
      </c>
      <c r="F166" s="13">
        <v>4</v>
      </c>
      <c r="G166" s="14" t="e">
        <f t="shared" si="2"/>
        <v>#DIV/0!</v>
      </c>
      <c r="H166" s="14">
        <f ca="1">IFERROR(__xludf.DUMMYFUNCTION("IFERROR(
  AVERAGE(
    FILTER(
      $E$2:$E166,
      $A$2:$A166 &gt;= A166 - 30,
      $A$2:$A166 &lt;= A166,
      $E$2:$E166 &gt; 0
    )
  ),
"""")"),7.39722777292842)</f>
        <v>7.3972277729284199</v>
      </c>
      <c r="I166" s="14"/>
    </row>
    <row r="167" spans="1:9" ht="15.75" customHeight="1" x14ac:dyDescent="0.25">
      <c r="A167" s="9">
        <v>46096</v>
      </c>
      <c r="B167" s="20">
        <v>0</v>
      </c>
      <c r="C167" s="20">
        <v>0</v>
      </c>
      <c r="D167" s="11">
        <f t="shared" si="0"/>
        <v>0</v>
      </c>
      <c r="E167" s="11" t="e">
        <f t="shared" si="1"/>
        <v>#DIV/0!</v>
      </c>
      <c r="F167" s="13">
        <v>4</v>
      </c>
      <c r="G167" s="14" t="e">
        <f t="shared" si="2"/>
        <v>#DIV/0!</v>
      </c>
      <c r="H167" s="14">
        <f ca="1">IFERROR(__xludf.DUMMYFUNCTION("IFERROR(
  AVERAGE(
    FILTER(
      $E$2:$E167,
      $A$2:$A167 &gt;= A167 - 30,
      $A$2:$A167 &lt;= A167,
      $E$2:$E167 &gt; 0
    )
  ),
"""")"),7.39722777292842)</f>
        <v>7.3972277729284199</v>
      </c>
      <c r="I167" s="14"/>
    </row>
    <row r="168" spans="1:9" ht="15.75" customHeight="1" x14ac:dyDescent="0.25">
      <c r="A168" s="9">
        <v>46097</v>
      </c>
      <c r="B168" s="20">
        <v>0</v>
      </c>
      <c r="C168" s="20">
        <v>0</v>
      </c>
      <c r="D168" s="11">
        <f t="shared" si="0"/>
        <v>0</v>
      </c>
      <c r="E168" s="11" t="e">
        <f t="shared" si="1"/>
        <v>#DIV/0!</v>
      </c>
      <c r="F168" s="13">
        <v>4</v>
      </c>
      <c r="G168" s="14" t="e">
        <f t="shared" si="2"/>
        <v>#DIV/0!</v>
      </c>
      <c r="H168" s="14">
        <f ca="1">IFERROR(__xludf.DUMMYFUNCTION("IFERROR(
  AVERAGE(
    FILTER(
      $E$2:$E168,
      $A$2:$A168 &gt;= A168 - 30,
      $A$2:$A168 &lt;= A168,
      $E$2:$E168 &gt; 0
    )
  ),
"""")"),7.39722777292842)</f>
        <v>7.3972277729284199</v>
      </c>
      <c r="I168" s="14"/>
    </row>
    <row r="169" spans="1:9" ht="15.75" customHeight="1" x14ac:dyDescent="0.25">
      <c r="A169" s="9">
        <v>46098</v>
      </c>
      <c r="B169" s="20">
        <v>0</v>
      </c>
      <c r="C169" s="20">
        <v>0</v>
      </c>
      <c r="D169" s="11">
        <f t="shared" si="0"/>
        <v>0</v>
      </c>
      <c r="E169" s="11" t="e">
        <f t="shared" si="1"/>
        <v>#DIV/0!</v>
      </c>
      <c r="F169" s="13">
        <v>4</v>
      </c>
      <c r="G169" s="14" t="e">
        <f t="shared" si="2"/>
        <v>#DIV/0!</v>
      </c>
      <c r="H169" s="14">
        <f ca="1">IFERROR(__xludf.DUMMYFUNCTION("IFERROR(
  AVERAGE(
    FILTER(
      $E$2:$E169,
      $A$2:$A169 &gt;= A169 - 30,
      $A$2:$A169 &lt;= A169,
      $E$2:$E169 &gt; 0
    )
  ),
"""")"),7.39722777292842)</f>
        <v>7.3972277729284199</v>
      </c>
      <c r="I169" s="14"/>
    </row>
    <row r="170" spans="1:9" ht="15.75" customHeight="1" x14ac:dyDescent="0.25">
      <c r="A170" s="9">
        <v>46099</v>
      </c>
      <c r="B170" s="20">
        <v>0</v>
      </c>
      <c r="C170" s="20">
        <v>0</v>
      </c>
      <c r="D170" s="11">
        <f t="shared" si="0"/>
        <v>0</v>
      </c>
      <c r="E170" s="11" t="e">
        <f t="shared" si="1"/>
        <v>#DIV/0!</v>
      </c>
      <c r="F170" s="13">
        <v>4</v>
      </c>
      <c r="G170" s="14" t="e">
        <f t="shared" si="2"/>
        <v>#DIV/0!</v>
      </c>
      <c r="H170" s="14">
        <f ca="1">IFERROR(__xludf.DUMMYFUNCTION("IFERROR(
  AVERAGE(
    FILTER(
      $E$2:$E170,
      $A$2:$A170 &gt;= A170 - 30,
      $A$2:$A170 &lt;= A170,
      $E$2:$E170 &gt; 0
    )
  ),
"""")"),7.39722777292842)</f>
        <v>7.3972277729284199</v>
      </c>
      <c r="I170" s="14"/>
    </row>
    <row r="171" spans="1:9" ht="15.75" customHeight="1" x14ac:dyDescent="0.25">
      <c r="A171" s="9">
        <v>46100</v>
      </c>
      <c r="B171" s="20">
        <v>0</v>
      </c>
      <c r="C171" s="20">
        <v>0</v>
      </c>
      <c r="D171" s="11">
        <f t="shared" si="0"/>
        <v>0</v>
      </c>
      <c r="E171" s="11" t="e">
        <f t="shared" si="1"/>
        <v>#DIV/0!</v>
      </c>
      <c r="F171" s="13">
        <v>4</v>
      </c>
      <c r="G171" s="14" t="e">
        <f t="shared" si="2"/>
        <v>#DIV/0!</v>
      </c>
      <c r="H171" s="14">
        <f ca="1">IFERROR(__xludf.DUMMYFUNCTION("IFERROR(
  AVERAGE(
    FILTER(
      $E$2:$E171,
      $A$2:$A171 &gt;= A171 - 30,
      $A$2:$A171 &lt;= A171,
      $E$2:$E171 &gt; 0
    )
  ),
"""")"),7.39722777292842)</f>
        <v>7.3972277729284199</v>
      </c>
      <c r="I171" s="14"/>
    </row>
    <row r="172" spans="1:9" ht="15.75" customHeight="1" x14ac:dyDescent="0.25">
      <c r="A172" s="9">
        <v>46101</v>
      </c>
      <c r="B172" s="20">
        <v>0</v>
      </c>
      <c r="C172" s="20">
        <v>0</v>
      </c>
      <c r="D172" s="11">
        <f t="shared" si="0"/>
        <v>0</v>
      </c>
      <c r="E172" s="11" t="e">
        <f t="shared" si="1"/>
        <v>#DIV/0!</v>
      </c>
      <c r="F172" s="13">
        <v>4</v>
      </c>
      <c r="G172" s="14" t="e">
        <f t="shared" si="2"/>
        <v>#DIV/0!</v>
      </c>
      <c r="H172" s="14">
        <f ca="1">IFERROR(__xludf.DUMMYFUNCTION("IFERROR(
  AVERAGE(
    FILTER(
      $E$2:$E172,
      $A$2:$A172 &gt;= A172 - 30,
      $A$2:$A172 &lt;= A172,
      $E$2:$E172 &gt; 0
    )
  ),
"""")"),7.59637188208616)</f>
        <v>7.5963718820861601</v>
      </c>
      <c r="I172" s="14"/>
    </row>
    <row r="173" spans="1:9" ht="15.75" customHeight="1" x14ac:dyDescent="0.25">
      <c r="A173" s="9">
        <v>46102</v>
      </c>
      <c r="B173" s="20">
        <v>0</v>
      </c>
      <c r="C173" s="20">
        <v>0</v>
      </c>
      <c r="D173" s="11">
        <f t="shared" si="0"/>
        <v>0</v>
      </c>
      <c r="E173" s="11" t="e">
        <f t="shared" si="1"/>
        <v>#DIV/0!</v>
      </c>
      <c r="F173" s="13">
        <v>4</v>
      </c>
      <c r="G173" s="14" t="e">
        <f t="shared" si="2"/>
        <v>#DIV/0!</v>
      </c>
      <c r="H173" s="14">
        <f ca="1">IFERROR(__xludf.DUMMYFUNCTION("IFERROR(
  AVERAGE(
    FILTER(
      $E$2:$E173,
      $A$2:$A173 &gt;= A173 - 30,
      $A$2:$A173 &lt;= A173,
      $E$2:$E173 &gt; 0
    )
  ),
"""")"),7.59637188208616)</f>
        <v>7.5963718820861601</v>
      </c>
      <c r="I173" s="14"/>
    </row>
    <row r="174" spans="1:9" ht="15.75" customHeight="1" x14ac:dyDescent="0.25">
      <c r="A174" s="9">
        <v>46103</v>
      </c>
      <c r="B174" s="20">
        <v>0</v>
      </c>
      <c r="C174" s="20">
        <v>0</v>
      </c>
      <c r="D174" s="11">
        <f t="shared" si="0"/>
        <v>0</v>
      </c>
      <c r="E174" s="11" t="e">
        <f t="shared" si="1"/>
        <v>#DIV/0!</v>
      </c>
      <c r="F174" s="13">
        <v>4</v>
      </c>
      <c r="G174" s="14" t="e">
        <f t="shared" si="2"/>
        <v>#DIV/0!</v>
      </c>
      <c r="H174" s="14">
        <f ca="1">IFERROR(__xludf.DUMMYFUNCTION("IFERROR(
  AVERAGE(
    FILTER(
      $E$2:$E174,
      $A$2:$A174 &gt;= A174 - 30,
      $A$2:$A174 &lt;= A174,
      $E$2:$E174 &gt; 0
    )
  ),
"""")"),7.59637188208616)</f>
        <v>7.5963718820861601</v>
      </c>
      <c r="I174" s="14"/>
    </row>
    <row r="175" spans="1:9" ht="15.75" customHeight="1" x14ac:dyDescent="0.25">
      <c r="A175" s="9">
        <v>46104</v>
      </c>
      <c r="B175" s="20">
        <v>0</v>
      </c>
      <c r="C175" s="20">
        <v>0</v>
      </c>
      <c r="D175" s="11">
        <f t="shared" si="0"/>
        <v>0</v>
      </c>
      <c r="E175" s="11" t="e">
        <f t="shared" si="1"/>
        <v>#DIV/0!</v>
      </c>
      <c r="F175" s="13">
        <v>4</v>
      </c>
      <c r="G175" s="14" t="e">
        <f t="shared" si="2"/>
        <v>#DIV/0!</v>
      </c>
      <c r="H175" s="14">
        <f ca="1">IFERROR(__xludf.DUMMYFUNCTION("IFERROR(
  AVERAGE(
    FILTER(
      $E$2:$E175,
      $A$2:$A175 &gt;= A175 - 30,
      $A$2:$A175 &lt;= A175,
      $E$2:$E175 &gt; 0
    )
  ),
"""")"),7.59637188208616)</f>
        <v>7.5963718820861601</v>
      </c>
      <c r="I175" s="14"/>
    </row>
    <row r="176" spans="1:9" ht="15.75" customHeight="1" x14ac:dyDescent="0.25">
      <c r="A176" s="9">
        <v>46105</v>
      </c>
      <c r="B176" s="20">
        <v>0</v>
      </c>
      <c r="C176" s="20">
        <v>0</v>
      </c>
      <c r="D176" s="11">
        <f t="shared" si="0"/>
        <v>0</v>
      </c>
      <c r="E176" s="11" t="e">
        <f t="shared" si="1"/>
        <v>#DIV/0!</v>
      </c>
      <c r="F176" s="13">
        <v>4</v>
      </c>
      <c r="G176" s="14" t="e">
        <f t="shared" si="2"/>
        <v>#DIV/0!</v>
      </c>
      <c r="H176" s="14">
        <f ca="1">IFERROR(__xludf.DUMMYFUNCTION("IFERROR(
  AVERAGE(
    FILTER(
      $E$2:$E176,
      $A$2:$A176 &gt;= A176 - 30,
      $A$2:$A176 &lt;= A176,
      $E$2:$E176 &gt; 0
    )
  ),
"""")"),4.08163265306122)</f>
        <v>4.0816326530612201</v>
      </c>
      <c r="I176" s="14"/>
    </row>
    <row r="177" spans="1:9" ht="15.75" customHeight="1" x14ac:dyDescent="0.25">
      <c r="A177" s="9">
        <v>46106</v>
      </c>
      <c r="B177" s="20">
        <v>255</v>
      </c>
      <c r="C177" s="20">
        <v>10</v>
      </c>
      <c r="D177" s="11">
        <f t="shared" si="0"/>
        <v>245</v>
      </c>
      <c r="E177" s="11">
        <f t="shared" si="1"/>
        <v>3.9215686274509802</v>
      </c>
      <c r="F177" s="13">
        <v>4</v>
      </c>
      <c r="G177" s="14">
        <f t="shared" si="2"/>
        <v>7.8431372549019773E-2</v>
      </c>
      <c r="H177" s="14">
        <f ca="1">IFERROR(__xludf.DUMMYFUNCTION("IFERROR(
  AVERAGE(
    FILTER(
      $E$2:$E177,
      $A$2:$A177 &gt;= A177 - 30,
      $A$2:$A177 &lt;= A177,
      $E$2:$E177 &gt; 0
    )
  ),
"""")"),4.0016006402561)</f>
        <v>4.0016006402561004</v>
      </c>
      <c r="I177" s="14"/>
    </row>
    <row r="178" spans="1:9" ht="15.75" customHeight="1" x14ac:dyDescent="0.25">
      <c r="A178" s="9">
        <v>46107</v>
      </c>
      <c r="B178" s="20">
        <v>0</v>
      </c>
      <c r="C178" s="20">
        <v>0</v>
      </c>
      <c r="D178" s="11">
        <f t="shared" si="0"/>
        <v>0</v>
      </c>
      <c r="E178" s="11" t="e">
        <f t="shared" si="1"/>
        <v>#DIV/0!</v>
      </c>
      <c r="F178" s="13">
        <v>4</v>
      </c>
      <c r="G178" s="14" t="e">
        <f t="shared" si="2"/>
        <v>#DIV/0!</v>
      </c>
      <c r="H178" s="14">
        <f ca="1">IFERROR(__xludf.DUMMYFUNCTION("IFERROR(
  AVERAGE(
    FILTER(
      $E$2:$E178,
      $A$2:$A178 &gt;= A178 - 30,
      $A$2:$A178 &lt;= A178,
      $E$2:$E178 &gt; 0
    )
  ),
"""")"),3.92156862745098)</f>
        <v>3.9215686274509798</v>
      </c>
      <c r="I178" s="14"/>
    </row>
    <row r="179" spans="1:9" ht="15.75" customHeight="1" x14ac:dyDescent="0.25">
      <c r="A179" s="9">
        <v>46108</v>
      </c>
      <c r="B179" s="20">
        <v>262</v>
      </c>
      <c r="C179" s="20">
        <v>12</v>
      </c>
      <c r="D179" s="11">
        <f t="shared" si="0"/>
        <v>250</v>
      </c>
      <c r="E179" s="11">
        <f t="shared" si="1"/>
        <v>4.5801526717557248</v>
      </c>
      <c r="F179" s="13">
        <v>4</v>
      </c>
      <c r="G179" s="14">
        <f t="shared" si="2"/>
        <v>-0.58015267175572482</v>
      </c>
      <c r="H179" s="14">
        <f ca="1">IFERROR(__xludf.DUMMYFUNCTION("IFERROR(
  AVERAGE(
    FILTER(
      $E$2:$E179,
      $A$2:$A179 &gt;= A179 - 30,
      $A$2:$A179 &lt;= A179,
      $E$2:$E179 &gt; 0
    )
  ),
"""")"),4.25086064960335)</f>
        <v>4.2508606496033501</v>
      </c>
      <c r="I179" s="14"/>
    </row>
    <row r="180" spans="1:9" ht="15.75" customHeight="1" x14ac:dyDescent="0.25">
      <c r="A180" s="9">
        <v>46109</v>
      </c>
      <c r="B180" s="20">
        <v>235</v>
      </c>
      <c r="C180" s="20">
        <v>8</v>
      </c>
      <c r="D180" s="11">
        <f t="shared" si="0"/>
        <v>227</v>
      </c>
      <c r="E180" s="11">
        <f t="shared" si="1"/>
        <v>3.4042553191489362</v>
      </c>
      <c r="F180" s="13">
        <v>4</v>
      </c>
      <c r="G180" s="14">
        <f t="shared" si="2"/>
        <v>0.5957446808510638</v>
      </c>
      <c r="H180" s="14">
        <f ca="1">IFERROR(__xludf.DUMMYFUNCTION("IFERROR(
  AVERAGE(
    FILTER(
      $E$2:$E180,
      $A$2:$A180 &gt;= A180 - 30,
      $A$2:$A180 &lt;= A180,
      $E$2:$E180 &gt; 0
    )
  ),
"""")"),3.96865887278521)</f>
        <v>3.9686588727852099</v>
      </c>
      <c r="I180" s="14"/>
    </row>
    <row r="181" spans="1:9" ht="15.75" customHeight="1" x14ac:dyDescent="0.25">
      <c r="A181" s="9">
        <v>46110</v>
      </c>
      <c r="B181" s="20">
        <v>0</v>
      </c>
      <c r="C181" s="20">
        <v>0</v>
      </c>
      <c r="D181" s="11">
        <f t="shared" si="0"/>
        <v>0</v>
      </c>
      <c r="E181" s="11" t="e">
        <f t="shared" si="1"/>
        <v>#DIV/0!</v>
      </c>
      <c r="F181" s="13">
        <v>4</v>
      </c>
      <c r="G181" s="14" t="e">
        <f t="shared" si="2"/>
        <v>#DIV/0!</v>
      </c>
      <c r="H181" s="14">
        <f ca="1">IFERROR(__xludf.DUMMYFUNCTION("IFERROR(
  AVERAGE(
    FILTER(
      $E$2:$E181,
      $A$2:$A181 &gt;= A181 - 30,
      $A$2:$A181 &lt;= A181,
      $E$2:$E181 &gt; 0
    )
  ),
"""")"),3.96865887278521)</f>
        <v>3.9686588727852099</v>
      </c>
      <c r="I181" s="14"/>
    </row>
    <row r="182" spans="1:9" ht="15.75" customHeight="1" x14ac:dyDescent="0.25">
      <c r="A182" s="9">
        <v>46111</v>
      </c>
      <c r="B182" s="20">
        <v>518</v>
      </c>
      <c r="C182" s="20">
        <v>22</v>
      </c>
      <c r="D182" s="11">
        <f t="shared" si="0"/>
        <v>496</v>
      </c>
      <c r="E182" s="11">
        <f t="shared" si="1"/>
        <v>4.2471042471042466</v>
      </c>
      <c r="F182" s="13">
        <v>4</v>
      </c>
      <c r="G182" s="14">
        <f t="shared" si="2"/>
        <v>-0.24710424710424661</v>
      </c>
      <c r="H182" s="14">
        <f ca="1">IFERROR(__xludf.DUMMYFUNCTION("IFERROR(
  AVERAGE(
    FILTER(
      $E$2:$E182,
      $A$2:$A182 &gt;= A182 - 30,
      $A$2:$A182 &lt;= A182,
      $E$2:$E182 &gt; 0
    )
  ),
"""")"),4.03827021636497)</f>
        <v>4.0382702163649702</v>
      </c>
      <c r="I182" s="14"/>
    </row>
    <row r="183" spans="1:9" ht="15.75" customHeight="1" x14ac:dyDescent="0.25">
      <c r="A183" s="9">
        <v>46112</v>
      </c>
      <c r="B183" s="20">
        <v>0</v>
      </c>
      <c r="C183" s="20">
        <v>0</v>
      </c>
      <c r="D183" s="11">
        <f t="shared" si="0"/>
        <v>0</v>
      </c>
      <c r="E183" s="11" t="e">
        <f t="shared" si="1"/>
        <v>#DIV/0!</v>
      </c>
      <c r="F183" s="13">
        <v>4</v>
      </c>
      <c r="G183" s="14" t="e">
        <f t="shared" si="2"/>
        <v>#DIV/0!</v>
      </c>
      <c r="H183" s="14">
        <f ca="1">IFERROR(__xludf.DUMMYFUNCTION("IFERROR(
  AVERAGE(
    FILTER(
      $E$2:$E183,
      $A$2:$A183 &gt;= A183 - 30,
      $A$2:$A183 &lt;= A183,
      $E$2:$E183 &gt; 0
    )
  ),
"""")"),4.03827021636497)</f>
        <v>4.0382702163649702</v>
      </c>
      <c r="I183" s="14"/>
    </row>
    <row r="184" spans="1:9" ht="15.75" customHeight="1" x14ac:dyDescent="0.25">
      <c r="A184" s="9">
        <v>46113</v>
      </c>
      <c r="B184" s="20">
        <v>0</v>
      </c>
      <c r="C184" s="20">
        <v>0</v>
      </c>
      <c r="D184" s="11">
        <f t="shared" si="0"/>
        <v>0</v>
      </c>
      <c r="E184" s="11" t="e">
        <f t="shared" si="1"/>
        <v>#DIV/0!</v>
      </c>
      <c r="F184" s="13">
        <v>4</v>
      </c>
      <c r="G184" s="14" t="e">
        <f t="shared" si="2"/>
        <v>#DIV/0!</v>
      </c>
      <c r="H184" s="14">
        <f ca="1">IFERROR(__xludf.DUMMYFUNCTION("IFERROR(
  AVERAGE(
    FILTER(
      $E$2:$E184,
      $A$2:$A184 &gt;= A184 - 30,
      $A$2:$A184 &lt;= A184,
      $E$2:$E184 &gt; 0
    )
  ),
"""")"),4.03827021636497)</f>
        <v>4.0382702163649702</v>
      </c>
      <c r="I184" s="14"/>
    </row>
    <row r="185" spans="1:9" ht="15.75" customHeight="1" x14ac:dyDescent="0.25">
      <c r="A185" s="9">
        <v>46114</v>
      </c>
      <c r="B185" s="20">
        <v>0</v>
      </c>
      <c r="C185" s="20">
        <v>0</v>
      </c>
      <c r="D185" s="11">
        <f t="shared" si="0"/>
        <v>0</v>
      </c>
      <c r="E185" s="11" t="e">
        <f t="shared" si="1"/>
        <v>#DIV/0!</v>
      </c>
      <c r="F185" s="13">
        <v>4</v>
      </c>
      <c r="G185" s="14" t="e">
        <f t="shared" si="2"/>
        <v>#DIV/0!</v>
      </c>
      <c r="H185" s="14">
        <f ca="1">IFERROR(__xludf.DUMMYFUNCTION("IFERROR(
  AVERAGE(
    FILTER(
      $E$2:$E185,
      $A$2:$A185 &gt;= A185 - 30,
      $A$2:$A185 &lt;= A185,
      $E$2:$E185 &gt; 0
    )
  ),
"""")"),4.03827021636497)</f>
        <v>4.0382702163649702</v>
      </c>
      <c r="I185" s="14"/>
    </row>
    <row r="186" spans="1:9" ht="15.75" customHeight="1" x14ac:dyDescent="0.25">
      <c r="A186" s="9">
        <v>46115</v>
      </c>
      <c r="B186" s="20">
        <v>0</v>
      </c>
      <c r="C186" s="20">
        <v>0</v>
      </c>
      <c r="D186" s="11">
        <f t="shared" si="0"/>
        <v>0</v>
      </c>
      <c r="E186" s="11" t="e">
        <f t="shared" si="1"/>
        <v>#DIV/0!</v>
      </c>
      <c r="F186" s="13">
        <v>4</v>
      </c>
      <c r="G186" s="14" t="e">
        <f t="shared" si="2"/>
        <v>#DIV/0!</v>
      </c>
      <c r="H186" s="14">
        <f ca="1">IFERROR(__xludf.DUMMYFUNCTION("IFERROR(
  AVERAGE(
    FILTER(
      $E$2:$E186,
      $A$2:$A186 &gt;= A186 - 30,
      $A$2:$A186 &lt;= A186,
      $E$2:$E186 &gt; 0
    )
  ),
"""")"),4.03827021636497)</f>
        <v>4.0382702163649702</v>
      </c>
      <c r="I186" s="14"/>
    </row>
    <row r="187" spans="1:9" ht="15.75" customHeight="1" x14ac:dyDescent="0.25">
      <c r="A187" s="9">
        <v>46116</v>
      </c>
      <c r="B187" s="20">
        <v>0</v>
      </c>
      <c r="C187" s="20">
        <v>0</v>
      </c>
      <c r="D187" s="11">
        <f t="shared" si="0"/>
        <v>0</v>
      </c>
      <c r="E187" s="11" t="e">
        <f t="shared" si="1"/>
        <v>#DIV/0!</v>
      </c>
      <c r="F187" s="13">
        <v>4</v>
      </c>
      <c r="G187" s="14" t="e">
        <f t="shared" si="2"/>
        <v>#DIV/0!</v>
      </c>
      <c r="H187" s="14">
        <f ca="1">IFERROR(__xludf.DUMMYFUNCTION("IFERROR(
  AVERAGE(
    FILTER(
      $E$2:$E187,
      $A$2:$A187 &gt;= A187 - 30,
      $A$2:$A187 &lt;= A187,
      $E$2:$E187 &gt; 0
    )
  ),
"""")"),4.03827021636497)</f>
        <v>4.0382702163649702</v>
      </c>
      <c r="I187" s="14"/>
    </row>
    <row r="188" spans="1:9" ht="15.75" customHeight="1" x14ac:dyDescent="0.25">
      <c r="A188" s="9">
        <v>46117</v>
      </c>
      <c r="B188" s="20">
        <v>0</v>
      </c>
      <c r="C188" s="20">
        <v>0</v>
      </c>
      <c r="D188" s="11">
        <f t="shared" si="0"/>
        <v>0</v>
      </c>
      <c r="E188" s="11" t="e">
        <f t="shared" si="1"/>
        <v>#DIV/0!</v>
      </c>
      <c r="F188" s="13">
        <v>4</v>
      </c>
      <c r="G188" s="14" t="e">
        <f t="shared" si="2"/>
        <v>#DIV/0!</v>
      </c>
      <c r="H188" s="14">
        <f ca="1">IFERROR(__xludf.DUMMYFUNCTION("IFERROR(
  AVERAGE(
    FILTER(
      $E$2:$E188,
      $A$2:$A188 &gt;= A188 - 30,
      $A$2:$A188 &lt;= A188,
      $E$2:$E188 &gt; 0
    )
  ),
"""")"),4.03827021636497)</f>
        <v>4.0382702163649702</v>
      </c>
      <c r="I188" s="14"/>
    </row>
    <row r="189" spans="1:9" ht="15.75" customHeight="1" x14ac:dyDescent="0.25">
      <c r="A189" s="9">
        <v>46118</v>
      </c>
      <c r="B189" s="20">
        <v>800</v>
      </c>
      <c r="C189" s="20">
        <v>40</v>
      </c>
      <c r="D189" s="11">
        <f t="shared" si="0"/>
        <v>760</v>
      </c>
      <c r="E189" s="11">
        <f t="shared" si="1"/>
        <v>5</v>
      </c>
      <c r="F189" s="13">
        <v>4</v>
      </c>
      <c r="G189" s="14">
        <f t="shared" si="2"/>
        <v>-1</v>
      </c>
      <c r="H189" s="14">
        <f ca="1">IFERROR(__xludf.DUMMYFUNCTION("IFERROR(
  AVERAGE(
    FILTER(
      $E$2:$E189,
      $A$2:$A189 &gt;= A189 - 30,
      $A$2:$A189 &lt;= A189,
      $E$2:$E189 &gt; 0
    )
  ),
"""")"),4.23061617309197)</f>
        <v>4.2306161730919696</v>
      </c>
      <c r="I189" s="14"/>
    </row>
    <row r="190" spans="1:9" ht="15.75" customHeight="1" x14ac:dyDescent="0.25">
      <c r="A190" s="9">
        <v>46119</v>
      </c>
      <c r="B190" s="20">
        <v>1000</v>
      </c>
      <c r="C190" s="20">
        <v>38</v>
      </c>
      <c r="D190" s="11">
        <f t="shared" si="0"/>
        <v>962</v>
      </c>
      <c r="E190" s="11">
        <f t="shared" si="1"/>
        <v>3.8</v>
      </c>
      <c r="F190" s="13">
        <v>4</v>
      </c>
      <c r="G190" s="14">
        <f t="shared" si="2"/>
        <v>0.20000000000000018</v>
      </c>
      <c r="H190" s="14">
        <f ca="1">IFERROR(__xludf.DUMMYFUNCTION("IFERROR(
  AVERAGE(
    FILTER(
      $E$2:$E190,
      $A$2:$A190 &gt;= A190 - 30,
      $A$2:$A190 &lt;= A190,
      $E$2:$E190 &gt; 0
    )
  ),
"""")"),4.15884681090998)</f>
        <v>4.1588468109099797</v>
      </c>
      <c r="I190" s="14"/>
    </row>
    <row r="191" spans="1:9" ht="15.75" customHeight="1" x14ac:dyDescent="0.25">
      <c r="A191" s="9">
        <v>46120</v>
      </c>
      <c r="B191" s="20">
        <f>588+84</f>
        <v>672</v>
      </c>
      <c r="C191" s="20">
        <v>84</v>
      </c>
      <c r="D191" s="11">
        <f t="shared" si="0"/>
        <v>588</v>
      </c>
      <c r="E191" s="11">
        <f t="shared" si="1"/>
        <v>12.5</v>
      </c>
      <c r="F191" s="13">
        <v>4</v>
      </c>
      <c r="G191" s="14">
        <f t="shared" si="2"/>
        <v>-8.5</v>
      </c>
      <c r="H191" s="14">
        <f ca="1">IFERROR(__xludf.DUMMYFUNCTION("IFERROR(
  AVERAGE(
    FILTER(
      $E$2:$E191,
      $A$2:$A191 &gt;= A191 - 30,
      $A$2:$A191 &lt;= A191,
      $E$2:$E191 &gt; 0
    )
  ),
"""")"),5.35044012363712)</f>
        <v>5.35044012363712</v>
      </c>
      <c r="I191" s="14"/>
    </row>
    <row r="192" spans="1:9" ht="15.75" customHeight="1" x14ac:dyDescent="0.25">
      <c r="A192" s="9">
        <v>46121</v>
      </c>
      <c r="B192" s="20">
        <v>0</v>
      </c>
      <c r="C192" s="20">
        <v>0</v>
      </c>
      <c r="D192" s="11">
        <f t="shared" si="0"/>
        <v>0</v>
      </c>
      <c r="E192" s="11" t="e">
        <f t="shared" si="1"/>
        <v>#DIV/0!</v>
      </c>
      <c r="F192" s="13">
        <v>4</v>
      </c>
      <c r="G192" s="14" t="e">
        <f t="shared" si="2"/>
        <v>#DIV/0!</v>
      </c>
      <c r="H192" s="14">
        <f ca="1">IFERROR(__xludf.DUMMYFUNCTION("IFERROR(
  AVERAGE(
    FILTER(
      $E$2:$E192,
      $A$2:$A192 &gt;= A192 - 30,
      $A$2:$A192 &lt;= A192,
      $E$2:$E192 &gt; 0
    )
  ),
"""")"),5.35044012363712)</f>
        <v>5.35044012363712</v>
      </c>
      <c r="I192" s="14"/>
    </row>
    <row r="193" spans="1:9" ht="15.75" customHeight="1" x14ac:dyDescent="0.25">
      <c r="A193" s="9">
        <v>46122</v>
      </c>
      <c r="B193" s="20">
        <v>0</v>
      </c>
      <c r="C193" s="20">
        <v>0</v>
      </c>
      <c r="D193" s="11">
        <f t="shared" si="0"/>
        <v>0</v>
      </c>
      <c r="E193" s="11" t="e">
        <f t="shared" si="1"/>
        <v>#DIV/0!</v>
      </c>
      <c r="F193" s="13">
        <v>4</v>
      </c>
      <c r="G193" s="14" t="e">
        <f t="shared" si="2"/>
        <v>#DIV/0!</v>
      </c>
      <c r="H193" s="14">
        <f ca="1">IFERROR(__xludf.DUMMYFUNCTION("IFERROR(
  AVERAGE(
    FILTER(
      $E$2:$E193,
      $A$2:$A193 &gt;= A193 - 30,
      $A$2:$A193 &lt;= A193,
      $E$2:$E193 &gt; 0
    )
  ),
"""")"),5.35044012363712)</f>
        <v>5.35044012363712</v>
      </c>
      <c r="I193" s="14"/>
    </row>
    <row r="194" spans="1:9" ht="15.75" customHeight="1" x14ac:dyDescent="0.25">
      <c r="A194" s="9">
        <v>46123</v>
      </c>
      <c r="B194" s="20">
        <v>0</v>
      </c>
      <c r="C194" s="20">
        <v>0</v>
      </c>
      <c r="D194" s="11">
        <f t="shared" si="0"/>
        <v>0</v>
      </c>
      <c r="E194" s="11" t="e">
        <f t="shared" si="1"/>
        <v>#DIV/0!</v>
      </c>
      <c r="F194" s="13">
        <v>4</v>
      </c>
      <c r="G194" s="14" t="e">
        <f t="shared" si="2"/>
        <v>#DIV/0!</v>
      </c>
      <c r="H194" s="14">
        <f ca="1">IFERROR(__xludf.DUMMYFUNCTION("IFERROR(
  AVERAGE(
    FILTER(
      $E$2:$E194,
      $A$2:$A194 &gt;= A194 - 30,
      $A$2:$A194 &lt;= A194,
      $E$2:$E194 &gt; 0
    )
  ),
"""")"),5.35044012363712)</f>
        <v>5.35044012363712</v>
      </c>
      <c r="I194" s="14"/>
    </row>
    <row r="195" spans="1:9" ht="15.75" customHeight="1" x14ac:dyDescent="0.25">
      <c r="A195" s="9">
        <v>46124</v>
      </c>
      <c r="B195" s="20">
        <v>0</v>
      </c>
      <c r="C195" s="20">
        <v>0</v>
      </c>
      <c r="D195" s="11">
        <f t="shared" si="0"/>
        <v>0</v>
      </c>
      <c r="E195" s="11" t="e">
        <f t="shared" si="1"/>
        <v>#DIV/0!</v>
      </c>
      <c r="F195" s="13">
        <v>4</v>
      </c>
      <c r="G195" s="14" t="e">
        <f t="shared" si="2"/>
        <v>#DIV/0!</v>
      </c>
      <c r="H195" s="14">
        <f ca="1">IFERROR(__xludf.DUMMYFUNCTION("IFERROR(
  AVERAGE(
    FILTER(
      $E$2:$E195,
      $A$2:$A195 &gt;= A195 - 30,
      $A$2:$A195 &lt;= A195,
      $E$2:$E195 &gt; 0
    )
  ),
"""")"),5.35044012363712)</f>
        <v>5.35044012363712</v>
      </c>
      <c r="I195" s="14"/>
    </row>
    <row r="196" spans="1:9" ht="15.75" customHeight="1" x14ac:dyDescent="0.25">
      <c r="A196" s="9">
        <v>46125</v>
      </c>
      <c r="B196" s="20">
        <v>0</v>
      </c>
      <c r="C196" s="20">
        <v>0</v>
      </c>
      <c r="D196" s="11">
        <f t="shared" si="0"/>
        <v>0</v>
      </c>
      <c r="E196" s="11" t="e">
        <f t="shared" si="1"/>
        <v>#DIV/0!</v>
      </c>
      <c r="F196" s="13">
        <v>4</v>
      </c>
      <c r="G196" s="14" t="e">
        <f t="shared" si="2"/>
        <v>#DIV/0!</v>
      </c>
      <c r="H196" s="14">
        <f ca="1">IFERROR(__xludf.DUMMYFUNCTION("IFERROR(
  AVERAGE(
    FILTER(
      $E$2:$E196,
      $A$2:$A196 &gt;= A196 - 30,
      $A$2:$A196 &lt;= A196,
      $E$2:$E196 &gt; 0
    )
  ),
"""")"),5.35044012363712)</f>
        <v>5.35044012363712</v>
      </c>
      <c r="I196" s="14"/>
    </row>
    <row r="197" spans="1:9" ht="15.75" customHeight="1" x14ac:dyDescent="0.25">
      <c r="A197" s="9">
        <v>46126</v>
      </c>
      <c r="B197" s="20">
        <v>0</v>
      </c>
      <c r="C197" s="20">
        <v>0</v>
      </c>
      <c r="D197" s="11">
        <f t="shared" si="0"/>
        <v>0</v>
      </c>
      <c r="E197" s="11" t="e">
        <f t="shared" si="1"/>
        <v>#DIV/0!</v>
      </c>
      <c r="F197" s="13">
        <v>4</v>
      </c>
      <c r="G197" s="14" t="e">
        <f t="shared" si="2"/>
        <v>#DIV/0!</v>
      </c>
      <c r="H197" s="14">
        <f ca="1">IFERROR(__xludf.DUMMYFUNCTION("IFERROR(
  AVERAGE(
    FILTER(
      $E$2:$E197,
      $A$2:$A197 &gt;= A197 - 30,
      $A$2:$A197 &lt;= A197,
      $E$2:$E197 &gt; 0
    )
  ),
"""")"),5.35044012363712)</f>
        <v>5.35044012363712</v>
      </c>
      <c r="I197" s="14"/>
    </row>
    <row r="198" spans="1:9" ht="15.75" customHeight="1" x14ac:dyDescent="0.25">
      <c r="A198" s="9">
        <v>46127</v>
      </c>
      <c r="B198" s="20">
        <v>0</v>
      </c>
      <c r="C198" s="20">
        <v>0</v>
      </c>
      <c r="D198" s="11">
        <f t="shared" si="0"/>
        <v>0</v>
      </c>
      <c r="E198" s="11" t="e">
        <f t="shared" si="1"/>
        <v>#DIV/0!</v>
      </c>
      <c r="F198" s="13">
        <v>4</v>
      </c>
      <c r="G198" s="14" t="e">
        <f t="shared" si="2"/>
        <v>#DIV/0!</v>
      </c>
      <c r="H198" s="14">
        <f ca="1">IFERROR(__xludf.DUMMYFUNCTION("IFERROR(
  AVERAGE(
    FILTER(
      $E$2:$E198,
      $A$2:$A198 &gt;= A198 - 30,
      $A$2:$A198 &lt;= A198,
      $E$2:$E198 &gt; 0
    )
  ),
"""")"),5.35044012363712)</f>
        <v>5.35044012363712</v>
      </c>
      <c r="I198" s="14"/>
    </row>
    <row r="199" spans="1:9" ht="15.75" customHeight="1" x14ac:dyDescent="0.25">
      <c r="A199" s="9">
        <v>46128</v>
      </c>
      <c r="B199" s="20">
        <v>0</v>
      </c>
      <c r="C199" s="20">
        <v>0</v>
      </c>
      <c r="D199" s="11">
        <f t="shared" si="0"/>
        <v>0</v>
      </c>
      <c r="E199" s="11" t="e">
        <f t="shared" si="1"/>
        <v>#DIV/0!</v>
      </c>
      <c r="F199" s="13">
        <v>4</v>
      </c>
      <c r="G199" s="14" t="e">
        <f t="shared" si="2"/>
        <v>#DIV/0!</v>
      </c>
      <c r="H199" s="14">
        <f ca="1">IFERROR(__xludf.DUMMYFUNCTION("IFERROR(
  AVERAGE(
    FILTER(
      $E$2:$E199,
      $A$2:$A199 &gt;= A199 - 30,
      $A$2:$A199 &lt;= A199,
      $E$2:$E199 &gt; 0
    )
  ),
"""")"),5.35044012363712)</f>
        <v>5.35044012363712</v>
      </c>
      <c r="I199" s="14"/>
    </row>
    <row r="200" spans="1:9" ht="15.75" customHeight="1" x14ac:dyDescent="0.25">
      <c r="A200" s="9">
        <v>46129</v>
      </c>
      <c r="B200" s="20">
        <v>0</v>
      </c>
      <c r="C200" s="20">
        <v>0</v>
      </c>
      <c r="D200" s="11">
        <f t="shared" si="0"/>
        <v>0</v>
      </c>
      <c r="E200" s="11" t="e">
        <f t="shared" si="1"/>
        <v>#DIV/0!</v>
      </c>
      <c r="F200" s="13">
        <v>4</v>
      </c>
      <c r="G200" s="14" t="e">
        <f t="shared" si="2"/>
        <v>#DIV/0!</v>
      </c>
      <c r="H200" s="14">
        <f ca="1">IFERROR(__xludf.DUMMYFUNCTION("IFERROR(
  AVERAGE(
    FILTER(
      $E$2:$E200,
      $A$2:$A200 &gt;= A200 - 30,
      $A$2:$A200 &lt;= A200,
      $E$2:$E200 &gt; 0
    )
  ),
"""")"),5.35044012363712)</f>
        <v>5.35044012363712</v>
      </c>
      <c r="I200" s="14"/>
    </row>
    <row r="201" spans="1:9" ht="15.75" customHeight="1" x14ac:dyDescent="0.25">
      <c r="A201" s="9">
        <v>46130</v>
      </c>
      <c r="B201" s="20">
        <v>0</v>
      </c>
      <c r="C201" s="20">
        <v>0</v>
      </c>
      <c r="D201" s="11">
        <f t="shared" si="0"/>
        <v>0</v>
      </c>
      <c r="E201" s="11" t="e">
        <f t="shared" si="1"/>
        <v>#DIV/0!</v>
      </c>
      <c r="F201" s="13">
        <v>4</v>
      </c>
      <c r="G201" s="14" t="e">
        <f t="shared" si="2"/>
        <v>#DIV/0!</v>
      </c>
      <c r="H201" s="14">
        <f ca="1">IFERROR(__xludf.DUMMYFUNCTION("IFERROR(
  AVERAGE(
    FILTER(
      $E$2:$E201,
      $A$2:$A201 &gt;= A201 - 30,
      $A$2:$A201 &lt;= A201,
      $E$2:$E201 &gt; 0
    )
  ),
"""")"),5.35044012363712)</f>
        <v>5.35044012363712</v>
      </c>
      <c r="I201" s="14"/>
    </row>
    <row r="202" spans="1:9" ht="15.75" customHeight="1" x14ac:dyDescent="0.25">
      <c r="A202" s="9">
        <v>46131</v>
      </c>
      <c r="B202" s="20">
        <v>0</v>
      </c>
      <c r="C202" s="20">
        <v>0</v>
      </c>
      <c r="D202" s="11">
        <f t="shared" si="0"/>
        <v>0</v>
      </c>
      <c r="E202" s="11" t="e">
        <f t="shared" si="1"/>
        <v>#DIV/0!</v>
      </c>
      <c r="F202" s="13">
        <v>4</v>
      </c>
      <c r="G202" s="14" t="e">
        <f t="shared" si="2"/>
        <v>#DIV/0!</v>
      </c>
      <c r="H202" s="14">
        <f ca="1">IFERROR(__xludf.DUMMYFUNCTION("IFERROR(
  AVERAGE(
    FILTER(
      $E$2:$E202,
      $A$2:$A202 &gt;= A202 - 30,
      $A$2:$A202 &lt;= A202,
      $E$2:$E202 &gt; 0
    )
  ),
"""")"),5.35044012363712)</f>
        <v>5.35044012363712</v>
      </c>
      <c r="I202" s="14"/>
    </row>
    <row r="203" spans="1:9" ht="15.75" customHeight="1" x14ac:dyDescent="0.25">
      <c r="A203" s="9">
        <v>46132</v>
      </c>
      <c r="B203" s="20">
        <v>0</v>
      </c>
      <c r="C203" s="20">
        <v>0</v>
      </c>
      <c r="D203" s="11">
        <f t="shared" si="0"/>
        <v>0</v>
      </c>
      <c r="E203" s="11" t="e">
        <f t="shared" si="1"/>
        <v>#DIV/0!</v>
      </c>
      <c r="F203" s="13">
        <v>4</v>
      </c>
      <c r="G203" s="14" t="e">
        <f t="shared" si="2"/>
        <v>#DIV/0!</v>
      </c>
      <c r="H203" s="14">
        <f ca="1">IFERROR(__xludf.DUMMYFUNCTION("IFERROR(
  AVERAGE(
    FILTER(
      $E$2:$E203,
      $A$2:$A203 &gt;= A203 - 30,
      $A$2:$A203 &lt;= A203,
      $E$2:$E203 &gt; 0
    )
  ),
"""")"),5.35044012363712)</f>
        <v>5.35044012363712</v>
      </c>
      <c r="I203" s="14"/>
    </row>
    <row r="204" spans="1:9" ht="15.75" customHeight="1" x14ac:dyDescent="0.25">
      <c r="A204" s="9">
        <v>46133</v>
      </c>
      <c r="B204" s="20">
        <v>0</v>
      </c>
      <c r="C204" s="20">
        <v>0</v>
      </c>
      <c r="D204" s="11">
        <f t="shared" si="0"/>
        <v>0</v>
      </c>
      <c r="E204" s="11" t="e">
        <f t="shared" si="1"/>
        <v>#DIV/0!</v>
      </c>
      <c r="F204" s="13">
        <v>4</v>
      </c>
      <c r="G204" s="14" t="e">
        <f t="shared" si="2"/>
        <v>#DIV/0!</v>
      </c>
      <c r="H204" s="14">
        <f ca="1">IFERROR(__xludf.DUMMYFUNCTION("IFERROR(
  AVERAGE(
    FILTER(
      $E$2:$E204,
      $A$2:$A204 &gt;= A204 - 30,
      $A$2:$A204 &lt;= A204,
      $E$2:$E204 &gt; 0
    )
  ),
"""")"),5.35044012363712)</f>
        <v>5.35044012363712</v>
      </c>
      <c r="I204" s="14"/>
    </row>
    <row r="205" spans="1:9" ht="15.75" customHeight="1" x14ac:dyDescent="0.25">
      <c r="A205" s="9">
        <v>46134</v>
      </c>
      <c r="B205" s="20">
        <v>0</v>
      </c>
      <c r="C205" s="20">
        <v>0</v>
      </c>
      <c r="D205" s="11">
        <f t="shared" si="0"/>
        <v>0</v>
      </c>
      <c r="E205" s="11" t="e">
        <f t="shared" si="1"/>
        <v>#DIV/0!</v>
      </c>
      <c r="F205" s="13">
        <v>4</v>
      </c>
      <c r="G205" s="14" t="e">
        <f t="shared" si="2"/>
        <v>#DIV/0!</v>
      </c>
      <c r="H205" s="14">
        <f ca="1">IFERROR(__xludf.DUMMYFUNCTION("IFERROR(
  AVERAGE(
    FILTER(
      $E$2:$E205,
      $A$2:$A205 &gt;= A205 - 30,
      $A$2:$A205 &lt;= A205,
      $E$2:$E205 &gt; 0
    )
  ),
"""")"),5.35044012363712)</f>
        <v>5.35044012363712</v>
      </c>
      <c r="I205" s="14"/>
    </row>
    <row r="206" spans="1:9" ht="15.75" customHeight="1" x14ac:dyDescent="0.25">
      <c r="A206" s="9">
        <v>46135</v>
      </c>
      <c r="B206" s="20">
        <v>0</v>
      </c>
      <c r="C206" s="20">
        <v>0</v>
      </c>
      <c r="D206" s="11">
        <f t="shared" si="0"/>
        <v>0</v>
      </c>
      <c r="E206" s="11" t="e">
        <f t="shared" si="1"/>
        <v>#DIV/0!</v>
      </c>
      <c r="F206" s="13">
        <v>4</v>
      </c>
      <c r="G206" s="14" t="e">
        <f t="shared" si="2"/>
        <v>#DIV/0!</v>
      </c>
      <c r="H206" s="14">
        <f ca="1">IFERROR(__xludf.DUMMYFUNCTION("IFERROR(
  AVERAGE(
    FILTER(
      $E$2:$E206,
      $A$2:$A206 &gt;= A206 - 30,
      $A$2:$A206 &lt;= A206,
      $E$2:$E206 &gt; 0
    )
  ),
"""")"),5.35044012363712)</f>
        <v>5.35044012363712</v>
      </c>
      <c r="I206" s="14"/>
    </row>
    <row r="207" spans="1:9" ht="15.75" customHeight="1" x14ac:dyDescent="0.25">
      <c r="A207" s="9">
        <v>46136</v>
      </c>
      <c r="B207" s="20">
        <v>0</v>
      </c>
      <c r="C207" s="20">
        <v>0</v>
      </c>
      <c r="D207" s="11">
        <f t="shared" si="0"/>
        <v>0</v>
      </c>
      <c r="E207" s="11" t="e">
        <f t="shared" si="1"/>
        <v>#DIV/0!</v>
      </c>
      <c r="F207" s="13">
        <v>4</v>
      </c>
      <c r="G207" s="14" t="e">
        <f t="shared" si="2"/>
        <v>#DIV/0!</v>
      </c>
      <c r="H207" s="14">
        <f ca="1">IFERROR(__xludf.DUMMYFUNCTION("IFERROR(
  AVERAGE(
    FILTER(
      $E$2:$E207,
      $A$2:$A207 &gt;= A207 - 30,
      $A$2:$A207 &lt;= A207,
      $E$2:$E207 &gt; 0
    )
  ),
"""")"),5.35044012363712)</f>
        <v>5.35044012363712</v>
      </c>
      <c r="I207" s="14"/>
    </row>
    <row r="208" spans="1:9" ht="15.75" customHeight="1" x14ac:dyDescent="0.25">
      <c r="A208" s="9">
        <v>46137</v>
      </c>
      <c r="B208" s="20">
        <v>0</v>
      </c>
      <c r="C208" s="20">
        <v>0</v>
      </c>
      <c r="D208" s="11">
        <f t="shared" si="0"/>
        <v>0</v>
      </c>
      <c r="E208" s="11" t="e">
        <f t="shared" si="1"/>
        <v>#DIV/0!</v>
      </c>
      <c r="F208" s="13">
        <v>4</v>
      </c>
      <c r="G208" s="14" t="e">
        <f t="shared" si="2"/>
        <v>#DIV/0!</v>
      </c>
      <c r="H208" s="14">
        <f ca="1">IFERROR(__xludf.DUMMYFUNCTION("IFERROR(
  AVERAGE(
    FILTER(
      $E$2:$E208,
      $A$2:$A208 &gt;= A208 - 30,
      $A$2:$A208 &lt;= A208,
      $E$2:$E208 &gt; 0
    )
  ),
"""")"),5.58858537300148)</f>
        <v>5.5885853730014796</v>
      </c>
      <c r="I208" s="14"/>
    </row>
    <row r="209" spans="1:9" ht="15.75" customHeight="1" x14ac:dyDescent="0.25">
      <c r="A209" s="9">
        <v>46138</v>
      </c>
      <c r="B209" s="20">
        <v>0</v>
      </c>
      <c r="C209" s="20">
        <v>0</v>
      </c>
      <c r="D209" s="11">
        <f t="shared" si="0"/>
        <v>0</v>
      </c>
      <c r="E209" s="11" t="e">
        <f t="shared" si="1"/>
        <v>#DIV/0!</v>
      </c>
      <c r="F209" s="13">
        <v>4</v>
      </c>
      <c r="G209" s="14" t="e">
        <f t="shared" si="2"/>
        <v>#DIV/0!</v>
      </c>
      <c r="H209" s="14">
        <f ca="1">IFERROR(__xludf.DUMMYFUNCTION("IFERROR(
  AVERAGE(
    FILTER(
      $E$2:$E209,
      $A$2:$A209 &gt;= A209 - 30,
      $A$2:$A209 &lt;= A209,
      $E$2:$E209 &gt; 0
    )
  ),
"""")"),5.58858537300148)</f>
        <v>5.5885853730014796</v>
      </c>
      <c r="I209" s="14"/>
    </row>
    <row r="210" spans="1:9" ht="15.75" customHeight="1" x14ac:dyDescent="0.25">
      <c r="A210" s="9">
        <v>46139</v>
      </c>
      <c r="B210" s="20">
        <v>0</v>
      </c>
      <c r="C210" s="20">
        <v>0</v>
      </c>
      <c r="D210" s="11">
        <f t="shared" si="0"/>
        <v>0</v>
      </c>
      <c r="E210" s="11" t="e">
        <f t="shared" si="1"/>
        <v>#DIV/0!</v>
      </c>
      <c r="F210" s="13">
        <v>4</v>
      </c>
      <c r="G210" s="14" t="e">
        <f t="shared" si="2"/>
        <v>#DIV/0!</v>
      </c>
      <c r="H210" s="14">
        <f ca="1">IFERROR(__xludf.DUMMYFUNCTION("IFERROR(
  AVERAGE(
    FILTER(
      $E$2:$E210,
      $A$2:$A210 &gt;= A210 - 30,
      $A$2:$A210 &lt;= A210,
      $E$2:$E210 &gt; 0
    )
  ),
"""")"),5.79027191325063)</f>
        <v>5.7902719132506304</v>
      </c>
      <c r="I210" s="14"/>
    </row>
    <row r="211" spans="1:9" ht="15.75" customHeight="1" x14ac:dyDescent="0.25">
      <c r="A211" s="9">
        <v>46140</v>
      </c>
      <c r="B211" s="20">
        <v>0</v>
      </c>
      <c r="C211" s="20">
        <v>0</v>
      </c>
      <c r="D211" s="11">
        <f t="shared" si="0"/>
        <v>0</v>
      </c>
      <c r="E211" s="11" t="e">
        <f t="shared" si="1"/>
        <v>#DIV/0!</v>
      </c>
      <c r="F211" s="13">
        <v>4</v>
      </c>
      <c r="G211" s="14" t="e">
        <f t="shared" si="2"/>
        <v>#DIV/0!</v>
      </c>
      <c r="H211" s="14">
        <f ca="1">IFERROR(__xludf.DUMMYFUNCTION("IFERROR(
  AVERAGE(
    FILTER(
      $E$2:$E211,
      $A$2:$A211 &gt;= A211 - 30,
      $A$2:$A211 &lt;= A211,
      $E$2:$E211 &gt; 0
    )
  ),
"""")"),6.38677606177606)</f>
        <v>6.3867760617760601</v>
      </c>
      <c r="I211" s="14"/>
    </row>
    <row r="212" spans="1:9" ht="15.75" customHeight="1" x14ac:dyDescent="0.25">
      <c r="A212" s="9">
        <v>46141</v>
      </c>
      <c r="B212" s="20">
        <v>0</v>
      </c>
      <c r="C212" s="20">
        <v>0</v>
      </c>
      <c r="D212" s="11">
        <f t="shared" si="0"/>
        <v>0</v>
      </c>
      <c r="E212" s="11" t="e">
        <f t="shared" si="1"/>
        <v>#DIV/0!</v>
      </c>
      <c r="F212" s="13">
        <v>4</v>
      </c>
      <c r="G212" s="14" t="e">
        <f t="shared" si="2"/>
        <v>#DIV/0!</v>
      </c>
      <c r="H212" s="14">
        <f ca="1">IFERROR(__xludf.DUMMYFUNCTION("IFERROR(
  AVERAGE(
    FILTER(
      $E$2:$E212,
      $A$2:$A212 &gt;= A212 - 30,
      $A$2:$A212 &lt;= A212,
      $E$2:$E212 &gt; 0
    )
  ),
"""")"),6.38677606177606)</f>
        <v>6.3867760617760601</v>
      </c>
      <c r="I212" s="14"/>
    </row>
    <row r="213" spans="1:9" ht="15.75" customHeight="1" x14ac:dyDescent="0.25">
      <c r="A213" s="9">
        <v>46142</v>
      </c>
      <c r="B213" s="20"/>
      <c r="C213" s="20"/>
      <c r="D213" s="11">
        <f t="shared" si="0"/>
        <v>0</v>
      </c>
      <c r="E213" s="11" t="e">
        <f t="shared" si="1"/>
        <v>#DIV/0!</v>
      </c>
      <c r="F213" s="13">
        <v>4</v>
      </c>
      <c r="G213" s="14" t="e">
        <f t="shared" si="2"/>
        <v>#DIV/0!</v>
      </c>
      <c r="H213" s="14">
        <f ca="1">IFERROR(__xludf.DUMMYFUNCTION("IFERROR(
  AVERAGE(
    FILTER(
      $E$2:$E213,
      $A$2:$A213 &gt;= A213 - 30,
      $A$2:$A213 &lt;= A213,
      $E$2:$E213 &gt; 0
    )
  ),
"""")"),7.1)</f>
        <v>7.1</v>
      </c>
      <c r="I213" s="14"/>
    </row>
    <row r="214" spans="1:9" ht="15.75" customHeight="1" x14ac:dyDescent="0.25">
      <c r="A214" s="9">
        <v>46143</v>
      </c>
      <c r="B214" s="20"/>
      <c r="C214" s="20"/>
      <c r="D214" s="11">
        <f t="shared" si="0"/>
        <v>0</v>
      </c>
      <c r="E214" s="11" t="e">
        <f t="shared" si="1"/>
        <v>#DIV/0!</v>
      </c>
      <c r="F214" s="13">
        <v>4</v>
      </c>
      <c r="G214" s="14" t="e">
        <f t="shared" si="2"/>
        <v>#DIV/0!</v>
      </c>
      <c r="H214" s="14">
        <f ca="1">IFERROR(__xludf.DUMMYFUNCTION("IFERROR(
  AVERAGE(
    FILTER(
      $E$2:$E214,
      $A$2:$A214 &gt;= A214 - 30,
      $A$2:$A214 &lt;= A214,
      $E$2:$E214 &gt; 0
    )
  ),
"""")"),7.1)</f>
        <v>7.1</v>
      </c>
      <c r="I214" s="14"/>
    </row>
    <row r="215" spans="1:9" ht="15.75" customHeight="1" x14ac:dyDescent="0.25">
      <c r="A215" s="9">
        <v>46144</v>
      </c>
      <c r="B215" s="20"/>
      <c r="C215" s="20"/>
      <c r="D215" s="11">
        <f t="shared" si="0"/>
        <v>0</v>
      </c>
      <c r="E215" s="11" t="e">
        <f t="shared" si="1"/>
        <v>#DIV/0!</v>
      </c>
      <c r="F215" s="13">
        <v>4</v>
      </c>
      <c r="G215" s="14" t="e">
        <f t="shared" si="2"/>
        <v>#DIV/0!</v>
      </c>
      <c r="H215" s="14">
        <f ca="1">IFERROR(__xludf.DUMMYFUNCTION("IFERROR(
  AVERAGE(
    FILTER(
      $E$2:$E215,
      $A$2:$A215 &gt;= A215 - 30,
      $A$2:$A215 &lt;= A215,
      $E$2:$E215 &gt; 0
    )
  ),
"""")"),7.1)</f>
        <v>7.1</v>
      </c>
      <c r="I215" s="14"/>
    </row>
    <row r="216" spans="1:9" ht="15.75" customHeight="1" x14ac:dyDescent="0.25">
      <c r="A216" s="9">
        <v>46145</v>
      </c>
      <c r="B216" s="20"/>
      <c r="C216" s="20"/>
      <c r="D216" s="11">
        <f t="shared" si="0"/>
        <v>0</v>
      </c>
      <c r="E216" s="11" t="e">
        <f t="shared" si="1"/>
        <v>#DIV/0!</v>
      </c>
      <c r="F216" s="13">
        <v>4</v>
      </c>
      <c r="G216" s="14" t="e">
        <f t="shared" si="2"/>
        <v>#DIV/0!</v>
      </c>
      <c r="H216" s="14">
        <f ca="1">IFERROR(__xludf.DUMMYFUNCTION("IFERROR(
  AVERAGE(
    FILTER(
      $E$2:$E216,
      $A$2:$A216 &gt;= A216 - 30,
      $A$2:$A216 &lt;= A216,
      $E$2:$E216 &gt; 0
    )
  ),
"""")"),7.1)</f>
        <v>7.1</v>
      </c>
      <c r="I216" s="14"/>
    </row>
    <row r="217" spans="1:9" ht="15.75" customHeight="1" x14ac:dyDescent="0.25">
      <c r="A217" s="9">
        <v>46146</v>
      </c>
      <c r="B217" s="20"/>
      <c r="C217" s="20"/>
      <c r="D217" s="11">
        <f t="shared" si="0"/>
        <v>0</v>
      </c>
      <c r="E217" s="11" t="e">
        <f t="shared" si="1"/>
        <v>#DIV/0!</v>
      </c>
      <c r="F217" s="13">
        <v>4</v>
      </c>
      <c r="G217" s="14" t="e">
        <f t="shared" si="2"/>
        <v>#DIV/0!</v>
      </c>
      <c r="H217" s="14">
        <f ca="1">IFERROR(__xludf.DUMMYFUNCTION("IFERROR(
  AVERAGE(
    FILTER(
      $E$2:$E217,
      $A$2:$A217 &gt;= A217 - 30,
      $A$2:$A217 &lt;= A217,
      $E$2:$E217 &gt; 0
    )
  ),
"""")"),7.1)</f>
        <v>7.1</v>
      </c>
      <c r="I217" s="14"/>
    </row>
    <row r="218" spans="1:9" ht="15.75" customHeight="1" x14ac:dyDescent="0.25">
      <c r="A218" s="9">
        <v>46147</v>
      </c>
      <c r="B218" s="20"/>
      <c r="C218" s="20"/>
      <c r="D218" s="11">
        <f t="shared" si="0"/>
        <v>0</v>
      </c>
      <c r="E218" s="11" t="e">
        <f t="shared" si="1"/>
        <v>#DIV/0!</v>
      </c>
      <c r="F218" s="13">
        <v>4</v>
      </c>
      <c r="G218" s="14" t="e">
        <f t="shared" si="2"/>
        <v>#DIV/0!</v>
      </c>
      <c r="H218" s="14">
        <f ca="1">IFERROR(__xludf.DUMMYFUNCTION("IFERROR(
  AVERAGE(
    FILTER(
      $E$2:$E218,
      $A$2:$A218 &gt;= A218 - 30,
      $A$2:$A218 &lt;= A218,
      $E$2:$E218 &gt; 0
    )
  ),
"""")"),7.1)</f>
        <v>7.1</v>
      </c>
      <c r="I218" s="14"/>
    </row>
    <row r="219" spans="1:9" ht="15.75" customHeight="1" x14ac:dyDescent="0.25">
      <c r="A219" s="9">
        <v>46148</v>
      </c>
      <c r="B219" s="20"/>
      <c r="C219" s="20"/>
      <c r="D219" s="11"/>
      <c r="E219" s="11"/>
      <c r="F219" s="13">
        <v>4</v>
      </c>
      <c r="G219" s="14">
        <f t="shared" si="2"/>
        <v>4</v>
      </c>
      <c r="H219" s="14">
        <f ca="1">IFERROR(__xludf.DUMMYFUNCTION("IFERROR(
  AVERAGE(
    FILTER(
      $E$2:$E219,
      $A$2:$A219 &gt;= A219 - 30,
      $A$2:$A219 &lt;= A219,
      $E$2:$E219 &gt; 0
    )
  ),
"""")"),7.1)</f>
        <v>7.1</v>
      </c>
      <c r="I219" s="14"/>
    </row>
    <row r="220" spans="1:9" ht="15.75" customHeight="1" x14ac:dyDescent="0.25">
      <c r="A220" s="9">
        <v>46149</v>
      </c>
      <c r="B220" s="20"/>
      <c r="C220" s="20"/>
      <c r="D220" s="11"/>
      <c r="E220" s="11"/>
      <c r="F220" s="13">
        <v>4</v>
      </c>
      <c r="G220" s="14">
        <f t="shared" si="2"/>
        <v>4</v>
      </c>
      <c r="H220" s="14">
        <f ca="1">IFERROR(__xludf.DUMMYFUNCTION("IFERROR(
  AVERAGE(
    FILTER(
      $E$2:$E220,
      $A$2:$A220 &gt;= A220 - 30,
      $A$2:$A220 &lt;= A220,
      $E$2:$E220 &gt; 0
    )
  ),
"""")"),8.15)</f>
        <v>8.15</v>
      </c>
      <c r="I220" s="14"/>
    </row>
    <row r="221" spans="1:9" ht="15.75" customHeight="1" x14ac:dyDescent="0.25">
      <c r="A221" s="9">
        <v>46150</v>
      </c>
      <c r="B221" s="20"/>
      <c r="C221" s="20"/>
      <c r="D221" s="11"/>
      <c r="E221" s="11"/>
      <c r="F221" s="13">
        <v>4</v>
      </c>
      <c r="G221" s="14">
        <f t="shared" si="2"/>
        <v>4</v>
      </c>
      <c r="H221" s="14">
        <f ca="1">IFERROR(__xludf.DUMMYFUNCTION("IFERROR(
  AVERAGE(
    FILTER(
      $E$2:$E221,
      $A$2:$A221 &gt;= A221 - 30,
      $A$2:$A221 &lt;= A221,
      $E$2:$E221 &gt; 0
    )
  ),
"""")"),12.5)</f>
        <v>12.5</v>
      </c>
      <c r="I221" s="14"/>
    </row>
    <row r="222" spans="1:9" ht="15.75" customHeight="1" x14ac:dyDescent="0.25">
      <c r="A222" s="9">
        <v>46151</v>
      </c>
      <c r="B222" s="20"/>
      <c r="C222" s="20"/>
      <c r="D222" s="11"/>
      <c r="E222" s="11"/>
      <c r="F222" s="13">
        <v>4</v>
      </c>
      <c r="G222" s="14">
        <f t="shared" si="2"/>
        <v>4</v>
      </c>
      <c r="H222" s="14" t="str">
        <f ca="1">IFERROR(__xludf.DUMMYFUNCTION("IFERROR(
  AVERAGE(
    FILTER(
      $E$2:$E222,
      $A$2:$A222 &gt;= A222 - 30,
      $A$2:$A222 &lt;= A222,
      $E$2:$E222 &gt; 0
    )
  ),
"""")"),"")</f>
        <v/>
      </c>
      <c r="I222" s="14"/>
    </row>
    <row r="223" spans="1:9" ht="15.75" customHeight="1" x14ac:dyDescent="0.25">
      <c r="A223" s="9">
        <v>46152</v>
      </c>
      <c r="B223" s="20"/>
      <c r="C223" s="20"/>
      <c r="D223" s="11"/>
      <c r="E223" s="11"/>
      <c r="F223" s="13">
        <v>4</v>
      </c>
      <c r="G223" s="14">
        <f t="shared" si="2"/>
        <v>4</v>
      </c>
      <c r="H223" s="14" t="str">
        <f ca="1">IFERROR(__xludf.DUMMYFUNCTION("IFERROR(
  AVERAGE(
    FILTER(
      $E$2:$E223,
      $A$2:$A223 &gt;= A223 - 30,
      $A$2:$A223 &lt;= A223,
      $E$2:$E223 &gt; 0
    )
  ),
"""")"),"")</f>
        <v/>
      </c>
      <c r="I223" s="14"/>
    </row>
    <row r="224" spans="1:9" ht="15.75" customHeight="1" x14ac:dyDescent="0.25">
      <c r="A224" s="9">
        <v>46153</v>
      </c>
      <c r="B224" s="20"/>
      <c r="C224" s="20"/>
      <c r="D224" s="11"/>
      <c r="E224" s="11"/>
      <c r="F224" s="13">
        <v>4</v>
      </c>
      <c r="G224" s="14">
        <f t="shared" si="2"/>
        <v>4</v>
      </c>
      <c r="H224" s="14" t="str">
        <f ca="1">IFERROR(__xludf.DUMMYFUNCTION("IFERROR(
  AVERAGE(
    FILTER(
      $E$2:$E224,
      $A$2:$A224 &gt;= A224 - 30,
      $A$2:$A224 &lt;= A224,
      $E$2:$E224 &gt; 0
    )
  ),
"""")"),"")</f>
        <v/>
      </c>
      <c r="I224" s="14"/>
    </row>
    <row r="225" spans="1:9" ht="15.75" customHeight="1" x14ac:dyDescent="0.25">
      <c r="A225" s="9">
        <v>46154</v>
      </c>
      <c r="B225" s="20"/>
      <c r="C225" s="20"/>
      <c r="D225" s="11"/>
      <c r="E225" s="11"/>
      <c r="F225" s="13">
        <v>4</v>
      </c>
      <c r="G225" s="14">
        <f t="shared" si="2"/>
        <v>4</v>
      </c>
      <c r="H225" s="14" t="str">
        <f ca="1">IFERROR(__xludf.DUMMYFUNCTION("IFERROR(
  AVERAGE(
    FILTER(
      $E$2:$E225,
      $A$2:$A225 &gt;= A225 - 30,
      $A$2:$A225 &lt;= A225,
      $E$2:$E225 &gt; 0
    )
  ),
"""")"),"")</f>
        <v/>
      </c>
      <c r="I225" s="14"/>
    </row>
    <row r="226" spans="1:9" ht="15.75" customHeight="1" x14ac:dyDescent="0.25">
      <c r="A226" s="9">
        <v>46155</v>
      </c>
      <c r="B226" s="20"/>
      <c r="C226" s="20"/>
      <c r="D226" s="11"/>
      <c r="E226" s="11"/>
      <c r="F226" s="13">
        <v>4</v>
      </c>
      <c r="G226" s="14">
        <f t="shared" si="2"/>
        <v>4</v>
      </c>
      <c r="H226" s="14" t="str">
        <f ca="1">IFERROR(__xludf.DUMMYFUNCTION("IFERROR(
  AVERAGE(
    FILTER(
      $E$2:$E226,
      $A$2:$A226 &gt;= A226 - 30,
      $A$2:$A226 &lt;= A226,
      $E$2:$E226 &gt; 0
    )
  ),
"""")"),"")</f>
        <v/>
      </c>
      <c r="I226" s="14"/>
    </row>
    <row r="227" spans="1:9" ht="15.75" customHeight="1" x14ac:dyDescent="0.25">
      <c r="A227" s="9"/>
      <c r="B227" s="20"/>
      <c r="C227" s="20"/>
      <c r="D227" s="11"/>
      <c r="E227" s="11"/>
      <c r="F227" s="13">
        <v>4</v>
      </c>
      <c r="G227" s="14">
        <f t="shared" si="2"/>
        <v>4</v>
      </c>
      <c r="H227" s="14" t="str">
        <f ca="1">IFERROR(__xludf.DUMMYFUNCTION("IFERROR(
  AVERAGE(
    FILTER(
      $E$2:$E227,
      $A$2:$A227 &gt;= A227 - 30,
      $A$2:$A227 &lt;= A227,
      $E$2:$E227 &gt; 0
    )
  ),
"""")"),"")</f>
        <v/>
      </c>
      <c r="I227" s="14"/>
    </row>
    <row r="228" spans="1:9" ht="15.75" customHeight="1" x14ac:dyDescent="0.25">
      <c r="A228" s="9"/>
      <c r="B228" s="20"/>
      <c r="C228" s="20"/>
      <c r="D228" s="11"/>
      <c r="E228" s="11"/>
      <c r="F228" s="13"/>
      <c r="G228" s="14">
        <f t="shared" si="2"/>
        <v>0</v>
      </c>
      <c r="H228" s="14" t="str">
        <f ca="1">IFERROR(__xludf.DUMMYFUNCTION("IFERROR(
  AVERAGE(
    FILTER(
      $E$2:$E228,
      $A$2:$A228 &gt;= A228 - 30,
      $A$2:$A228 &lt;= A228,
      $E$2:$E228 &gt; 0
    )
  ),
"""")"),"")</f>
        <v/>
      </c>
      <c r="I228" s="14"/>
    </row>
    <row r="229" spans="1:9" ht="15.75" customHeight="1" x14ac:dyDescent="0.25">
      <c r="A229" s="9"/>
      <c r="B229" s="20"/>
      <c r="C229" s="20"/>
      <c r="D229" s="11"/>
      <c r="E229" s="11"/>
      <c r="F229" s="13"/>
      <c r="G229" s="14">
        <f t="shared" si="2"/>
        <v>0</v>
      </c>
      <c r="H229" s="14" t="str">
        <f ca="1">IFERROR(__xludf.DUMMYFUNCTION("IFERROR(
  AVERAGE(
    FILTER(
      $E$2:$E229,
      $A$2:$A229 &gt;= A229 - 30,
      $A$2:$A229 &lt;= A229,
      $E$2:$E229 &gt; 0
    )
  ),
"""")"),"")</f>
        <v/>
      </c>
      <c r="I229" s="14"/>
    </row>
    <row r="230" spans="1:9" ht="15.75" customHeight="1" x14ac:dyDescent="0.25">
      <c r="A230" s="9"/>
      <c r="B230" s="20"/>
      <c r="C230" s="20"/>
      <c r="D230" s="11"/>
      <c r="E230" s="11"/>
      <c r="F230" s="13"/>
      <c r="G230" s="14">
        <f t="shared" si="2"/>
        <v>0</v>
      </c>
      <c r="H230" s="14" t="str">
        <f ca="1">IFERROR(__xludf.DUMMYFUNCTION("IFERROR(
  AVERAGE(
    FILTER(
      $E$2:$E230,
      $A$2:$A230 &gt;= A230 - 30,
      $A$2:$A230 &lt;= A230,
      $E$2:$E230 &gt; 0
    )
  ),
"""")"),"")</f>
        <v/>
      </c>
      <c r="I230" s="14"/>
    </row>
    <row r="231" spans="1:9" ht="15.75" customHeight="1" x14ac:dyDescent="0.25">
      <c r="A231" s="9"/>
      <c r="B231" s="20"/>
      <c r="C231" s="20"/>
      <c r="D231" s="11"/>
      <c r="E231" s="11"/>
      <c r="F231" s="13"/>
      <c r="G231" s="14">
        <f t="shared" si="2"/>
        <v>0</v>
      </c>
      <c r="H231" s="14" t="str">
        <f ca="1">IFERROR(__xludf.DUMMYFUNCTION("IFERROR(
  AVERAGE(
    FILTER(
      $E$2:$E231,
      $A$2:$A231 &gt;= A231 - 30,
      $A$2:$A231 &lt;= A231,
      $E$2:$E231 &gt; 0
    )
  ),
"""")"),"")</f>
        <v/>
      </c>
      <c r="I231" s="14"/>
    </row>
    <row r="232" spans="1:9" ht="15.75" customHeight="1" x14ac:dyDescent="0.25">
      <c r="A232" s="9"/>
      <c r="B232" s="20"/>
      <c r="C232" s="20"/>
      <c r="D232" s="11"/>
      <c r="E232" s="11"/>
      <c r="F232" s="13"/>
      <c r="G232" s="14">
        <f t="shared" si="2"/>
        <v>0</v>
      </c>
      <c r="H232" s="14" t="str">
        <f ca="1">IFERROR(__xludf.DUMMYFUNCTION("IFERROR(
  AVERAGE(
    FILTER(
      $E$2:$E232,
      $A$2:$A232 &gt;= A232 - 30,
      $A$2:$A232 &lt;= A232,
      $E$2:$E232 &gt; 0
    )
  ),
"""")"),"")</f>
        <v/>
      </c>
      <c r="I232" s="14"/>
    </row>
    <row r="233" spans="1:9" ht="15.75" customHeight="1" x14ac:dyDescent="0.25">
      <c r="A233" s="9"/>
      <c r="B233" s="20"/>
      <c r="C233" s="20"/>
      <c r="D233" s="11"/>
      <c r="E233" s="11"/>
      <c r="F233" s="13"/>
      <c r="G233" s="14">
        <f t="shared" si="2"/>
        <v>0</v>
      </c>
      <c r="H233" s="14" t="str">
        <f ca="1">IFERROR(__xludf.DUMMYFUNCTION("IFERROR(
  AVERAGE(
    FILTER(
      $E$2:$E233,
      $A$2:$A233 &gt;= A233 - 30,
      $A$2:$A233 &lt;= A233,
      $E$2:$E233 &gt; 0
    )
  ),
"""")"),"")</f>
        <v/>
      </c>
      <c r="I233" s="14"/>
    </row>
    <row r="234" spans="1:9" ht="15.75" customHeight="1" x14ac:dyDescent="0.25">
      <c r="A234" s="9"/>
      <c r="B234" s="20"/>
      <c r="C234" s="20"/>
      <c r="D234" s="11"/>
      <c r="E234" s="11"/>
      <c r="F234" s="13"/>
      <c r="G234" s="14"/>
      <c r="H234" s="14" t="str">
        <f ca="1">IFERROR(__xludf.DUMMYFUNCTION("IFERROR(
  AVERAGE(
    FILTER(
      $E$2:$E234,
      $A$2:$A234 &gt;= A234 - 30,
      $A$2:$A234 &lt;= A234,
      $E$2:$E234 &gt; 0
    )
  ),
"""")"),"")</f>
        <v/>
      </c>
      <c r="I234" s="14"/>
    </row>
    <row r="235" spans="1:9" ht="15.75" customHeight="1" x14ac:dyDescent="0.25">
      <c r="A235" s="9"/>
      <c r="B235" s="20"/>
      <c r="C235" s="20"/>
      <c r="D235" s="11"/>
      <c r="E235" s="11"/>
      <c r="F235" s="13"/>
      <c r="G235" s="14"/>
      <c r="H235" s="14" t="str">
        <f ca="1">IFERROR(__xludf.DUMMYFUNCTION("IFERROR(
  AVERAGE(
    FILTER(
      $E$2:$E235,
      $A$2:$A235 &gt;= A235 - 30,
      $A$2:$A235 &lt;= A235,
      $E$2:$E235 &gt; 0
    )
  ),
"""")"),"")</f>
        <v/>
      </c>
      <c r="I235" s="14"/>
    </row>
    <row r="236" spans="1:9" ht="15.75" customHeight="1" x14ac:dyDescent="0.25">
      <c r="A236" s="9"/>
      <c r="B236" s="20"/>
      <c r="C236" s="20"/>
      <c r="D236" s="11"/>
      <c r="E236" s="11"/>
      <c r="F236" s="13"/>
      <c r="G236" s="14"/>
      <c r="H236" s="14" t="str">
        <f ca="1">IFERROR(__xludf.DUMMYFUNCTION("IFERROR(
  AVERAGE(
    FILTER(
      $E$2:$E236,
      $A$2:$A236 &gt;= A236 - 30,
      $A$2:$A236 &lt;= A236,
      $E$2:$E236 &gt; 0
    )
  ),
"""")"),"")</f>
        <v/>
      </c>
      <c r="I236" s="14"/>
    </row>
    <row r="237" spans="1:9" ht="15.75" customHeight="1" x14ac:dyDescent="0.25">
      <c r="A237" s="9"/>
      <c r="B237" s="20"/>
      <c r="C237" s="20"/>
      <c r="D237" s="11"/>
      <c r="E237" s="11"/>
      <c r="F237" s="13"/>
      <c r="G237" s="14"/>
      <c r="H237" s="14" t="str">
        <f ca="1">IFERROR(__xludf.DUMMYFUNCTION("IFERROR(
  AVERAGE(
    FILTER(
      $E$2:$E237,
      $A$2:$A237 &gt;= A237 - 30,
      $A$2:$A237 &lt;= A237,
      $E$2:$E237 &gt; 0
    )
  ),
"""")"),"")</f>
        <v/>
      </c>
      <c r="I237" s="14"/>
    </row>
    <row r="238" spans="1:9" ht="15.75" customHeight="1" x14ac:dyDescent="0.25">
      <c r="A238" s="9"/>
      <c r="B238" s="20"/>
      <c r="C238" s="20"/>
      <c r="D238" s="11"/>
      <c r="E238" s="11"/>
      <c r="F238" s="13"/>
      <c r="G238" s="14"/>
      <c r="H238" s="14" t="str">
        <f ca="1">IFERROR(__xludf.DUMMYFUNCTION("IFERROR(
  AVERAGE(
    FILTER(
      $E$2:$E238,
      $A$2:$A238 &gt;= A238 - 30,
      $A$2:$A238 &lt;= A238,
      $E$2:$E238 &gt; 0
    )
  ),
"""")"),"")</f>
        <v/>
      </c>
      <c r="I238" s="14"/>
    </row>
    <row r="239" spans="1:9" ht="15.75" customHeight="1" x14ac:dyDescent="0.25">
      <c r="A239" s="9"/>
      <c r="B239" s="20"/>
      <c r="C239" s="20"/>
      <c r="D239" s="11"/>
      <c r="E239" s="11"/>
      <c r="F239" s="13"/>
      <c r="G239" s="14"/>
      <c r="H239" s="14" t="str">
        <f ca="1">IFERROR(__xludf.DUMMYFUNCTION("IFERROR(
  AVERAGE(
    FILTER(
      $E$2:$E239,
      $A$2:$A239 &gt;= A239 - 30,
      $A$2:$A239 &lt;= A239,
      $E$2:$E239 &gt; 0
    )
  ),
"""")"),"")</f>
        <v/>
      </c>
      <c r="I239" s="14"/>
    </row>
    <row r="240" spans="1:9" ht="15.75" customHeight="1" x14ac:dyDescent="0.25">
      <c r="A240" s="9"/>
      <c r="B240" s="20"/>
      <c r="C240" s="20"/>
      <c r="D240" s="11"/>
      <c r="E240" s="11"/>
      <c r="F240" s="13"/>
      <c r="G240" s="14"/>
      <c r="H240" s="14" t="str">
        <f ca="1">IFERROR(__xludf.DUMMYFUNCTION("IFERROR(
  AVERAGE(
    FILTER(
      $E$2:$E240,
      $A$2:$A240 &gt;= A240 - 30,
      $A$2:$A240 &lt;= A240,
      $E$2:$E240 &gt; 0
    )
  ),
"""")"),"")</f>
        <v/>
      </c>
      <c r="I240" s="14"/>
    </row>
    <row r="241" spans="1:9" ht="15.75" customHeight="1" x14ac:dyDescent="0.25">
      <c r="A241" s="9"/>
      <c r="B241" s="20"/>
      <c r="C241" s="20"/>
      <c r="D241" s="11"/>
      <c r="E241" s="11"/>
      <c r="F241" s="13"/>
      <c r="G241" s="14"/>
      <c r="H241" s="14" t="str">
        <f ca="1">IFERROR(__xludf.DUMMYFUNCTION("IFERROR(
  AVERAGE(
    FILTER(
      $E$2:$E241,
      $A$2:$A241 &gt;= A241 - 30,
      $A$2:$A241 &lt;= A241,
      $E$2:$E241 &gt; 0
    )
  ),
"""")"),"")</f>
        <v/>
      </c>
      <c r="I241" s="14"/>
    </row>
    <row r="242" spans="1:9" ht="15.75" customHeight="1" x14ac:dyDescent="0.25">
      <c r="A242" s="9"/>
      <c r="B242" s="20"/>
      <c r="C242" s="20"/>
      <c r="D242" s="11"/>
      <c r="E242" s="11"/>
      <c r="F242" s="13"/>
      <c r="G242" s="14"/>
      <c r="H242" s="14" t="str">
        <f ca="1">IFERROR(__xludf.DUMMYFUNCTION("IFERROR(
  AVERAGE(
    FILTER(
      $E$2:$E242,
      $A$2:$A242 &gt;= A242 - 30,
      $A$2:$A242 &lt;= A242,
      $E$2:$E242 &gt; 0
    )
  ),
"""")"),"")</f>
        <v/>
      </c>
      <c r="I242" s="14"/>
    </row>
    <row r="243" spans="1:9" ht="15.75" customHeight="1" x14ac:dyDescent="0.25">
      <c r="A243" s="9"/>
      <c r="B243" s="20"/>
      <c r="C243" s="20"/>
      <c r="D243" s="11"/>
      <c r="E243" s="11"/>
      <c r="F243" s="13"/>
      <c r="G243" s="14"/>
      <c r="H243" s="14" t="str">
        <f ca="1">IFERROR(__xludf.DUMMYFUNCTION("IFERROR(
  AVERAGE(
    FILTER(
      $E$2:$E243,
      $A$2:$A243 &gt;= A243 - 30,
      $A$2:$A243 &lt;= A243,
      $E$2:$E243 &gt; 0
    )
  ),
"""")"),"")</f>
        <v/>
      </c>
      <c r="I243" s="14"/>
    </row>
    <row r="244" spans="1:9" ht="15.75" customHeight="1" x14ac:dyDescent="0.25">
      <c r="A244" s="9"/>
      <c r="B244" s="20"/>
      <c r="C244" s="20"/>
      <c r="D244" s="11"/>
      <c r="E244" s="11"/>
      <c r="F244" s="13"/>
      <c r="G244" s="14"/>
      <c r="H244" s="14" t="str">
        <f ca="1">IFERROR(__xludf.DUMMYFUNCTION("IFERROR(
  AVERAGE(
    FILTER(
      $E$2:$E244,
      $A$2:$A244 &gt;= A244 - 30,
      $A$2:$A244 &lt;= A244,
      $E$2:$E244 &gt; 0
    )
  ),
"""")"),"")</f>
        <v/>
      </c>
      <c r="I244" s="14"/>
    </row>
    <row r="245" spans="1:9" ht="15.75" customHeight="1" x14ac:dyDescent="0.25">
      <c r="A245" s="9"/>
      <c r="B245" s="20"/>
      <c r="C245" s="20"/>
      <c r="D245" s="11"/>
      <c r="E245" s="11"/>
      <c r="F245" s="13"/>
      <c r="G245" s="14"/>
      <c r="H245" s="14" t="str">
        <f ca="1">IFERROR(__xludf.DUMMYFUNCTION("IFERROR(
  AVERAGE(
    FILTER(
      $E$2:$E245,
      $A$2:$A245 &gt;= A245 - 30,
      $A$2:$A245 &lt;= A245,
      $E$2:$E245 &gt; 0
    )
  ),
"""")"),"")</f>
        <v/>
      </c>
      <c r="I245" s="14"/>
    </row>
    <row r="246" spans="1:9" ht="15.75" customHeight="1" x14ac:dyDescent="0.25">
      <c r="A246" s="9"/>
      <c r="B246" s="20"/>
      <c r="C246" s="20"/>
      <c r="D246" s="11"/>
      <c r="E246" s="11"/>
      <c r="F246" s="13"/>
      <c r="G246" s="14"/>
      <c r="H246" s="14" t="str">
        <f ca="1">IFERROR(__xludf.DUMMYFUNCTION("IFERROR(
  AVERAGE(
    FILTER(
      $E$2:$E246,
      $A$2:$A246 &gt;= A246 - 30,
      $A$2:$A246 &lt;= A246,
      $E$2:$E246 &gt; 0
    )
  ),
"""")"),"")</f>
        <v/>
      </c>
      <c r="I246" s="14"/>
    </row>
    <row r="247" spans="1:9" ht="15.75" customHeight="1" x14ac:dyDescent="0.25">
      <c r="A247" s="9"/>
      <c r="B247" s="20"/>
      <c r="C247" s="20"/>
      <c r="D247" s="11"/>
      <c r="E247" s="11"/>
      <c r="F247" s="13"/>
      <c r="G247" s="14"/>
      <c r="H247" s="14" t="str">
        <f ca="1">IFERROR(__xludf.DUMMYFUNCTION("IFERROR(
  AVERAGE(
    FILTER(
      $E$2:$E247,
      $A$2:$A247 &gt;= A247 - 30,
      $A$2:$A247 &lt;= A247,
      $E$2:$E247 &gt; 0
    )
  ),
"""")"),"")</f>
        <v/>
      </c>
      <c r="I247" s="14"/>
    </row>
    <row r="248" spans="1:9" ht="15.75" customHeight="1" x14ac:dyDescent="0.25">
      <c r="A248" s="9"/>
      <c r="B248" s="20"/>
      <c r="C248" s="20"/>
      <c r="D248" s="11"/>
      <c r="E248" s="11"/>
      <c r="F248" s="13"/>
      <c r="G248" s="14"/>
      <c r="H248" s="14" t="str">
        <f ca="1">IFERROR(__xludf.DUMMYFUNCTION("IFERROR(
  AVERAGE(
    FILTER(
      $E$2:$E248,
      $A$2:$A248 &gt;= A248 - 30,
      $A$2:$A248 &lt;= A248,
      $E$2:$E248 &gt; 0
    )
  ),
"""")"),"")</f>
        <v/>
      </c>
      <c r="I248" s="14"/>
    </row>
    <row r="249" spans="1:9" ht="15.75" customHeight="1" x14ac:dyDescent="0.25">
      <c r="A249" s="9"/>
      <c r="B249" s="20"/>
      <c r="C249" s="20"/>
      <c r="D249" s="11"/>
      <c r="E249" s="11"/>
      <c r="F249" s="13"/>
      <c r="G249" s="14"/>
      <c r="H249" s="14" t="str">
        <f ca="1">IFERROR(__xludf.DUMMYFUNCTION("IFERROR(
  AVERAGE(
    FILTER(
      $E$2:$E249,
      $A$2:$A249 &gt;= A249 - 30,
      $A$2:$A249 &lt;= A249,
      $E$2:$E249 &gt; 0
    )
  ),
"""")"),"")</f>
        <v/>
      </c>
      <c r="I249" s="14"/>
    </row>
    <row r="250" spans="1:9" ht="15.75" customHeight="1" x14ac:dyDescent="0.25">
      <c r="A250" s="9"/>
      <c r="B250" s="20"/>
      <c r="C250" s="20"/>
      <c r="D250" s="11"/>
      <c r="E250" s="11"/>
      <c r="F250" s="13"/>
      <c r="G250" s="14"/>
      <c r="H250" s="14" t="str">
        <f ca="1">IFERROR(__xludf.DUMMYFUNCTION("IFERROR(
  AVERAGE(
    FILTER(
      $E$2:$E250,
      $A$2:$A250 &gt;= A250 - 30,
      $A$2:$A250 &lt;= A250,
      $E$2:$E250 &gt; 0
    )
  ),
"""")"),"")</f>
        <v/>
      </c>
      <c r="I250" s="14"/>
    </row>
    <row r="251" spans="1:9" ht="15.75" customHeight="1" x14ac:dyDescent="0.25">
      <c r="A251" s="9"/>
      <c r="B251" s="20"/>
      <c r="C251" s="20"/>
      <c r="D251" s="11"/>
      <c r="E251" s="11"/>
      <c r="F251" s="13"/>
      <c r="G251" s="14"/>
      <c r="H251" s="14" t="str">
        <f ca="1">IFERROR(__xludf.DUMMYFUNCTION("IFERROR(
  AVERAGE(
    FILTER(
      $E$2:$E251,
      $A$2:$A251 &gt;= A251 - 30,
      $A$2:$A251 &lt;= A251,
      $E$2:$E251 &gt; 0
    )
  ),
"""")"),"")</f>
        <v/>
      </c>
      <c r="I251" s="14"/>
    </row>
    <row r="252" spans="1:9" ht="15.75" customHeight="1" x14ac:dyDescent="0.25">
      <c r="A252" s="9"/>
      <c r="B252" s="20"/>
      <c r="C252" s="20"/>
      <c r="D252" s="11"/>
      <c r="E252" s="11"/>
      <c r="F252" s="13"/>
      <c r="G252" s="14"/>
      <c r="H252" s="14" t="str">
        <f ca="1">IFERROR(__xludf.DUMMYFUNCTION("IFERROR(
  AVERAGE(
    FILTER(
      $E$2:$E252,
      $A$2:$A252 &gt;= A252 - 30,
      $A$2:$A252 &lt;= A252,
      $E$2:$E252 &gt; 0
    )
  ),
"""")"),"")</f>
        <v/>
      </c>
      <c r="I252" s="14"/>
    </row>
    <row r="253" spans="1:9" ht="15.75" customHeight="1" x14ac:dyDescent="0.25">
      <c r="A253" s="9"/>
      <c r="B253" s="20"/>
      <c r="C253" s="20"/>
      <c r="D253" s="11"/>
      <c r="E253" s="11"/>
      <c r="F253" s="13"/>
      <c r="G253" s="14"/>
      <c r="H253" s="14" t="str">
        <f ca="1">IFERROR(__xludf.DUMMYFUNCTION("IFERROR(
  AVERAGE(
    FILTER(
      $E$2:$E253,
      $A$2:$A253 &gt;= A253 - 30,
      $A$2:$A253 &lt;= A253,
      $E$2:$E253 &gt; 0
    )
  ),
"""")"),"")</f>
        <v/>
      </c>
      <c r="I253" s="14"/>
    </row>
    <row r="254" spans="1:9" ht="15.75" customHeight="1" x14ac:dyDescent="0.25">
      <c r="A254" s="9"/>
      <c r="B254" s="20"/>
      <c r="C254" s="20"/>
      <c r="D254" s="11"/>
      <c r="E254" s="11"/>
      <c r="F254" s="13"/>
      <c r="G254" s="14"/>
      <c r="H254" s="14" t="str">
        <f ca="1">IFERROR(__xludf.DUMMYFUNCTION("IFERROR(
  AVERAGE(
    FILTER(
      $E$2:$E254,
      $A$2:$A254 &gt;= A254 - 30,
      $A$2:$A254 &lt;= A254,
      $E$2:$E254 &gt; 0
    )
  ),
"""")"),"")</f>
        <v/>
      </c>
      <c r="I254" s="14"/>
    </row>
    <row r="255" spans="1:9" ht="15.75" customHeight="1" x14ac:dyDescent="0.25">
      <c r="A255" s="9"/>
      <c r="B255" s="20"/>
      <c r="C255" s="20"/>
      <c r="D255" s="11"/>
      <c r="E255" s="11"/>
      <c r="F255" s="13"/>
      <c r="G255" s="14"/>
      <c r="H255" s="14" t="str">
        <f ca="1">IFERROR(__xludf.DUMMYFUNCTION("IFERROR(
  AVERAGE(
    FILTER(
      $E$2:$E255,
      $A$2:$A255 &gt;= A255 - 30,
      $A$2:$A255 &lt;= A255,
      $E$2:$E255 &gt; 0
    )
  ),
"""")"),"")</f>
        <v/>
      </c>
      <c r="I255" s="14"/>
    </row>
    <row r="256" spans="1:9" ht="15.75" customHeight="1" x14ac:dyDescent="0.25">
      <c r="A256" s="9"/>
      <c r="B256" s="20"/>
      <c r="C256" s="20"/>
      <c r="D256" s="11"/>
      <c r="E256" s="11"/>
      <c r="F256" s="13"/>
      <c r="G256" s="14"/>
      <c r="H256" s="14" t="str">
        <f ca="1">IFERROR(__xludf.DUMMYFUNCTION("IFERROR(
  AVERAGE(
    FILTER(
      $E$2:$E256,
      $A$2:$A256 &gt;= A256 - 30,
      $A$2:$A256 &lt;= A256,
      $E$2:$E256 &gt; 0
    )
  ),
"""")"),"")</f>
        <v/>
      </c>
      <c r="I256" s="14"/>
    </row>
    <row r="257" spans="1:9" ht="15.75" customHeight="1" x14ac:dyDescent="0.25">
      <c r="A257" s="9"/>
      <c r="B257" s="20"/>
      <c r="C257" s="20"/>
      <c r="D257" s="11"/>
      <c r="E257" s="11"/>
      <c r="F257" s="13"/>
      <c r="G257" s="14"/>
      <c r="H257" s="14" t="str">
        <f ca="1">IFERROR(__xludf.DUMMYFUNCTION("IFERROR(
  AVERAGE(
    FILTER(
      $E$2:$E257,
      $A$2:$A257 &gt;= A257 - 30,
      $A$2:$A257 &lt;= A257,
      $E$2:$E257 &gt; 0
    )
  ),
"""")"),"")</f>
        <v/>
      </c>
      <c r="I257" s="14"/>
    </row>
    <row r="258" spans="1:9" ht="15.75" customHeight="1" x14ac:dyDescent="0.25">
      <c r="A258" s="9"/>
      <c r="B258" s="20"/>
      <c r="C258" s="20"/>
      <c r="D258" s="11"/>
      <c r="E258" s="11"/>
      <c r="F258" s="13"/>
      <c r="G258" s="14"/>
      <c r="H258" s="14" t="str">
        <f ca="1">IFERROR(__xludf.DUMMYFUNCTION("IFERROR(
  AVERAGE(
    FILTER(
      $E$2:$E258,
      $A$2:$A258 &gt;= A258 - 30,
      $A$2:$A258 &lt;= A258,
      $E$2:$E258 &gt; 0
    )
  ),
"""")"),"")</f>
        <v/>
      </c>
      <c r="I258" s="14"/>
    </row>
    <row r="259" spans="1:9" ht="15.75" customHeight="1" x14ac:dyDescent="0.25">
      <c r="A259" s="9"/>
      <c r="B259" s="20"/>
      <c r="C259" s="20"/>
      <c r="D259" s="11"/>
      <c r="E259" s="11"/>
      <c r="F259" s="13"/>
      <c r="G259" s="14"/>
      <c r="H259" s="14" t="str">
        <f ca="1">IFERROR(__xludf.DUMMYFUNCTION("IFERROR(
  AVERAGE(
    FILTER(
      $E$2:$E259,
      $A$2:$A259 &gt;= A259 - 30,
      $A$2:$A259 &lt;= A259,
      $E$2:$E259 &gt; 0
    )
  ),
"""")"),"")</f>
        <v/>
      </c>
      <c r="I259" s="14"/>
    </row>
    <row r="260" spans="1:9" ht="15.75" customHeight="1" x14ac:dyDescent="0.25">
      <c r="A260" s="9"/>
      <c r="B260" s="20"/>
      <c r="C260" s="20"/>
      <c r="D260" s="11"/>
      <c r="E260" s="11"/>
      <c r="F260" s="13"/>
      <c r="G260" s="14"/>
      <c r="H260" s="14" t="str">
        <f ca="1">IFERROR(__xludf.DUMMYFUNCTION("IFERROR(
  AVERAGE(
    FILTER(
      $E$2:$E260,
      $A$2:$A260 &gt;= A260 - 30,
      $A$2:$A260 &lt;= A260,
      $E$2:$E260 &gt; 0
    )
  ),
"""")"),"")</f>
        <v/>
      </c>
      <c r="I260" s="14"/>
    </row>
    <row r="261" spans="1:9" ht="15.75" customHeight="1" x14ac:dyDescent="0.25">
      <c r="A261" s="9"/>
      <c r="B261" s="20"/>
      <c r="C261" s="20"/>
      <c r="D261" s="11"/>
      <c r="E261" s="11"/>
      <c r="F261" s="13"/>
      <c r="G261" s="14"/>
      <c r="H261" s="14" t="str">
        <f ca="1">IFERROR(__xludf.DUMMYFUNCTION("IFERROR(
  AVERAGE(
    FILTER(
      $E$2:$E261,
      $A$2:$A261 &gt;= A261 - 30,
      $A$2:$A261 &lt;= A261,
      $E$2:$E261 &gt; 0
    )
  ),
"""")"),"")</f>
        <v/>
      </c>
      <c r="I261" s="14"/>
    </row>
    <row r="262" spans="1:9" ht="15.75" customHeight="1" x14ac:dyDescent="0.25">
      <c r="A262" s="9"/>
      <c r="B262" s="20"/>
      <c r="C262" s="20"/>
      <c r="D262" s="11"/>
      <c r="E262" s="11"/>
      <c r="F262" s="13"/>
      <c r="G262" s="14"/>
      <c r="H262" s="14" t="str">
        <f ca="1">IFERROR(__xludf.DUMMYFUNCTION("IFERROR(
  AVERAGE(
    FILTER(
      $E$2:$E262,
      $A$2:$A262 &gt;= A262 - 30,
      $A$2:$A262 &lt;= A262,
      $E$2:$E262 &gt; 0
    )
  ),
"""")"),"")</f>
        <v/>
      </c>
      <c r="I262" s="14"/>
    </row>
    <row r="263" spans="1:9" ht="15.75" customHeight="1" x14ac:dyDescent="0.25">
      <c r="A263" s="9"/>
      <c r="B263" s="20"/>
      <c r="C263" s="20"/>
      <c r="D263" s="11"/>
      <c r="E263" s="11"/>
      <c r="F263" s="13"/>
      <c r="G263" s="14"/>
      <c r="H263" s="14" t="str">
        <f ca="1">IFERROR(__xludf.DUMMYFUNCTION("IFERROR(
  AVERAGE(
    FILTER(
      $E$2:$E263,
      $A$2:$A263 &gt;= A263 - 30,
      $A$2:$A263 &lt;= A263,
      $E$2:$E263 &gt; 0
    )
  ),
"""")"),"")</f>
        <v/>
      </c>
      <c r="I263" s="14"/>
    </row>
    <row r="264" spans="1:9" ht="15.75" customHeight="1" x14ac:dyDescent="0.25">
      <c r="A264" s="9"/>
      <c r="B264" s="20"/>
      <c r="C264" s="20"/>
      <c r="D264" s="11"/>
      <c r="E264" s="11"/>
      <c r="F264" s="13"/>
      <c r="G264" s="14"/>
      <c r="H264" s="14" t="str">
        <f ca="1">IFERROR(__xludf.DUMMYFUNCTION("IFERROR(
  AVERAGE(
    FILTER(
      $E$2:$E264,
      $A$2:$A264 &gt;= A264 - 30,
      $A$2:$A264 &lt;= A264,
      $E$2:$E264 &gt; 0
    )
  ),
"""")"),"")</f>
        <v/>
      </c>
      <c r="I264" s="14"/>
    </row>
    <row r="265" spans="1:9" ht="15.75" customHeight="1" x14ac:dyDescent="0.25">
      <c r="A265" s="9"/>
      <c r="B265" s="20"/>
      <c r="C265" s="20"/>
      <c r="D265" s="11"/>
      <c r="E265" s="11"/>
      <c r="F265" s="13"/>
      <c r="G265" s="14"/>
      <c r="H265" s="14" t="str">
        <f ca="1">IFERROR(__xludf.DUMMYFUNCTION("IFERROR(
  AVERAGE(
    FILTER(
      $E$2:$E265,
      $A$2:$A265 &gt;= A265 - 30,
      $A$2:$A265 &lt;= A265,
      $E$2:$E265 &gt; 0
    )
  ),
"""")"),"")</f>
        <v/>
      </c>
      <c r="I265" s="14"/>
    </row>
    <row r="266" spans="1:9" ht="15.75" customHeight="1" x14ac:dyDescent="0.25">
      <c r="A266" s="9"/>
      <c r="B266" s="20"/>
      <c r="C266" s="20"/>
      <c r="D266" s="11"/>
      <c r="E266" s="11"/>
      <c r="F266" s="13"/>
      <c r="G266" s="14"/>
      <c r="H266" s="14" t="str">
        <f ca="1">IFERROR(__xludf.DUMMYFUNCTION("IFERROR(
  AVERAGE(
    FILTER(
      $E$2:$E266,
      $A$2:$A266 &gt;= A266 - 30,
      $A$2:$A266 &lt;= A266,
      $E$2:$E266 &gt; 0
    )
  ),
"""")"),"")</f>
        <v/>
      </c>
      <c r="I266" s="14"/>
    </row>
    <row r="267" spans="1:9" ht="15.75" customHeight="1" x14ac:dyDescent="0.25">
      <c r="A267" s="9"/>
      <c r="B267" s="20"/>
      <c r="C267" s="20"/>
      <c r="D267" s="11"/>
      <c r="E267" s="11"/>
      <c r="F267" s="13"/>
      <c r="G267" s="14"/>
      <c r="H267" s="14" t="str">
        <f ca="1">IFERROR(__xludf.DUMMYFUNCTION("IFERROR(
  AVERAGE(
    FILTER(
      $E$2:$E267,
      $A$2:$A267 &gt;= A267 - 30,
      $A$2:$A267 &lt;= A267,
      $E$2:$E267 &gt; 0
    )
  ),
"""")"),"")</f>
        <v/>
      </c>
      <c r="I267" s="14"/>
    </row>
    <row r="268" spans="1:9" ht="15.75" customHeight="1" x14ac:dyDescent="0.25">
      <c r="A268" s="9"/>
      <c r="B268" s="20"/>
      <c r="C268" s="20"/>
      <c r="D268" s="11"/>
      <c r="E268" s="11"/>
      <c r="F268" s="13"/>
      <c r="G268" s="14"/>
      <c r="H268" s="14" t="str">
        <f ca="1">IFERROR(__xludf.DUMMYFUNCTION("IFERROR(
  AVERAGE(
    FILTER(
      $E$2:$E268,
      $A$2:$A268 &gt;= A268 - 30,
      $A$2:$A268 &lt;= A268,
      $E$2:$E268 &gt; 0
    )
  ),
"""")"),"")</f>
        <v/>
      </c>
      <c r="I268" s="14"/>
    </row>
    <row r="269" spans="1:9" ht="15.75" customHeight="1" x14ac:dyDescent="0.25">
      <c r="A269" s="9"/>
      <c r="B269" s="20"/>
      <c r="C269" s="20"/>
      <c r="D269" s="11"/>
      <c r="E269" s="11"/>
      <c r="F269" s="13"/>
      <c r="G269" s="14"/>
      <c r="H269" s="14" t="str">
        <f ca="1">IFERROR(__xludf.DUMMYFUNCTION("IFERROR(
  AVERAGE(
    FILTER(
      $E$2:$E269,
      $A$2:$A269 &gt;= A269 - 30,
      $A$2:$A269 &lt;= A269,
      $E$2:$E269 &gt; 0
    )
  ),
"""")"),"")</f>
        <v/>
      </c>
      <c r="I269" s="14"/>
    </row>
    <row r="270" spans="1:9" ht="15.75" customHeight="1" x14ac:dyDescent="0.25">
      <c r="A270" s="9"/>
      <c r="B270" s="20"/>
      <c r="C270" s="20"/>
      <c r="D270" s="11"/>
      <c r="E270" s="11"/>
      <c r="F270" s="13"/>
      <c r="G270" s="14"/>
      <c r="H270" s="14" t="str">
        <f ca="1">IFERROR(__xludf.DUMMYFUNCTION("IFERROR(
  AVERAGE(
    FILTER(
      $E$2:$E270,
      $A$2:$A270 &gt;= A270 - 30,
      $A$2:$A270 &lt;= A270,
      $E$2:$E270 &gt; 0
    )
  ),
"""")"),"")</f>
        <v/>
      </c>
      <c r="I270" s="14"/>
    </row>
    <row r="271" spans="1:9" ht="15.75" customHeight="1" x14ac:dyDescent="0.25">
      <c r="A271" s="9"/>
      <c r="B271" s="20"/>
      <c r="C271" s="20"/>
      <c r="D271" s="11"/>
      <c r="E271" s="11"/>
      <c r="F271" s="13"/>
      <c r="G271" s="14"/>
      <c r="H271" s="14" t="str">
        <f ca="1">IFERROR(__xludf.DUMMYFUNCTION("IFERROR(
  AVERAGE(
    FILTER(
      $E$2:$E271,
      $A$2:$A271 &gt;= A271 - 30,
      $A$2:$A271 &lt;= A271,
      $E$2:$E271 &gt; 0
    )
  ),
"""")"),"")</f>
        <v/>
      </c>
      <c r="I271" s="14"/>
    </row>
    <row r="272" spans="1:9" ht="15.75" customHeight="1" x14ac:dyDescent="0.25">
      <c r="A272" s="9"/>
      <c r="B272" s="20"/>
      <c r="C272" s="20"/>
      <c r="D272" s="11"/>
      <c r="E272" s="11"/>
      <c r="F272" s="13"/>
      <c r="G272" s="14"/>
      <c r="H272" s="14" t="str">
        <f ca="1">IFERROR(__xludf.DUMMYFUNCTION("IFERROR(
  AVERAGE(
    FILTER(
      $E$2:$E272,
      $A$2:$A272 &gt;= A272 - 30,
      $A$2:$A272 &lt;= A272,
      $E$2:$E272 &gt; 0
    )
  ),
"""")"),"")</f>
        <v/>
      </c>
      <c r="I272" s="14"/>
    </row>
    <row r="273" spans="1:9" ht="15.75" customHeight="1" x14ac:dyDescent="0.25">
      <c r="A273" s="9"/>
      <c r="B273" s="20"/>
      <c r="C273" s="20"/>
      <c r="D273" s="11"/>
      <c r="E273" s="11"/>
      <c r="F273" s="13"/>
      <c r="G273" s="14"/>
      <c r="H273" s="14" t="str">
        <f ca="1">IFERROR(__xludf.DUMMYFUNCTION("IFERROR(
  AVERAGE(
    FILTER(
      $E$2:$E273,
      $A$2:$A273 &gt;= A273 - 30,
      $A$2:$A273 &lt;= A273,
      $E$2:$E273 &gt; 0
    )
  ),
"""")"),"")</f>
        <v/>
      </c>
      <c r="I273" s="14"/>
    </row>
    <row r="274" spans="1:9" ht="15.75" customHeight="1" x14ac:dyDescent="0.25">
      <c r="A274" s="9"/>
      <c r="B274" s="20"/>
      <c r="C274" s="20"/>
      <c r="D274" s="11"/>
      <c r="E274" s="11"/>
      <c r="F274" s="13"/>
      <c r="G274" s="14"/>
      <c r="H274" s="14" t="str">
        <f ca="1">IFERROR(__xludf.DUMMYFUNCTION("IFERROR(
  AVERAGE(
    FILTER(
      $E$2:$E274,
      $A$2:$A274 &gt;= A274 - 30,
      $A$2:$A274 &lt;= A274,
      $E$2:$E274 &gt; 0
    )
  ),
"""")"),"")</f>
        <v/>
      </c>
      <c r="I274" s="14"/>
    </row>
    <row r="275" spans="1:9" ht="15.75" customHeight="1" x14ac:dyDescent="0.25">
      <c r="A275" s="9"/>
      <c r="B275" s="20"/>
      <c r="C275" s="20"/>
      <c r="D275" s="11"/>
      <c r="E275" s="11"/>
      <c r="F275" s="13"/>
      <c r="G275" s="14"/>
      <c r="H275" s="14" t="str">
        <f ca="1">IFERROR(__xludf.DUMMYFUNCTION("IFERROR(
  AVERAGE(
    FILTER(
      $E$2:$E275,
      $A$2:$A275 &gt;= A275 - 30,
      $A$2:$A275 &lt;= A275,
      $E$2:$E275 &gt; 0
    )
  ),
"""")"),"")</f>
        <v/>
      </c>
      <c r="I275" s="14"/>
    </row>
    <row r="276" spans="1:9" ht="15.75" customHeight="1" x14ac:dyDescent="0.25">
      <c r="A276" s="9"/>
      <c r="B276" s="20"/>
      <c r="C276" s="20"/>
      <c r="D276" s="11"/>
      <c r="E276" s="11"/>
      <c r="F276" s="13"/>
      <c r="G276" s="14"/>
      <c r="H276" s="14" t="str">
        <f ca="1">IFERROR(__xludf.DUMMYFUNCTION("IFERROR(
  AVERAGE(
    FILTER(
      $E$2:$E276,
      $A$2:$A276 &gt;= A276 - 30,
      $A$2:$A276 &lt;= A276,
      $E$2:$E276 &gt; 0
    )
  ),
"""")"),"")</f>
        <v/>
      </c>
      <c r="I276" s="14"/>
    </row>
    <row r="277" spans="1:9" ht="15.75" customHeight="1" x14ac:dyDescent="0.25">
      <c r="A277" s="9"/>
      <c r="B277" s="20"/>
      <c r="C277" s="20"/>
      <c r="D277" s="11"/>
      <c r="E277" s="11"/>
      <c r="F277" s="13"/>
      <c r="G277" s="14"/>
      <c r="H277" s="14" t="str">
        <f ca="1">IFERROR(__xludf.DUMMYFUNCTION("IFERROR(
  AVERAGE(
    FILTER(
      $E$2:$E277,
      $A$2:$A277 &gt;= A277 - 30,
      $A$2:$A277 &lt;= A277,
      $E$2:$E277 &gt; 0
    )
  ),
"""")"),"")</f>
        <v/>
      </c>
      <c r="I277" s="14"/>
    </row>
    <row r="278" spans="1:9" ht="15.75" customHeight="1" x14ac:dyDescent="0.25">
      <c r="A278" s="9"/>
      <c r="B278" s="20"/>
      <c r="C278" s="20"/>
      <c r="D278" s="11"/>
      <c r="E278" s="11"/>
      <c r="F278" s="13"/>
      <c r="G278" s="14"/>
      <c r="H278" s="14" t="str">
        <f ca="1">IFERROR(__xludf.DUMMYFUNCTION("IFERROR(
  AVERAGE(
    FILTER(
      $E$2:$E278,
      $A$2:$A278 &gt;= A278 - 30,
      $A$2:$A278 &lt;= A278,
      $E$2:$E278 &gt; 0
    )
  ),
"""")"),"")</f>
        <v/>
      </c>
      <c r="I278" s="14"/>
    </row>
    <row r="279" spans="1:9" ht="15.75" customHeight="1" x14ac:dyDescent="0.25">
      <c r="A279" s="9"/>
      <c r="B279" s="20"/>
      <c r="C279" s="20"/>
      <c r="D279" s="11"/>
      <c r="E279" s="11"/>
      <c r="F279" s="13"/>
      <c r="G279" s="14"/>
      <c r="H279" s="14" t="str">
        <f ca="1">IFERROR(__xludf.DUMMYFUNCTION("IFERROR(
  AVERAGE(
    FILTER(
      $E$2:$E279,
      $A$2:$A279 &gt;= A279 - 30,
      $A$2:$A279 &lt;= A279,
      $E$2:$E279 &gt; 0
    )
  ),
"""")"),"")</f>
        <v/>
      </c>
      <c r="I279" s="14"/>
    </row>
    <row r="280" spans="1:9" ht="15.75" customHeight="1" x14ac:dyDescent="0.25">
      <c r="A280" s="9"/>
      <c r="B280" s="20"/>
      <c r="C280" s="20"/>
      <c r="D280" s="11"/>
      <c r="E280" s="11"/>
      <c r="F280" s="13"/>
      <c r="G280" s="14"/>
      <c r="H280" s="14" t="str">
        <f ca="1">IFERROR(__xludf.DUMMYFUNCTION("IFERROR(
  AVERAGE(
    FILTER(
      $E$2:$E280,
      $A$2:$A280 &gt;= A280 - 30,
      $A$2:$A280 &lt;= A280,
      $E$2:$E280 &gt; 0
    )
  ),
"""")"),"")</f>
        <v/>
      </c>
      <c r="I280" s="14"/>
    </row>
    <row r="281" spans="1:9" ht="15.75" customHeight="1" x14ac:dyDescent="0.25">
      <c r="A281" s="9"/>
      <c r="B281" s="20"/>
      <c r="C281" s="20"/>
      <c r="D281" s="11"/>
      <c r="E281" s="11"/>
      <c r="F281" s="13"/>
      <c r="G281" s="14"/>
      <c r="H281" s="14" t="str">
        <f ca="1">IFERROR(__xludf.DUMMYFUNCTION("IFERROR(
  AVERAGE(
    FILTER(
      $E$2:$E281,
      $A$2:$A281 &gt;= A281 - 30,
      $A$2:$A281 &lt;= A281,
      $E$2:$E281 &gt; 0
    )
  ),
"""")"),"")</f>
        <v/>
      </c>
      <c r="I281" s="14"/>
    </row>
    <row r="282" spans="1:9" ht="15.75" customHeight="1" x14ac:dyDescent="0.25">
      <c r="A282" s="9"/>
      <c r="B282" s="20"/>
      <c r="C282" s="20"/>
      <c r="D282" s="11"/>
      <c r="E282" s="11"/>
      <c r="F282" s="13"/>
      <c r="G282" s="14"/>
      <c r="H282" s="14" t="str">
        <f ca="1">IFERROR(__xludf.DUMMYFUNCTION("IFERROR(
  AVERAGE(
    FILTER(
      $E$2:$E282,
      $A$2:$A282 &gt;= A282 - 30,
      $A$2:$A282 &lt;= A282,
      $E$2:$E282 &gt; 0
    )
  ),
"""")"),"")</f>
        <v/>
      </c>
      <c r="I282" s="14"/>
    </row>
    <row r="283" spans="1:9" ht="15.75" customHeight="1" x14ac:dyDescent="0.25">
      <c r="A283" s="9"/>
      <c r="B283" s="20"/>
      <c r="C283" s="20"/>
      <c r="D283" s="11"/>
      <c r="E283" s="11"/>
      <c r="F283" s="13"/>
      <c r="G283" s="14"/>
      <c r="H283" s="14" t="str">
        <f ca="1">IFERROR(__xludf.DUMMYFUNCTION("IFERROR(
  AVERAGE(
    FILTER(
      $E$2:$E283,
      $A$2:$A283 &gt;= A283 - 30,
      $A$2:$A283 &lt;= A283,
      $E$2:$E283 &gt; 0
    )
  ),
"""")"),"")</f>
        <v/>
      </c>
      <c r="I283" s="14"/>
    </row>
    <row r="284" spans="1:9" ht="15.75" customHeight="1" x14ac:dyDescent="0.25">
      <c r="A284" s="9"/>
      <c r="B284" s="20"/>
      <c r="C284" s="20"/>
      <c r="D284" s="11"/>
      <c r="E284" s="11"/>
      <c r="F284" s="13"/>
      <c r="G284" s="14"/>
      <c r="H284" s="14" t="str">
        <f ca="1">IFERROR(__xludf.DUMMYFUNCTION("IFERROR(
  AVERAGE(
    FILTER(
      $E$2:$E284,
      $A$2:$A284 &gt;= A284 - 30,
      $A$2:$A284 &lt;= A284,
      $E$2:$E284 &gt; 0
    )
  ),
"""")"),"")</f>
        <v/>
      </c>
      <c r="I284" s="14"/>
    </row>
    <row r="285" spans="1:9" ht="15.75" customHeight="1" x14ac:dyDescent="0.25">
      <c r="A285" s="9"/>
      <c r="B285" s="20"/>
      <c r="C285" s="20"/>
      <c r="D285" s="11"/>
      <c r="E285" s="11"/>
      <c r="F285" s="13"/>
      <c r="G285" s="14"/>
      <c r="H285" s="14" t="str">
        <f ca="1">IFERROR(__xludf.DUMMYFUNCTION("IFERROR(
  AVERAGE(
    FILTER(
      $E$2:$E285,
      $A$2:$A285 &gt;= A285 - 30,
      $A$2:$A285 &lt;= A285,
      $E$2:$E285 &gt; 0
    )
  ),
"""")"),"")</f>
        <v/>
      </c>
      <c r="I285" s="14"/>
    </row>
    <row r="286" spans="1:9" ht="15.75" customHeight="1" x14ac:dyDescent="0.25">
      <c r="A286" s="9"/>
      <c r="B286" s="20"/>
      <c r="C286" s="20"/>
      <c r="D286" s="11"/>
      <c r="E286" s="11"/>
      <c r="F286" s="13"/>
      <c r="G286" s="14"/>
      <c r="H286" s="14" t="str">
        <f ca="1">IFERROR(__xludf.DUMMYFUNCTION("IFERROR(
  AVERAGE(
    FILTER(
      $E$2:$E286,
      $A$2:$A286 &gt;= A286 - 30,
      $A$2:$A286 &lt;= A286,
      $E$2:$E286 &gt; 0
    )
  ),
"""")"),"")</f>
        <v/>
      </c>
      <c r="I286" s="14"/>
    </row>
    <row r="287" spans="1:9" ht="15.75" customHeight="1" x14ac:dyDescent="0.25">
      <c r="A287" s="9"/>
      <c r="B287" s="20"/>
      <c r="C287" s="20"/>
      <c r="D287" s="11"/>
      <c r="E287" s="11"/>
      <c r="F287" s="13"/>
      <c r="G287" s="14"/>
      <c r="H287" s="14" t="str">
        <f ca="1">IFERROR(__xludf.DUMMYFUNCTION("IFERROR(
  AVERAGE(
    FILTER(
      $E$2:$E287,
      $A$2:$A287 &gt;= A287 - 30,
      $A$2:$A287 &lt;= A287,
      $E$2:$E287 &gt; 0
    )
  ),
"""")"),"")</f>
        <v/>
      </c>
      <c r="I287" s="14"/>
    </row>
    <row r="288" spans="1:9" ht="15.75" customHeight="1" x14ac:dyDescent="0.25">
      <c r="A288" s="9"/>
      <c r="B288" s="20"/>
      <c r="C288" s="20"/>
      <c r="D288" s="11"/>
      <c r="E288" s="11"/>
      <c r="F288" s="13"/>
      <c r="G288" s="14"/>
      <c r="H288" s="14" t="str">
        <f ca="1">IFERROR(__xludf.DUMMYFUNCTION("IFERROR(
  AVERAGE(
    FILTER(
      $E$2:$E288,
      $A$2:$A288 &gt;= A288 - 30,
      $A$2:$A288 &lt;= A288,
      $E$2:$E288 &gt; 0
    )
  ),
"""")"),"")</f>
        <v/>
      </c>
      <c r="I288" s="14"/>
    </row>
    <row r="289" spans="1:9" ht="15.75" customHeight="1" x14ac:dyDescent="0.25">
      <c r="A289" s="9"/>
      <c r="B289" s="20"/>
      <c r="C289" s="20"/>
      <c r="D289" s="11"/>
      <c r="E289" s="11"/>
      <c r="F289" s="13"/>
      <c r="G289" s="14"/>
      <c r="H289" s="14" t="str">
        <f ca="1">IFERROR(__xludf.DUMMYFUNCTION("IFERROR(
  AVERAGE(
    FILTER(
      $E$2:$E289,
      $A$2:$A289 &gt;= A289 - 30,
      $A$2:$A289 &lt;= A289,
      $E$2:$E289 &gt; 0
    )
  ),
"""")"),"")</f>
        <v/>
      </c>
      <c r="I289" s="14"/>
    </row>
    <row r="290" spans="1:9" ht="15.75" customHeight="1" x14ac:dyDescent="0.25">
      <c r="A290" s="9"/>
      <c r="B290" s="20"/>
      <c r="C290" s="20"/>
      <c r="D290" s="11"/>
      <c r="E290" s="11"/>
      <c r="F290" s="13"/>
      <c r="G290" s="14"/>
      <c r="H290" s="14" t="str">
        <f ca="1">IFERROR(__xludf.DUMMYFUNCTION("IFERROR(
  AVERAGE(
    FILTER(
      $E$2:$E290,
      $A$2:$A290 &gt;= A290 - 30,
      $A$2:$A290 &lt;= A290,
      $E$2:$E290 &gt; 0
    )
  ),
"""")"),"")</f>
        <v/>
      </c>
      <c r="I290" s="14"/>
    </row>
    <row r="291" spans="1:9" ht="15.75" customHeight="1" x14ac:dyDescent="0.25">
      <c r="A291" s="9"/>
      <c r="B291" s="20"/>
      <c r="C291" s="20"/>
      <c r="D291" s="11"/>
      <c r="E291" s="11"/>
      <c r="F291" s="13"/>
      <c r="G291" s="14"/>
      <c r="H291" s="14" t="str">
        <f ca="1">IFERROR(__xludf.DUMMYFUNCTION("IFERROR(
  AVERAGE(
    FILTER(
      $E$2:$E291,
      $A$2:$A291 &gt;= A291 - 30,
      $A$2:$A291 &lt;= A291,
      $E$2:$E291 &gt; 0
    )
  ),
"""")"),"")</f>
        <v/>
      </c>
      <c r="I291" s="14"/>
    </row>
    <row r="292" spans="1:9" ht="15.75" customHeight="1" x14ac:dyDescent="0.25">
      <c r="A292" s="9"/>
      <c r="B292" s="20"/>
      <c r="C292" s="20"/>
      <c r="D292" s="11"/>
      <c r="E292" s="11"/>
      <c r="F292" s="13"/>
      <c r="G292" s="14"/>
      <c r="H292" s="14" t="str">
        <f ca="1">IFERROR(__xludf.DUMMYFUNCTION("IFERROR(
  AVERAGE(
    FILTER(
      $E$2:$E292,
      $A$2:$A292 &gt;= A292 - 30,
      $A$2:$A292 &lt;= A292,
      $E$2:$E292 &gt; 0
    )
  ),
"""")"),"")</f>
        <v/>
      </c>
      <c r="I292" s="14"/>
    </row>
    <row r="293" spans="1:9" ht="15.75" customHeight="1" x14ac:dyDescent="0.25">
      <c r="A293" s="9"/>
      <c r="B293" s="20"/>
      <c r="C293" s="20"/>
      <c r="D293" s="11"/>
      <c r="E293" s="11"/>
      <c r="F293" s="13"/>
      <c r="G293" s="14"/>
      <c r="H293" s="14" t="str">
        <f ca="1">IFERROR(__xludf.DUMMYFUNCTION("IFERROR(
  AVERAGE(
    FILTER(
      $E$2:$E293,
      $A$2:$A293 &gt;= A293 - 30,
      $A$2:$A293 &lt;= A293,
      $E$2:$E293 &gt; 0
    )
  ),
"""")"),"")</f>
        <v/>
      </c>
      <c r="I293" s="14"/>
    </row>
    <row r="294" spans="1:9" ht="15.75" customHeight="1" x14ac:dyDescent="0.25">
      <c r="A294" s="9"/>
      <c r="B294" s="20"/>
      <c r="C294" s="20"/>
      <c r="D294" s="11"/>
      <c r="E294" s="11"/>
      <c r="F294" s="13"/>
      <c r="G294" s="14"/>
      <c r="H294" s="14" t="str">
        <f ca="1">IFERROR(__xludf.DUMMYFUNCTION("IFERROR(
  AVERAGE(
    FILTER(
      $E$2:$E294,
      $A$2:$A294 &gt;= A294 - 30,
      $A$2:$A294 &lt;= A294,
      $E$2:$E294 &gt; 0
    )
  ),
"""")"),"")</f>
        <v/>
      </c>
      <c r="I294" s="14"/>
    </row>
    <row r="295" spans="1:9" ht="15.75" customHeight="1" x14ac:dyDescent="0.25">
      <c r="A295" s="9"/>
      <c r="B295" s="20"/>
      <c r="C295" s="20"/>
      <c r="D295" s="11"/>
      <c r="E295" s="11"/>
      <c r="F295" s="13"/>
      <c r="G295" s="14"/>
      <c r="H295" s="14" t="str">
        <f ca="1">IFERROR(__xludf.DUMMYFUNCTION("IFERROR(
  AVERAGE(
    FILTER(
      $E$2:$E295,
      $A$2:$A295 &gt;= A295 - 30,
      $A$2:$A295 &lt;= A295,
      $E$2:$E295 &gt; 0
    )
  ),
"""")"),"")</f>
        <v/>
      </c>
      <c r="I295" s="14"/>
    </row>
    <row r="296" spans="1:9" ht="15.75" customHeight="1" x14ac:dyDescent="0.25">
      <c r="A296" s="9"/>
      <c r="B296" s="20"/>
      <c r="C296" s="20"/>
      <c r="D296" s="11"/>
      <c r="E296" s="11"/>
      <c r="F296" s="13"/>
      <c r="G296" s="14"/>
      <c r="H296" s="14" t="str">
        <f ca="1">IFERROR(__xludf.DUMMYFUNCTION("IFERROR(
  AVERAGE(
    FILTER(
      $E$2:$E296,
      $A$2:$A296 &gt;= A296 - 30,
      $A$2:$A296 &lt;= A296,
      $E$2:$E296 &gt; 0
    )
  ),
"""")"),"")</f>
        <v/>
      </c>
      <c r="I296" s="14"/>
    </row>
    <row r="297" spans="1:9" ht="15.75" customHeight="1" x14ac:dyDescent="0.25">
      <c r="A297" s="9"/>
      <c r="B297" s="20"/>
      <c r="C297" s="20"/>
      <c r="D297" s="11"/>
      <c r="E297" s="11"/>
      <c r="F297" s="13"/>
      <c r="G297" s="14"/>
      <c r="H297" s="14" t="str">
        <f ca="1">IFERROR(__xludf.DUMMYFUNCTION("IFERROR(
  AVERAGE(
    FILTER(
      $E$2:$E297,
      $A$2:$A297 &gt;= A297 - 30,
      $A$2:$A297 &lt;= A297,
      $E$2:$E297 &gt; 0
    )
  ),
"""")"),"")</f>
        <v/>
      </c>
      <c r="I297" s="14"/>
    </row>
    <row r="298" spans="1:9" ht="15.75" customHeight="1" x14ac:dyDescent="0.25">
      <c r="A298" s="9"/>
      <c r="B298" s="20"/>
      <c r="C298" s="20"/>
      <c r="D298" s="11"/>
      <c r="E298" s="11"/>
      <c r="F298" s="13"/>
      <c r="G298" s="14"/>
      <c r="H298" s="14" t="str">
        <f ca="1">IFERROR(__xludf.DUMMYFUNCTION("IFERROR(
  AVERAGE(
    FILTER(
      $E$2:$E298,
      $A$2:$A298 &gt;= A298 - 30,
      $A$2:$A298 &lt;= A298,
      $E$2:$E298 &gt; 0
    )
  ),
"""")"),"")</f>
        <v/>
      </c>
      <c r="I298" s="14"/>
    </row>
    <row r="299" spans="1:9" ht="15.75" customHeight="1" x14ac:dyDescent="0.25">
      <c r="A299" s="9"/>
      <c r="B299" s="20"/>
      <c r="C299" s="20"/>
      <c r="D299" s="11"/>
      <c r="E299" s="11"/>
      <c r="F299" s="13"/>
      <c r="G299" s="14"/>
      <c r="H299" s="14" t="str">
        <f ca="1">IFERROR(__xludf.DUMMYFUNCTION("IFERROR(
  AVERAGE(
    FILTER(
      $E$2:$E299,
      $A$2:$A299 &gt;= A299 - 30,
      $A$2:$A299 &lt;= A299,
      $E$2:$E299 &gt; 0
    )
  ),
"""")"),"")</f>
        <v/>
      </c>
      <c r="I299" s="14"/>
    </row>
    <row r="300" spans="1:9" ht="15.75" customHeight="1" x14ac:dyDescent="0.25">
      <c r="A300" s="9"/>
      <c r="B300" s="20"/>
      <c r="C300" s="20"/>
      <c r="D300" s="11"/>
      <c r="E300" s="11"/>
      <c r="F300" s="13"/>
      <c r="G300" s="14"/>
      <c r="H300" s="14" t="str">
        <f ca="1">IFERROR(__xludf.DUMMYFUNCTION("IFERROR(
  AVERAGE(
    FILTER(
      $E$2:$E300,
      $A$2:$A300 &gt;= A300 - 30,
      $A$2:$A300 &lt;= A300,
      $E$2:$E300 &gt; 0
    )
  ),
"""")"),"")</f>
        <v/>
      </c>
      <c r="I300" s="14"/>
    </row>
    <row r="301" spans="1:9" ht="15.75" customHeight="1" x14ac:dyDescent="0.25">
      <c r="A301" s="9"/>
      <c r="B301" s="20"/>
      <c r="C301" s="20"/>
      <c r="D301" s="11"/>
      <c r="E301" s="11"/>
      <c r="F301" s="13"/>
      <c r="G301" s="14"/>
      <c r="H301" s="14" t="str">
        <f ca="1">IFERROR(__xludf.DUMMYFUNCTION("IFERROR(
  AVERAGE(
    FILTER(
      $E$2:$E301,
      $A$2:$A301 &gt;= A301 - 30,
      $A$2:$A301 &lt;= A301,
      $E$2:$E301 &gt; 0
    )
  ),
"""")"),"")</f>
        <v/>
      </c>
      <c r="I301" s="14"/>
    </row>
    <row r="302" spans="1:9" ht="15.75" customHeight="1" x14ac:dyDescent="0.25">
      <c r="A302" s="9"/>
      <c r="B302" s="20"/>
      <c r="C302" s="20"/>
      <c r="D302" s="11"/>
      <c r="E302" s="11"/>
      <c r="F302" s="13"/>
      <c r="G302" s="14"/>
      <c r="H302" s="14" t="str">
        <f ca="1">IFERROR(__xludf.DUMMYFUNCTION("IFERROR(
  AVERAGE(
    FILTER(
      $E$2:$E302,
      $A$2:$A302 &gt;= A302 - 30,
      $A$2:$A302 &lt;= A302,
      $E$2:$E302 &gt; 0
    )
  ),
"""")"),"")</f>
        <v/>
      </c>
      <c r="I302" s="14"/>
    </row>
    <row r="303" spans="1:9" ht="15.75" customHeight="1" x14ac:dyDescent="0.25">
      <c r="A303" s="9"/>
      <c r="B303" s="20"/>
      <c r="C303" s="20"/>
      <c r="D303" s="11"/>
      <c r="E303" s="11"/>
      <c r="F303" s="13"/>
      <c r="G303" s="14"/>
      <c r="H303" s="14" t="str">
        <f ca="1">IFERROR(__xludf.DUMMYFUNCTION("IFERROR(
  AVERAGE(
    FILTER(
      $E$2:$E303,
      $A$2:$A303 &gt;= A303 - 30,
      $A$2:$A303 &lt;= A303,
      $E$2:$E303 &gt; 0
    )
  ),
"""")"),"")</f>
        <v/>
      </c>
      <c r="I303" s="14"/>
    </row>
    <row r="304" spans="1:9" ht="15.75" customHeight="1" x14ac:dyDescent="0.25">
      <c r="A304" s="9"/>
      <c r="B304" s="20"/>
      <c r="C304" s="20"/>
      <c r="D304" s="11"/>
      <c r="E304" s="11"/>
      <c r="F304" s="13"/>
      <c r="G304" s="14"/>
      <c r="H304" s="14" t="str">
        <f ca="1">IFERROR(__xludf.DUMMYFUNCTION("IFERROR(
  AVERAGE(
    FILTER(
      $E$2:$E304,
      $A$2:$A304 &gt;= A304 - 30,
      $A$2:$A304 &lt;= A304,
      $E$2:$E304 &gt; 0
    )
  ),
"""")"),"")</f>
        <v/>
      </c>
      <c r="I304" s="14"/>
    </row>
    <row r="305" spans="1:9" ht="15.75" customHeight="1" x14ac:dyDescent="0.25">
      <c r="A305" s="9"/>
      <c r="B305" s="20"/>
      <c r="C305" s="20"/>
      <c r="D305" s="11"/>
      <c r="E305" s="11"/>
      <c r="F305" s="13"/>
      <c r="G305" s="14"/>
      <c r="H305" s="14" t="str">
        <f ca="1">IFERROR(__xludf.DUMMYFUNCTION("IFERROR(
  AVERAGE(
    FILTER(
      $E$2:$E305,
      $A$2:$A305 &gt;= A305 - 30,
      $A$2:$A305 &lt;= A305,
      $E$2:$E305 &gt; 0
    )
  ),
"""")"),"")</f>
        <v/>
      </c>
      <c r="I305" s="14"/>
    </row>
    <row r="306" spans="1:9" ht="15.75" customHeight="1" x14ac:dyDescent="0.25">
      <c r="A306" s="9"/>
      <c r="B306" s="20"/>
      <c r="C306" s="20"/>
      <c r="D306" s="11"/>
      <c r="E306" s="11"/>
      <c r="F306" s="13"/>
      <c r="G306" s="14"/>
      <c r="H306" s="14" t="str">
        <f ca="1">IFERROR(__xludf.DUMMYFUNCTION("IFERROR(
  AVERAGE(
    FILTER(
      $E$2:$E306,
      $A$2:$A306 &gt;= A306 - 30,
      $A$2:$A306 &lt;= A306,
      $E$2:$E306 &gt; 0
    )
  ),
"""")"),"")</f>
        <v/>
      </c>
      <c r="I306" s="14"/>
    </row>
    <row r="307" spans="1:9" ht="15.75" customHeight="1" x14ac:dyDescent="0.25">
      <c r="A307" s="9"/>
      <c r="B307" s="20"/>
      <c r="C307" s="20"/>
      <c r="D307" s="11"/>
      <c r="E307" s="11"/>
      <c r="F307" s="13"/>
      <c r="G307" s="14"/>
      <c r="H307" s="14" t="str">
        <f ca="1">IFERROR(__xludf.DUMMYFUNCTION("IFERROR(
  AVERAGE(
    FILTER(
      $E$2:$E307,
      $A$2:$A307 &gt;= A307 - 30,
      $A$2:$A307 &lt;= A307,
      $E$2:$E307 &gt; 0
    )
  ),
"""")"),"")</f>
        <v/>
      </c>
      <c r="I307" s="14"/>
    </row>
    <row r="308" spans="1:9" ht="15.75" customHeight="1" x14ac:dyDescent="0.25">
      <c r="A308" s="9"/>
      <c r="B308" s="20"/>
      <c r="C308" s="20"/>
      <c r="D308" s="11"/>
      <c r="E308" s="11"/>
      <c r="F308" s="13"/>
      <c r="G308" s="14"/>
      <c r="H308" s="14" t="str">
        <f ca="1">IFERROR(__xludf.DUMMYFUNCTION("IFERROR(
  AVERAGE(
    FILTER(
      $E$2:$E308,
      $A$2:$A308 &gt;= A308 - 30,
      $A$2:$A308 &lt;= A308,
      $E$2:$E308 &gt; 0
    )
  ),
"""")"),"")</f>
        <v/>
      </c>
      <c r="I308" s="14"/>
    </row>
    <row r="309" spans="1:9" ht="15.75" customHeight="1" x14ac:dyDescent="0.25">
      <c r="A309" s="9"/>
      <c r="B309" s="20"/>
      <c r="C309" s="20"/>
      <c r="D309" s="11"/>
      <c r="E309" s="11"/>
      <c r="F309" s="13"/>
      <c r="G309" s="14"/>
      <c r="H309" s="14" t="str">
        <f ca="1">IFERROR(__xludf.DUMMYFUNCTION("IFERROR(
  AVERAGE(
    FILTER(
      $E$2:$E309,
      $A$2:$A309 &gt;= A309 - 30,
      $A$2:$A309 &lt;= A309,
      $E$2:$E309 &gt; 0
    )
  ),
"""")"),"")</f>
        <v/>
      </c>
      <c r="I309" s="14"/>
    </row>
    <row r="310" spans="1:9" ht="15.75" customHeight="1" x14ac:dyDescent="0.25">
      <c r="A310" s="9"/>
      <c r="B310" s="20"/>
      <c r="C310" s="20"/>
      <c r="D310" s="11"/>
      <c r="E310" s="11"/>
      <c r="F310" s="13"/>
      <c r="G310" s="14"/>
      <c r="H310" s="14" t="str">
        <f ca="1">IFERROR(__xludf.DUMMYFUNCTION("IFERROR(
  AVERAGE(
    FILTER(
      $E$2:$E310,
      $A$2:$A310 &gt;= A310 - 30,
      $A$2:$A310 &lt;= A310,
      $E$2:$E310 &gt; 0
    )
  ),
"""")"),"")</f>
        <v/>
      </c>
      <c r="I310" s="14"/>
    </row>
    <row r="311" spans="1:9" ht="15.75" customHeight="1" x14ac:dyDescent="0.25">
      <c r="A311" s="9"/>
      <c r="B311" s="20"/>
      <c r="C311" s="20"/>
      <c r="D311" s="11"/>
      <c r="E311" s="11"/>
      <c r="F311" s="13"/>
      <c r="G311" s="14"/>
      <c r="H311" s="14" t="str">
        <f ca="1">IFERROR(__xludf.DUMMYFUNCTION("IFERROR(
  AVERAGE(
    FILTER(
      $E$2:$E311,
      $A$2:$A311 &gt;= A311 - 30,
      $A$2:$A311 &lt;= A311,
      $E$2:$E311 &gt; 0
    )
  ),
"""")"),"")</f>
        <v/>
      </c>
      <c r="I311" s="14"/>
    </row>
    <row r="312" spans="1:9" ht="15.75" customHeight="1" x14ac:dyDescent="0.25">
      <c r="A312" s="9"/>
      <c r="B312" s="20"/>
      <c r="C312" s="20"/>
      <c r="D312" s="11"/>
      <c r="E312" s="11"/>
      <c r="F312" s="13"/>
      <c r="G312" s="14"/>
      <c r="H312" s="14" t="str">
        <f ca="1">IFERROR(__xludf.DUMMYFUNCTION("IFERROR(
  AVERAGE(
    FILTER(
      $E$2:$E312,
      $A$2:$A312 &gt;= A312 - 30,
      $A$2:$A312 &lt;= A312,
      $E$2:$E312 &gt; 0
    )
  ),
"""")"),"")</f>
        <v/>
      </c>
      <c r="I312" s="14"/>
    </row>
    <row r="313" spans="1:9" ht="15.75" customHeight="1" x14ac:dyDescent="0.25">
      <c r="A313" s="9"/>
      <c r="B313" s="20"/>
      <c r="C313" s="20"/>
      <c r="D313" s="11"/>
      <c r="E313" s="11"/>
      <c r="F313" s="13"/>
      <c r="G313" s="14"/>
      <c r="H313" s="14" t="str">
        <f ca="1">IFERROR(__xludf.DUMMYFUNCTION("IFERROR(
  AVERAGE(
    FILTER(
      $E$2:$E313,
      $A$2:$A313 &gt;= A313 - 30,
      $A$2:$A313 &lt;= A313,
      $E$2:$E313 &gt; 0
    )
  ),
"""")"),"")</f>
        <v/>
      </c>
      <c r="I313" s="14"/>
    </row>
    <row r="314" spans="1:9" ht="15.75" customHeight="1" x14ac:dyDescent="0.25">
      <c r="A314" s="9"/>
      <c r="B314" s="20"/>
      <c r="C314" s="20"/>
      <c r="D314" s="11"/>
      <c r="E314" s="11"/>
      <c r="F314" s="13"/>
      <c r="G314" s="14"/>
      <c r="H314" s="14" t="str">
        <f ca="1">IFERROR(__xludf.DUMMYFUNCTION("IFERROR(
  AVERAGE(
    FILTER(
      $E$2:$E314,
      $A$2:$A314 &gt;= A314 - 30,
      $A$2:$A314 &lt;= A314,
      $E$2:$E314 &gt; 0
    )
  ),
"""")"),"")</f>
        <v/>
      </c>
      <c r="I314" s="14"/>
    </row>
    <row r="315" spans="1:9" ht="15.75" customHeight="1" x14ac:dyDescent="0.25">
      <c r="A315" s="9"/>
      <c r="B315" s="20"/>
      <c r="C315" s="20"/>
      <c r="D315" s="11"/>
      <c r="E315" s="11"/>
      <c r="F315" s="13"/>
      <c r="G315" s="14"/>
      <c r="H315" s="14" t="str">
        <f ca="1">IFERROR(__xludf.DUMMYFUNCTION("IFERROR(
  AVERAGE(
    FILTER(
      $E$2:$E315,
      $A$2:$A315 &gt;= A315 - 30,
      $A$2:$A315 &lt;= A315,
      $E$2:$E315 &gt; 0
    )
  ),
"""")"),"")</f>
        <v/>
      </c>
      <c r="I315" s="14"/>
    </row>
    <row r="316" spans="1:9" ht="15.75" customHeight="1" x14ac:dyDescent="0.25">
      <c r="A316" s="9"/>
      <c r="B316" s="20"/>
      <c r="C316" s="20"/>
      <c r="D316" s="11"/>
      <c r="E316" s="11"/>
      <c r="F316" s="13"/>
      <c r="G316" s="14"/>
      <c r="H316" s="14" t="str">
        <f ca="1">IFERROR(__xludf.DUMMYFUNCTION("IFERROR(
  AVERAGE(
    FILTER(
      $E$2:$E316,
      $A$2:$A316 &gt;= A316 - 30,
      $A$2:$A316 &lt;= A316,
      $E$2:$E316 &gt; 0
    )
  ),
"""")"),"")</f>
        <v/>
      </c>
      <c r="I316" s="14"/>
    </row>
    <row r="317" spans="1:9" ht="15.75" customHeight="1" x14ac:dyDescent="0.25">
      <c r="A317" s="9"/>
      <c r="B317" s="20"/>
      <c r="C317" s="20"/>
      <c r="D317" s="11"/>
      <c r="E317" s="11"/>
      <c r="F317" s="13"/>
      <c r="G317" s="14"/>
      <c r="H317" s="14" t="str">
        <f ca="1">IFERROR(__xludf.DUMMYFUNCTION("IFERROR(
  AVERAGE(
    FILTER(
      $E$2:$E317,
      $A$2:$A317 &gt;= A317 - 30,
      $A$2:$A317 &lt;= A317,
      $E$2:$E317 &gt; 0
    )
  ),
"""")"),"")</f>
        <v/>
      </c>
      <c r="I317" s="14"/>
    </row>
    <row r="318" spans="1:9" ht="15.75" customHeight="1" x14ac:dyDescent="0.25">
      <c r="A318" s="9"/>
      <c r="B318" s="20"/>
      <c r="C318" s="20"/>
      <c r="D318" s="11"/>
      <c r="E318" s="11"/>
      <c r="F318" s="13"/>
      <c r="G318" s="14"/>
      <c r="H318" s="14" t="str">
        <f ca="1">IFERROR(__xludf.DUMMYFUNCTION("IFERROR(
  AVERAGE(
    FILTER(
      $E$2:$E318,
      $A$2:$A318 &gt;= A318 - 30,
      $A$2:$A318 &lt;= A318,
      $E$2:$E318 &gt; 0
    )
  ),
"""")"),"")</f>
        <v/>
      </c>
      <c r="I318" s="14"/>
    </row>
    <row r="319" spans="1:9" ht="15.75" customHeight="1" x14ac:dyDescent="0.25">
      <c r="A319" s="9"/>
      <c r="B319" s="20"/>
      <c r="C319" s="20"/>
      <c r="D319" s="11"/>
      <c r="E319" s="11"/>
      <c r="F319" s="13"/>
      <c r="G319" s="14"/>
      <c r="H319" s="14" t="str">
        <f ca="1">IFERROR(__xludf.DUMMYFUNCTION("IFERROR(
  AVERAGE(
    FILTER(
      $E$2:$E319,
      $A$2:$A319 &gt;= A319 - 30,
      $A$2:$A319 &lt;= A319,
      $E$2:$E319 &gt; 0
    )
  ),
"""")"),"")</f>
        <v/>
      </c>
      <c r="I319" s="14"/>
    </row>
    <row r="320" spans="1:9" ht="15.75" customHeight="1" x14ac:dyDescent="0.25">
      <c r="A320" s="9"/>
      <c r="B320" s="20"/>
      <c r="C320" s="20"/>
      <c r="D320" s="11"/>
      <c r="E320" s="11"/>
      <c r="F320" s="13"/>
      <c r="G320" s="14"/>
      <c r="H320" s="14" t="str">
        <f ca="1">IFERROR(__xludf.DUMMYFUNCTION("IFERROR(
  AVERAGE(
    FILTER(
      $E$2:$E320,
      $A$2:$A320 &gt;= A320 - 30,
      $A$2:$A320 &lt;= A320,
      $E$2:$E320 &gt; 0
    )
  ),
"""")"),"")</f>
        <v/>
      </c>
      <c r="I320" s="14"/>
    </row>
    <row r="321" spans="1:9" ht="15.75" customHeight="1" x14ac:dyDescent="0.25">
      <c r="A321" s="9"/>
      <c r="B321" s="20"/>
      <c r="C321" s="20"/>
      <c r="D321" s="11"/>
      <c r="E321" s="11"/>
      <c r="F321" s="13"/>
      <c r="G321" s="14"/>
      <c r="H321" s="14" t="str">
        <f ca="1">IFERROR(__xludf.DUMMYFUNCTION("IFERROR(
  AVERAGE(
    FILTER(
      $E$2:$E321,
      $A$2:$A321 &gt;= A321 - 30,
      $A$2:$A321 &lt;= A321,
      $E$2:$E321 &gt; 0
    )
  ),
"""")"),"")</f>
        <v/>
      </c>
      <c r="I321" s="14"/>
    </row>
    <row r="322" spans="1:9" ht="15.75" customHeight="1" x14ac:dyDescent="0.25">
      <c r="A322" s="9"/>
      <c r="B322" s="20"/>
      <c r="C322" s="20"/>
      <c r="D322" s="11"/>
      <c r="E322" s="11"/>
      <c r="F322" s="13"/>
      <c r="G322" s="14"/>
      <c r="H322" s="14" t="str">
        <f ca="1">IFERROR(__xludf.DUMMYFUNCTION("IFERROR(
  AVERAGE(
    FILTER(
      $E$2:$E322,
      $A$2:$A322 &gt;= A322 - 30,
      $A$2:$A322 &lt;= A322,
      $E$2:$E322 &gt; 0
    )
  ),
"""")"),"")</f>
        <v/>
      </c>
      <c r="I322" s="14"/>
    </row>
    <row r="323" spans="1:9" ht="15.75" customHeight="1" x14ac:dyDescent="0.25">
      <c r="A323" s="9"/>
      <c r="B323" s="20"/>
      <c r="C323" s="20"/>
      <c r="D323" s="11"/>
      <c r="E323" s="11"/>
      <c r="F323" s="13"/>
      <c r="G323" s="14"/>
      <c r="H323" s="14" t="str">
        <f ca="1">IFERROR(__xludf.DUMMYFUNCTION("IFERROR(
  AVERAGE(
    FILTER(
      $E$2:$E323,
      $A$2:$A323 &gt;= A323 - 30,
      $A$2:$A323 &lt;= A323,
      $E$2:$E323 &gt; 0
    )
  ),
"""")"),"")</f>
        <v/>
      </c>
      <c r="I323" s="14"/>
    </row>
    <row r="324" spans="1:9" ht="15.75" customHeight="1" x14ac:dyDescent="0.25">
      <c r="A324" s="9"/>
      <c r="B324" s="20"/>
      <c r="C324" s="20"/>
      <c r="D324" s="11"/>
      <c r="E324" s="11"/>
      <c r="F324" s="13"/>
      <c r="G324" s="14"/>
      <c r="H324" s="14" t="str">
        <f ca="1">IFERROR(__xludf.DUMMYFUNCTION("IFERROR(
  AVERAGE(
    FILTER(
      $E$2:$E324,
      $A$2:$A324 &gt;= A324 - 30,
      $A$2:$A324 &lt;= A324,
      $E$2:$E324 &gt; 0
    )
  ),
"""")"),"")</f>
        <v/>
      </c>
      <c r="I324" s="14"/>
    </row>
    <row r="325" spans="1:9" ht="15.75" customHeight="1" x14ac:dyDescent="0.25">
      <c r="A325" s="9"/>
      <c r="B325" s="20"/>
      <c r="C325" s="20"/>
      <c r="D325" s="11"/>
      <c r="E325" s="11"/>
      <c r="F325" s="13"/>
      <c r="G325" s="14"/>
      <c r="H325" s="14" t="str">
        <f ca="1">IFERROR(__xludf.DUMMYFUNCTION("IFERROR(
  AVERAGE(
    FILTER(
      $E$2:$E325,
      $A$2:$A325 &gt;= A325 - 30,
      $A$2:$A325 &lt;= A325,
      $E$2:$E325 &gt; 0
    )
  ),
"""")"),"")</f>
        <v/>
      </c>
      <c r="I325" s="14"/>
    </row>
    <row r="326" spans="1:9" ht="15.75" customHeight="1" x14ac:dyDescent="0.25">
      <c r="A326" s="9"/>
      <c r="B326" s="20"/>
      <c r="C326" s="20"/>
      <c r="D326" s="11"/>
      <c r="E326" s="11"/>
      <c r="F326" s="13"/>
      <c r="G326" s="14"/>
      <c r="H326" s="14" t="str">
        <f ca="1">IFERROR(__xludf.DUMMYFUNCTION("IFERROR(
  AVERAGE(
    FILTER(
      $E$2:$E326,
      $A$2:$A326 &gt;= A326 - 30,
      $A$2:$A326 &lt;= A326,
      $E$2:$E326 &gt; 0
    )
  ),
"""")"),"")</f>
        <v/>
      </c>
      <c r="I326" s="14"/>
    </row>
    <row r="327" spans="1:9" ht="15.75" customHeight="1" x14ac:dyDescent="0.25">
      <c r="A327" s="9"/>
      <c r="B327" s="20"/>
      <c r="C327" s="20"/>
      <c r="D327" s="11"/>
      <c r="E327" s="11"/>
      <c r="F327" s="13"/>
      <c r="G327" s="14"/>
      <c r="H327" s="14" t="str">
        <f ca="1">IFERROR(__xludf.DUMMYFUNCTION("IFERROR(
  AVERAGE(
    FILTER(
      $E$2:$E327,
      $A$2:$A327 &gt;= A327 - 30,
      $A$2:$A327 &lt;= A327,
      $E$2:$E327 &gt; 0
    )
  ),
"""")"),"")</f>
        <v/>
      </c>
      <c r="I327" s="14"/>
    </row>
    <row r="328" spans="1:9" ht="15.75" customHeight="1" x14ac:dyDescent="0.25">
      <c r="A328" s="9"/>
      <c r="B328" s="20"/>
      <c r="C328" s="20"/>
      <c r="D328" s="11"/>
      <c r="E328" s="11"/>
      <c r="F328" s="13"/>
      <c r="G328" s="14"/>
      <c r="H328" s="14" t="str">
        <f ca="1">IFERROR(__xludf.DUMMYFUNCTION("IFERROR(
  AVERAGE(
    FILTER(
      $E$2:$E328,
      $A$2:$A328 &gt;= A328 - 30,
      $A$2:$A328 &lt;= A328,
      $E$2:$E328 &gt; 0
    )
  ),
"""")"),"")</f>
        <v/>
      </c>
      <c r="I328" s="14"/>
    </row>
    <row r="329" spans="1:9" ht="15.75" customHeight="1" x14ac:dyDescent="0.25">
      <c r="A329" s="9"/>
      <c r="B329" s="20"/>
      <c r="C329" s="20"/>
      <c r="D329" s="11"/>
      <c r="E329" s="11"/>
      <c r="F329" s="13"/>
      <c r="G329" s="14"/>
      <c r="H329" s="14" t="str">
        <f ca="1">IFERROR(__xludf.DUMMYFUNCTION("IFERROR(
  AVERAGE(
    FILTER(
      $E$2:$E329,
      $A$2:$A329 &gt;= A329 - 30,
      $A$2:$A329 &lt;= A329,
      $E$2:$E329 &gt; 0
    )
  ),
"""")"),"")</f>
        <v/>
      </c>
      <c r="I329" s="14"/>
    </row>
    <row r="330" spans="1:9" ht="15.75" customHeight="1" x14ac:dyDescent="0.25">
      <c r="A330" s="9"/>
      <c r="B330" s="20"/>
      <c r="C330" s="20"/>
      <c r="D330" s="11"/>
      <c r="E330" s="11"/>
      <c r="F330" s="13"/>
      <c r="G330" s="14"/>
      <c r="H330" s="14" t="str">
        <f ca="1">IFERROR(__xludf.DUMMYFUNCTION("IFERROR(
  AVERAGE(
    FILTER(
      $E$2:$E330,
      $A$2:$A330 &gt;= A330 - 30,
      $A$2:$A330 &lt;= A330,
      $E$2:$E330 &gt; 0
    )
  ),
"""")"),"")</f>
        <v/>
      </c>
      <c r="I330" s="14"/>
    </row>
    <row r="331" spans="1:9" ht="15.75" customHeight="1" x14ac:dyDescent="0.25">
      <c r="A331" s="9"/>
      <c r="B331" s="20"/>
      <c r="C331" s="20"/>
      <c r="D331" s="11"/>
      <c r="E331" s="11"/>
      <c r="F331" s="13"/>
      <c r="G331" s="14"/>
      <c r="H331" s="14" t="str">
        <f ca="1">IFERROR(__xludf.DUMMYFUNCTION("IFERROR(
  AVERAGE(
    FILTER(
      $E$2:$E331,
      $A$2:$A331 &gt;= A331 - 30,
      $A$2:$A331 &lt;= A331,
      $E$2:$E331 &gt; 0
    )
  ),
"""")"),"")</f>
        <v/>
      </c>
      <c r="I331" s="14"/>
    </row>
    <row r="332" spans="1:9" ht="15.75" customHeight="1" x14ac:dyDescent="0.25">
      <c r="A332" s="9"/>
      <c r="B332" s="20"/>
      <c r="C332" s="20"/>
      <c r="D332" s="11"/>
      <c r="E332" s="11"/>
      <c r="F332" s="13"/>
      <c r="G332" s="14"/>
      <c r="H332" s="14" t="str">
        <f ca="1">IFERROR(__xludf.DUMMYFUNCTION("IFERROR(
  AVERAGE(
    FILTER(
      $E$2:$E332,
      $A$2:$A332 &gt;= A332 - 30,
      $A$2:$A332 &lt;= A332,
      $E$2:$E332 &gt; 0
    )
  ),
"""")"),"")</f>
        <v/>
      </c>
      <c r="I332" s="14"/>
    </row>
    <row r="333" spans="1:9" ht="15.75" customHeight="1" x14ac:dyDescent="0.25">
      <c r="A333" s="9"/>
      <c r="B333" s="20"/>
      <c r="C333" s="20"/>
      <c r="D333" s="11"/>
      <c r="E333" s="11"/>
      <c r="F333" s="13"/>
      <c r="G333" s="14"/>
      <c r="H333" s="14" t="str">
        <f ca="1">IFERROR(__xludf.DUMMYFUNCTION("IFERROR(
  AVERAGE(
    FILTER(
      $E$2:$E333,
      $A$2:$A333 &gt;= A333 - 30,
      $A$2:$A333 &lt;= A333,
      $E$2:$E333 &gt; 0
    )
  ),
"""")"),"")</f>
        <v/>
      </c>
      <c r="I333" s="14"/>
    </row>
    <row r="334" spans="1:9" ht="15.75" customHeight="1" x14ac:dyDescent="0.25">
      <c r="A334" s="9"/>
      <c r="B334" s="20"/>
      <c r="C334" s="20"/>
      <c r="D334" s="11"/>
      <c r="E334" s="11"/>
      <c r="F334" s="13"/>
      <c r="G334" s="14"/>
      <c r="H334" s="14" t="str">
        <f ca="1">IFERROR(__xludf.DUMMYFUNCTION("IFERROR(
  AVERAGE(
    FILTER(
      $E$2:$E334,
      $A$2:$A334 &gt;= A334 - 30,
      $A$2:$A334 &lt;= A334,
      $E$2:$E334 &gt; 0
    )
  ),
"""")"),"")</f>
        <v/>
      </c>
      <c r="I334" s="14"/>
    </row>
    <row r="335" spans="1:9" ht="15.75" customHeight="1" x14ac:dyDescent="0.25">
      <c r="A335" s="9"/>
      <c r="B335" s="20"/>
      <c r="C335" s="20"/>
      <c r="D335" s="11"/>
      <c r="E335" s="11"/>
      <c r="F335" s="13"/>
      <c r="G335" s="14"/>
      <c r="H335" s="14" t="str">
        <f ca="1">IFERROR(__xludf.DUMMYFUNCTION("IFERROR(
  AVERAGE(
    FILTER(
      $E$2:$E335,
      $A$2:$A335 &gt;= A335 - 30,
      $A$2:$A335 &lt;= A335,
      $E$2:$E335 &gt; 0
    )
  ),
"""")"),"")</f>
        <v/>
      </c>
      <c r="I335" s="14"/>
    </row>
    <row r="336" spans="1:9" ht="15.75" customHeight="1" x14ac:dyDescent="0.25">
      <c r="A336" s="9"/>
      <c r="B336" s="20"/>
      <c r="C336" s="20"/>
      <c r="D336" s="11"/>
      <c r="E336" s="11"/>
      <c r="F336" s="13"/>
      <c r="G336" s="14"/>
      <c r="H336" s="14" t="str">
        <f ca="1">IFERROR(__xludf.DUMMYFUNCTION("IFERROR(
  AVERAGE(
    FILTER(
      $E$2:$E336,
      $A$2:$A336 &gt;= A336 - 30,
      $A$2:$A336 &lt;= A336,
      $E$2:$E336 &gt; 0
    )
  ),
"""")"),"")</f>
        <v/>
      </c>
      <c r="I336" s="14"/>
    </row>
    <row r="337" spans="1:9" ht="15.75" customHeight="1" x14ac:dyDescent="0.25">
      <c r="A337" s="9"/>
      <c r="B337" s="20"/>
      <c r="C337" s="20"/>
      <c r="D337" s="11"/>
      <c r="E337" s="11"/>
      <c r="F337" s="13"/>
      <c r="G337" s="14"/>
      <c r="H337" s="14" t="str">
        <f ca="1">IFERROR(__xludf.DUMMYFUNCTION("IFERROR(
  AVERAGE(
    FILTER(
      $E$2:$E337,
      $A$2:$A337 &gt;= A337 - 30,
      $A$2:$A337 &lt;= A337,
      $E$2:$E337 &gt; 0
    )
  ),
"""")"),"")</f>
        <v/>
      </c>
      <c r="I337" s="14"/>
    </row>
    <row r="338" spans="1:9" ht="15.75" customHeight="1" x14ac:dyDescent="0.25">
      <c r="A338" s="9"/>
      <c r="B338" s="20"/>
      <c r="C338" s="20"/>
      <c r="D338" s="11"/>
      <c r="E338" s="11"/>
      <c r="F338" s="13"/>
      <c r="G338" s="14"/>
      <c r="H338" s="14" t="str">
        <f ca="1">IFERROR(__xludf.DUMMYFUNCTION("IFERROR(
  AVERAGE(
    FILTER(
      $E$2:$E338,
      $A$2:$A338 &gt;= A338 - 30,
      $A$2:$A338 &lt;= A338,
      $E$2:$E338 &gt; 0
    )
  ),
"""")"),"")</f>
        <v/>
      </c>
      <c r="I338" s="14"/>
    </row>
    <row r="339" spans="1:9" ht="15.75" customHeight="1" x14ac:dyDescent="0.25">
      <c r="A339" s="9"/>
      <c r="B339" s="20"/>
      <c r="C339" s="20"/>
      <c r="D339" s="11"/>
      <c r="E339" s="11"/>
      <c r="F339" s="13"/>
      <c r="G339" s="14"/>
      <c r="H339" s="14" t="str">
        <f ca="1">IFERROR(__xludf.DUMMYFUNCTION("IFERROR(
  AVERAGE(
    FILTER(
      $E$2:$E339,
      $A$2:$A339 &gt;= A339 - 30,
      $A$2:$A339 &lt;= A339,
      $E$2:$E339 &gt; 0
    )
  ),
"""")"),"")</f>
        <v/>
      </c>
      <c r="I339" s="14"/>
    </row>
    <row r="340" spans="1:9" ht="15.75" customHeight="1" x14ac:dyDescent="0.25">
      <c r="A340" s="9"/>
      <c r="B340" s="20"/>
      <c r="C340" s="20"/>
      <c r="D340" s="11"/>
      <c r="E340" s="11"/>
      <c r="F340" s="13"/>
      <c r="G340" s="14"/>
      <c r="H340" s="14" t="str">
        <f ca="1">IFERROR(__xludf.DUMMYFUNCTION("IFERROR(
  AVERAGE(
    FILTER(
      $E$2:$E340,
      $A$2:$A340 &gt;= A340 - 30,
      $A$2:$A340 &lt;= A340,
      $E$2:$E340 &gt; 0
    )
  ),
"""")"),"")</f>
        <v/>
      </c>
      <c r="I340" s="14"/>
    </row>
    <row r="341" spans="1:9" ht="15.75" customHeight="1" x14ac:dyDescent="0.25">
      <c r="A341" s="9"/>
      <c r="B341" s="20"/>
      <c r="C341" s="20"/>
      <c r="D341" s="11"/>
      <c r="E341" s="11"/>
      <c r="F341" s="13"/>
      <c r="G341" s="14"/>
      <c r="H341" s="14" t="str">
        <f ca="1">IFERROR(__xludf.DUMMYFUNCTION("IFERROR(
  AVERAGE(
    FILTER(
      $E$2:$E341,
      $A$2:$A341 &gt;= A341 - 30,
      $A$2:$A341 &lt;= A341,
      $E$2:$E341 &gt; 0
    )
  ),
"""")"),"")</f>
        <v/>
      </c>
      <c r="I341" s="14"/>
    </row>
    <row r="342" spans="1:9" ht="15.75" customHeight="1" x14ac:dyDescent="0.25">
      <c r="A342" s="9"/>
      <c r="B342" s="20"/>
      <c r="C342" s="20"/>
      <c r="D342" s="11"/>
      <c r="E342" s="11"/>
      <c r="F342" s="13"/>
      <c r="G342" s="14"/>
      <c r="H342" s="14" t="str">
        <f ca="1">IFERROR(__xludf.DUMMYFUNCTION("IFERROR(
  AVERAGE(
    FILTER(
      $E$2:$E342,
      $A$2:$A342 &gt;= A342 - 30,
      $A$2:$A342 &lt;= A342,
      $E$2:$E342 &gt; 0
    )
  ),
"""")"),"")</f>
        <v/>
      </c>
      <c r="I342" s="14"/>
    </row>
    <row r="343" spans="1:9" ht="15.75" customHeight="1" x14ac:dyDescent="0.25">
      <c r="A343" s="9"/>
      <c r="B343" s="20"/>
      <c r="C343" s="20"/>
      <c r="D343" s="11"/>
      <c r="E343" s="11"/>
      <c r="F343" s="13"/>
      <c r="G343" s="14"/>
      <c r="H343" s="14" t="str">
        <f ca="1">IFERROR(__xludf.DUMMYFUNCTION("IFERROR(
  AVERAGE(
    FILTER(
      $E$2:$E343,
      $A$2:$A343 &gt;= A343 - 30,
      $A$2:$A343 &lt;= A343,
      $E$2:$E343 &gt; 0
    )
  ),
"""")"),"")</f>
        <v/>
      </c>
      <c r="I343" s="14"/>
    </row>
    <row r="344" spans="1:9" ht="15.75" customHeight="1" x14ac:dyDescent="0.25">
      <c r="A344" s="9"/>
      <c r="B344" s="20"/>
      <c r="C344" s="20"/>
      <c r="D344" s="11"/>
      <c r="E344" s="11"/>
      <c r="F344" s="13"/>
      <c r="G344" s="14"/>
      <c r="H344" s="14" t="str">
        <f ca="1">IFERROR(__xludf.DUMMYFUNCTION("IFERROR(
  AVERAGE(
    FILTER(
      $E$2:$E344,
      $A$2:$A344 &gt;= A344 - 30,
      $A$2:$A344 &lt;= A344,
      $E$2:$E344 &gt; 0
    )
  ),
"""")"),"")</f>
        <v/>
      </c>
      <c r="I344" s="14"/>
    </row>
    <row r="345" spans="1:9" ht="15.75" customHeight="1" x14ac:dyDescent="0.25">
      <c r="A345" s="9"/>
      <c r="B345" s="20"/>
      <c r="C345" s="20"/>
      <c r="D345" s="11"/>
      <c r="E345" s="11"/>
      <c r="F345" s="13"/>
      <c r="G345" s="14"/>
      <c r="H345" s="14" t="str">
        <f ca="1">IFERROR(__xludf.DUMMYFUNCTION("IFERROR(
  AVERAGE(
    FILTER(
      $E$2:$E345,
      $A$2:$A345 &gt;= A345 - 30,
      $A$2:$A345 &lt;= A345,
      $E$2:$E345 &gt; 0
    )
  ),
"""")"),"")</f>
        <v/>
      </c>
      <c r="I345" s="14"/>
    </row>
    <row r="346" spans="1:9" ht="15.75" customHeight="1" x14ac:dyDescent="0.25">
      <c r="A346" s="9"/>
      <c r="B346" s="20"/>
      <c r="C346" s="20"/>
      <c r="D346" s="11"/>
      <c r="E346" s="11"/>
      <c r="F346" s="13"/>
      <c r="G346" s="14"/>
      <c r="H346" s="14" t="str">
        <f ca="1">IFERROR(__xludf.DUMMYFUNCTION("IFERROR(
  AVERAGE(
    FILTER(
      $E$2:$E346,
      $A$2:$A346 &gt;= A346 - 30,
      $A$2:$A346 &lt;= A346,
      $E$2:$E346 &gt; 0
    )
  ),
"""")"),"")</f>
        <v/>
      </c>
      <c r="I346" s="14"/>
    </row>
    <row r="347" spans="1:9" ht="15.75" customHeight="1" x14ac:dyDescent="0.25">
      <c r="A347" s="9"/>
      <c r="B347" s="20"/>
      <c r="C347" s="20"/>
      <c r="D347" s="11"/>
      <c r="E347" s="11"/>
      <c r="F347" s="13"/>
      <c r="G347" s="14"/>
      <c r="H347" s="14" t="str">
        <f ca="1">IFERROR(__xludf.DUMMYFUNCTION("IFERROR(
  AVERAGE(
    FILTER(
      $E$2:$E347,
      $A$2:$A347 &gt;= A347 - 30,
      $A$2:$A347 &lt;= A347,
      $E$2:$E347 &gt; 0
    )
  ),
"""")"),"")</f>
        <v/>
      </c>
      <c r="I347" s="14"/>
    </row>
    <row r="348" spans="1:9" ht="15.75" customHeight="1" x14ac:dyDescent="0.25">
      <c r="A348" s="9"/>
      <c r="B348" s="20"/>
      <c r="C348" s="20"/>
      <c r="D348" s="11"/>
      <c r="E348" s="11"/>
      <c r="F348" s="13"/>
      <c r="G348" s="14"/>
      <c r="H348" s="14" t="str">
        <f ca="1">IFERROR(__xludf.DUMMYFUNCTION("IFERROR(
  AVERAGE(
    FILTER(
      $E$2:$E348,
      $A$2:$A348 &gt;= A348 - 30,
      $A$2:$A348 &lt;= A348,
      $E$2:$E348 &gt; 0
    )
  ),
"""")"),"")</f>
        <v/>
      </c>
      <c r="I348" s="14"/>
    </row>
    <row r="349" spans="1:9" ht="15.75" customHeight="1" x14ac:dyDescent="0.25">
      <c r="A349" s="9"/>
      <c r="B349" s="20"/>
      <c r="C349" s="20"/>
      <c r="D349" s="11"/>
      <c r="E349" s="11"/>
      <c r="F349" s="13"/>
      <c r="G349" s="14"/>
      <c r="H349" s="14" t="str">
        <f ca="1">IFERROR(__xludf.DUMMYFUNCTION("IFERROR(
  AVERAGE(
    FILTER(
      $E$2:$E349,
      $A$2:$A349 &gt;= A349 - 30,
      $A$2:$A349 &lt;= A349,
      $E$2:$E349 &gt; 0
    )
  ),
"""")"),"")</f>
        <v/>
      </c>
      <c r="I349" s="14"/>
    </row>
    <row r="350" spans="1:9" ht="15.75" customHeight="1" x14ac:dyDescent="0.25">
      <c r="A350" s="9"/>
      <c r="B350" s="20"/>
      <c r="C350" s="20"/>
      <c r="D350" s="11"/>
      <c r="E350" s="11"/>
      <c r="F350" s="13"/>
      <c r="G350" s="14"/>
      <c r="H350" s="14" t="str">
        <f ca="1">IFERROR(__xludf.DUMMYFUNCTION("IFERROR(
  AVERAGE(
    FILTER(
      $E$2:$E350,
      $A$2:$A350 &gt;= A350 - 30,
      $A$2:$A350 &lt;= A350,
      $E$2:$E350 &gt; 0
    )
  ),
"""")"),"")</f>
        <v/>
      </c>
      <c r="I350" s="14"/>
    </row>
    <row r="351" spans="1:9" ht="15.75" customHeight="1" x14ac:dyDescent="0.25">
      <c r="A351" s="9"/>
      <c r="B351" s="20"/>
      <c r="C351" s="20"/>
      <c r="D351" s="11"/>
      <c r="E351" s="11"/>
      <c r="F351" s="13"/>
      <c r="G351" s="14"/>
      <c r="H351" s="14" t="str">
        <f ca="1">IFERROR(__xludf.DUMMYFUNCTION("IFERROR(
  AVERAGE(
    FILTER(
      $E$2:$E351,
      $A$2:$A351 &gt;= A351 - 30,
      $A$2:$A351 &lt;= A351,
      $E$2:$E351 &gt; 0
    )
  ),
"""")"),"")</f>
        <v/>
      </c>
      <c r="I351" s="14"/>
    </row>
    <row r="352" spans="1:9" ht="15.75" customHeight="1" x14ac:dyDescent="0.25">
      <c r="A352" s="9"/>
      <c r="B352" s="20"/>
      <c r="C352" s="20"/>
      <c r="D352" s="11"/>
      <c r="E352" s="11"/>
      <c r="F352" s="13"/>
      <c r="G352" s="14"/>
      <c r="H352" s="14" t="str">
        <f ca="1">IFERROR(__xludf.DUMMYFUNCTION("IFERROR(
  AVERAGE(
    FILTER(
      $E$2:$E352,
      $A$2:$A352 &gt;= A352 - 30,
      $A$2:$A352 &lt;= A352,
      $E$2:$E352 &gt; 0
    )
  ),
"""")"),"")</f>
        <v/>
      </c>
      <c r="I352" s="14"/>
    </row>
    <row r="353" spans="1:9" ht="15.75" customHeight="1" x14ac:dyDescent="0.25">
      <c r="A353" s="9"/>
      <c r="B353" s="20"/>
      <c r="C353" s="20"/>
      <c r="D353" s="11"/>
      <c r="E353" s="11"/>
      <c r="F353" s="13"/>
      <c r="G353" s="14"/>
      <c r="H353" s="14" t="str">
        <f ca="1">IFERROR(__xludf.DUMMYFUNCTION("IFERROR(
  AVERAGE(
    FILTER(
      $E$2:$E353,
      $A$2:$A353 &gt;= A353 - 30,
      $A$2:$A353 &lt;= A353,
      $E$2:$E353 &gt; 0
    )
  ),
"""")"),"")</f>
        <v/>
      </c>
      <c r="I353" s="14"/>
    </row>
    <row r="354" spans="1:9" ht="15.75" customHeight="1" x14ac:dyDescent="0.25">
      <c r="A354" s="9"/>
      <c r="B354" s="20"/>
      <c r="C354" s="20"/>
      <c r="D354" s="11"/>
      <c r="E354" s="11"/>
      <c r="F354" s="13"/>
      <c r="G354" s="14"/>
      <c r="H354" s="14" t="str">
        <f ca="1">IFERROR(__xludf.DUMMYFUNCTION("IFERROR(
  AVERAGE(
    FILTER(
      $E$2:$E354,
      $A$2:$A354 &gt;= A354 - 30,
      $A$2:$A354 &lt;= A354,
      $E$2:$E354 &gt; 0
    )
  ),
"""")"),"")</f>
        <v/>
      </c>
      <c r="I354" s="14"/>
    </row>
    <row r="355" spans="1:9" ht="15.75" customHeight="1" x14ac:dyDescent="0.25">
      <c r="A355" s="9"/>
      <c r="B355" s="20"/>
      <c r="C355" s="20"/>
      <c r="D355" s="11"/>
      <c r="E355" s="11"/>
      <c r="F355" s="13"/>
      <c r="G355" s="14"/>
      <c r="H355" s="14" t="str">
        <f ca="1">IFERROR(__xludf.DUMMYFUNCTION("IFERROR(
  AVERAGE(
    FILTER(
      $E$2:$E355,
      $A$2:$A355 &gt;= A355 - 30,
      $A$2:$A355 &lt;= A355,
      $E$2:$E355 &gt; 0
    )
  ),
"""")"),"")</f>
        <v/>
      </c>
      <c r="I355" s="14"/>
    </row>
    <row r="356" spans="1:9" ht="15.75" customHeight="1" x14ac:dyDescent="0.25">
      <c r="A356" s="9"/>
      <c r="B356" s="20"/>
      <c r="C356" s="20"/>
      <c r="D356" s="11"/>
      <c r="E356" s="11"/>
      <c r="F356" s="13"/>
      <c r="G356" s="14"/>
      <c r="H356" s="14" t="str">
        <f ca="1">IFERROR(__xludf.DUMMYFUNCTION("IFERROR(
  AVERAGE(
    FILTER(
      $E$2:$E356,
      $A$2:$A356 &gt;= A356 - 30,
      $A$2:$A356 &lt;= A356,
      $E$2:$E356 &gt; 0
    )
  ),
"""")"),"")</f>
        <v/>
      </c>
      <c r="I356" s="14"/>
    </row>
    <row r="357" spans="1:9" ht="15.75" customHeight="1" x14ac:dyDescent="0.25">
      <c r="A357" s="9"/>
      <c r="B357" s="20"/>
      <c r="C357" s="20"/>
      <c r="D357" s="11"/>
      <c r="E357" s="11"/>
      <c r="F357" s="13"/>
      <c r="G357" s="14"/>
      <c r="H357" s="14" t="str">
        <f ca="1">IFERROR(__xludf.DUMMYFUNCTION("IFERROR(
  AVERAGE(
    FILTER(
      $E$2:$E357,
      $A$2:$A357 &gt;= A357 - 30,
      $A$2:$A357 &lt;= A357,
      $E$2:$E357 &gt; 0
    )
  ),
"""")"),"")</f>
        <v/>
      </c>
      <c r="I357" s="14"/>
    </row>
    <row r="358" spans="1:9" ht="15.75" customHeight="1" x14ac:dyDescent="0.25">
      <c r="A358" s="9"/>
      <c r="B358" s="20"/>
      <c r="C358" s="20"/>
      <c r="D358" s="11"/>
      <c r="E358" s="11"/>
      <c r="F358" s="13"/>
      <c r="G358" s="14"/>
      <c r="H358" s="14" t="str">
        <f ca="1">IFERROR(__xludf.DUMMYFUNCTION("IFERROR(
  AVERAGE(
    FILTER(
      $E$2:$E358,
      $A$2:$A358 &gt;= A358 - 30,
      $A$2:$A358 &lt;= A358,
      $E$2:$E358 &gt; 0
    )
  ),
"""")"),"")</f>
        <v/>
      </c>
      <c r="I358" s="14"/>
    </row>
    <row r="359" spans="1:9" ht="15.75" customHeight="1" x14ac:dyDescent="0.25">
      <c r="A359" s="9"/>
      <c r="B359" s="20"/>
      <c r="C359" s="20"/>
      <c r="D359" s="11"/>
      <c r="E359" s="11"/>
      <c r="F359" s="13"/>
      <c r="G359" s="14"/>
      <c r="H359" s="14" t="str">
        <f ca="1">IFERROR(__xludf.DUMMYFUNCTION("IFERROR(
  AVERAGE(
    FILTER(
      $E$2:$E359,
      $A$2:$A359 &gt;= A359 - 30,
      $A$2:$A359 &lt;= A359,
      $E$2:$E359 &gt; 0
    )
  ),
"""")"),"")</f>
        <v/>
      </c>
      <c r="I359" s="14"/>
    </row>
    <row r="360" spans="1:9" ht="15.75" customHeight="1" x14ac:dyDescent="0.25">
      <c r="A360" s="9"/>
      <c r="B360" s="20"/>
      <c r="C360" s="20"/>
      <c r="D360" s="11"/>
      <c r="E360" s="11"/>
      <c r="F360" s="13"/>
      <c r="G360" s="14"/>
      <c r="H360" s="14" t="str">
        <f ca="1">IFERROR(__xludf.DUMMYFUNCTION("IFERROR(
  AVERAGE(
    FILTER(
      $E$2:$E360,
      $A$2:$A360 &gt;= A360 - 30,
      $A$2:$A360 &lt;= A360,
      $E$2:$E360 &gt; 0
    )
  ),
"""")"),"")</f>
        <v/>
      </c>
      <c r="I360" s="14"/>
    </row>
    <row r="361" spans="1:9" ht="15.75" customHeight="1" x14ac:dyDescent="0.25">
      <c r="A361" s="9"/>
      <c r="B361" s="20"/>
      <c r="C361" s="20"/>
      <c r="D361" s="11"/>
      <c r="E361" s="11"/>
      <c r="F361" s="13"/>
      <c r="G361" s="14"/>
      <c r="H361" s="14" t="str">
        <f ca="1">IFERROR(__xludf.DUMMYFUNCTION("IFERROR(
  AVERAGE(
    FILTER(
      $E$2:$E361,
      $A$2:$A361 &gt;= A361 - 30,
      $A$2:$A361 &lt;= A361,
      $E$2:$E361 &gt; 0
    )
  ),
"""")"),"")</f>
        <v/>
      </c>
      <c r="I361" s="14"/>
    </row>
    <row r="362" spans="1:9" ht="15.75" customHeight="1" x14ac:dyDescent="0.25">
      <c r="A362" s="9"/>
      <c r="B362" s="20"/>
      <c r="C362" s="20"/>
      <c r="D362" s="11"/>
      <c r="E362" s="11"/>
      <c r="F362" s="13"/>
      <c r="G362" s="14"/>
      <c r="H362" s="14" t="str">
        <f ca="1">IFERROR(__xludf.DUMMYFUNCTION("IFERROR(
  AVERAGE(
    FILTER(
      $E$2:$E362,
      $A$2:$A362 &gt;= A362 - 30,
      $A$2:$A362 &lt;= A362,
      $E$2:$E362 &gt; 0
    )
  ),
"""")"),"")</f>
        <v/>
      </c>
      <c r="I362" s="14"/>
    </row>
    <row r="363" spans="1:9" ht="15.75" customHeight="1" x14ac:dyDescent="0.25">
      <c r="A363" s="9"/>
      <c r="B363" s="20"/>
      <c r="C363" s="20"/>
      <c r="D363" s="11"/>
      <c r="E363" s="11"/>
      <c r="F363" s="13"/>
      <c r="G363" s="14"/>
      <c r="H363" s="14" t="str">
        <f ca="1">IFERROR(__xludf.DUMMYFUNCTION("IFERROR(
  AVERAGE(
    FILTER(
      $E$2:$E363,
      $A$2:$A363 &gt;= A363 - 30,
      $A$2:$A363 &lt;= A363,
      $E$2:$E363 &gt; 0
    )
  ),
"""")"),"")</f>
        <v/>
      </c>
      <c r="I363" s="14"/>
    </row>
    <row r="364" spans="1:9" ht="15.75" customHeight="1" x14ac:dyDescent="0.25">
      <c r="A364" s="9"/>
      <c r="B364" s="20"/>
      <c r="C364" s="20"/>
      <c r="D364" s="11"/>
      <c r="E364" s="11"/>
      <c r="F364" s="13"/>
      <c r="G364" s="14"/>
      <c r="H364" s="14" t="str">
        <f ca="1">IFERROR(__xludf.DUMMYFUNCTION("IFERROR(
  AVERAGE(
    FILTER(
      $E$2:$E364,
      $A$2:$A364 &gt;= A364 - 30,
      $A$2:$A364 &lt;= A364,
      $E$2:$E364 &gt; 0
    )
  ),
"""")"),"")</f>
        <v/>
      </c>
      <c r="I364" s="14"/>
    </row>
    <row r="365" spans="1:9" ht="15.75" customHeight="1" x14ac:dyDescent="0.25">
      <c r="A365" s="9"/>
      <c r="B365" s="20"/>
      <c r="C365" s="20"/>
      <c r="D365" s="11"/>
      <c r="E365" s="11"/>
      <c r="F365" s="13"/>
      <c r="G365" s="14"/>
      <c r="H365" s="14" t="str">
        <f ca="1">IFERROR(__xludf.DUMMYFUNCTION("IFERROR(
  AVERAGE(
    FILTER(
      $E$2:$E365,
      $A$2:$A365 &gt;= A365 - 30,
      $A$2:$A365 &lt;= A365,
      $E$2:$E365 &gt; 0
    )
  ),
"""")"),"")</f>
        <v/>
      </c>
      <c r="I365" s="14"/>
    </row>
    <row r="366" spans="1:9" ht="15.75" customHeight="1" x14ac:dyDescent="0.25">
      <c r="A366" s="9"/>
      <c r="B366" s="20"/>
      <c r="C366" s="20"/>
      <c r="D366" s="11"/>
      <c r="E366" s="11"/>
      <c r="F366" s="13"/>
      <c r="G366" s="14"/>
      <c r="H366" s="14" t="str">
        <f ca="1">IFERROR(__xludf.DUMMYFUNCTION("IFERROR(
  AVERAGE(
    FILTER(
      $E$2:$E366,
      $A$2:$A366 &gt;= A366 - 30,
      $A$2:$A366 &lt;= A366,
      $E$2:$E366 &gt; 0
    )
  ),
"""")"),"")</f>
        <v/>
      </c>
      <c r="I366" s="14"/>
    </row>
    <row r="367" spans="1:9" ht="15.75" customHeight="1" x14ac:dyDescent="0.25">
      <c r="A367" s="9"/>
      <c r="B367" s="20"/>
      <c r="C367" s="20"/>
      <c r="D367" s="11"/>
      <c r="E367" s="11"/>
      <c r="F367" s="13"/>
      <c r="G367" s="14"/>
      <c r="H367" s="14" t="str">
        <f ca="1">IFERROR(__xludf.DUMMYFUNCTION("IFERROR(
  AVERAGE(
    FILTER(
      $E$2:$E367,
      $A$2:$A367 &gt;= A367 - 30,
      $A$2:$A367 &lt;= A367,
      $E$2:$E367 &gt; 0
    )
  ),
"""")"),"")</f>
        <v/>
      </c>
      <c r="I367" s="14"/>
    </row>
    <row r="368" spans="1:9" ht="15.75" customHeight="1" x14ac:dyDescent="0.25">
      <c r="A368" s="9"/>
      <c r="B368" s="20"/>
      <c r="C368" s="20"/>
      <c r="D368" s="11"/>
      <c r="E368" s="11"/>
      <c r="F368" s="13"/>
      <c r="G368" s="14"/>
      <c r="H368" s="14" t="str">
        <f ca="1">IFERROR(__xludf.DUMMYFUNCTION("IFERROR(
  AVERAGE(
    FILTER(
      $E$2:$E368,
      $A$2:$A368 &gt;= A368 - 30,
      $A$2:$A368 &lt;= A368,
      $E$2:$E368 &gt; 0
    )
  ),
"""")"),"")</f>
        <v/>
      </c>
      <c r="I368" s="14"/>
    </row>
    <row r="369" spans="1:9" ht="15.75" customHeight="1" x14ac:dyDescent="0.25">
      <c r="A369" s="9"/>
      <c r="B369" s="20"/>
      <c r="C369" s="20"/>
      <c r="D369" s="11"/>
      <c r="E369" s="11"/>
      <c r="F369" s="13"/>
      <c r="G369" s="14"/>
      <c r="H369" s="14" t="str">
        <f ca="1">IFERROR(__xludf.DUMMYFUNCTION("IFERROR(
  AVERAGE(
    FILTER(
      $E$2:$E369,
      $A$2:$A369 &gt;= A369 - 30,
      $A$2:$A369 &lt;= A369,
      $E$2:$E369 &gt; 0
    )
  ),
"""")"),"")</f>
        <v/>
      </c>
      <c r="I369" s="14"/>
    </row>
    <row r="370" spans="1:9" ht="15.75" customHeight="1" x14ac:dyDescent="0.25">
      <c r="A370" s="9"/>
      <c r="B370" s="20"/>
      <c r="C370" s="20"/>
      <c r="D370" s="11"/>
      <c r="E370" s="11"/>
      <c r="F370" s="13"/>
      <c r="G370" s="14"/>
      <c r="H370" s="14" t="str">
        <f ca="1">IFERROR(__xludf.DUMMYFUNCTION("IFERROR(
  AVERAGE(
    FILTER(
      $E$2:$E370,
      $A$2:$A370 &gt;= A370 - 30,
      $A$2:$A370 &lt;= A370,
      $E$2:$E370 &gt; 0
    )
  ),
"""")"),"")</f>
        <v/>
      </c>
      <c r="I370" s="14"/>
    </row>
    <row r="371" spans="1:9" ht="15.75" customHeight="1" x14ac:dyDescent="0.25">
      <c r="A371" s="9"/>
      <c r="B371" s="20"/>
      <c r="C371" s="20"/>
      <c r="D371" s="11"/>
      <c r="E371" s="11"/>
      <c r="F371" s="13"/>
      <c r="G371" s="14"/>
      <c r="H371" s="14" t="str">
        <f ca="1">IFERROR(__xludf.DUMMYFUNCTION("IFERROR(
  AVERAGE(
    FILTER(
      $E$2:$E371,
      $A$2:$A371 &gt;= A371 - 30,
      $A$2:$A371 &lt;= A371,
      $E$2:$E371 &gt; 0
    )
  ),
"""")"),"")</f>
        <v/>
      </c>
      <c r="I371" s="14"/>
    </row>
    <row r="372" spans="1:9" ht="15.75" customHeight="1" x14ac:dyDescent="0.25">
      <c r="A372" s="9"/>
      <c r="B372" s="20"/>
      <c r="C372" s="20"/>
      <c r="D372" s="11"/>
      <c r="E372" s="11"/>
      <c r="F372" s="13"/>
      <c r="G372" s="14"/>
      <c r="H372" s="14" t="str">
        <f ca="1">IFERROR(__xludf.DUMMYFUNCTION("IFERROR(
  AVERAGE(
    FILTER(
      $E$2:$E372,
      $A$2:$A372 &gt;= A372 - 30,
      $A$2:$A372 &lt;= A372,
      $E$2:$E372 &gt; 0
    )
  ),
"""")"),"")</f>
        <v/>
      </c>
      <c r="I372" s="14"/>
    </row>
    <row r="373" spans="1:9" ht="15.75" customHeight="1" x14ac:dyDescent="0.25">
      <c r="A373" s="9"/>
      <c r="B373" s="20"/>
      <c r="C373" s="20"/>
      <c r="D373" s="11"/>
      <c r="E373" s="11"/>
      <c r="F373" s="13"/>
      <c r="G373" s="14"/>
      <c r="H373" s="14" t="str">
        <f ca="1">IFERROR(__xludf.DUMMYFUNCTION("IFERROR(
  AVERAGE(
    FILTER(
      $E$2:$E373,
      $A$2:$A373 &gt;= A373 - 30,
      $A$2:$A373 &lt;= A373,
      $E$2:$E373 &gt; 0
    )
  ),
"""")"),"")</f>
        <v/>
      </c>
      <c r="I373" s="14"/>
    </row>
    <row r="374" spans="1:9" ht="15.75" customHeight="1" x14ac:dyDescent="0.25">
      <c r="A374" s="9"/>
      <c r="B374" s="20"/>
      <c r="C374" s="20"/>
      <c r="D374" s="11"/>
      <c r="E374" s="11"/>
      <c r="F374" s="13"/>
      <c r="G374" s="14"/>
      <c r="H374" s="14" t="str">
        <f ca="1">IFERROR(__xludf.DUMMYFUNCTION("IFERROR(
  AVERAGE(
    FILTER(
      $E$2:$E374,
      $A$2:$A374 &gt;= A374 - 30,
      $A$2:$A374 &lt;= A374,
      $E$2:$E374 &gt; 0
    )
  ),
"""")"),"")</f>
        <v/>
      </c>
      <c r="I374" s="14"/>
    </row>
    <row r="375" spans="1:9" ht="15.75" customHeight="1" x14ac:dyDescent="0.25">
      <c r="A375" s="9"/>
      <c r="B375" s="20"/>
      <c r="C375" s="20"/>
      <c r="D375" s="11"/>
      <c r="E375" s="11"/>
      <c r="F375" s="13"/>
      <c r="G375" s="14"/>
      <c r="H375" s="14" t="str">
        <f ca="1">IFERROR(__xludf.DUMMYFUNCTION("IFERROR(
  AVERAGE(
    FILTER(
      $E$2:$E375,
      $A$2:$A375 &gt;= A375 - 30,
      $A$2:$A375 &lt;= A375,
      $E$2:$E375 &gt; 0
    )
  ),
"""")"),"")</f>
        <v/>
      </c>
      <c r="I375" s="14"/>
    </row>
    <row r="376" spans="1:9" ht="15.75" customHeight="1" x14ac:dyDescent="0.25">
      <c r="A376" s="9"/>
      <c r="B376" s="20"/>
      <c r="C376" s="20"/>
      <c r="D376" s="11"/>
      <c r="E376" s="11"/>
      <c r="F376" s="13"/>
      <c r="G376" s="14"/>
      <c r="H376" s="14" t="str">
        <f ca="1">IFERROR(__xludf.DUMMYFUNCTION("IFERROR(
  AVERAGE(
    FILTER(
      $E$2:$E376,
      $A$2:$A376 &gt;= A376 - 30,
      $A$2:$A376 &lt;= A376,
      $E$2:$E376 &gt; 0
    )
  ),
"""")"),"")</f>
        <v/>
      </c>
      <c r="I376" s="14"/>
    </row>
    <row r="377" spans="1:9" ht="15.75" customHeight="1" x14ac:dyDescent="0.25">
      <c r="A377" s="9"/>
      <c r="B377" s="20"/>
      <c r="C377" s="20"/>
      <c r="D377" s="11"/>
      <c r="E377" s="11"/>
      <c r="F377" s="13"/>
      <c r="G377" s="14"/>
      <c r="H377" s="14" t="str">
        <f ca="1">IFERROR(__xludf.DUMMYFUNCTION("IFERROR(
  AVERAGE(
    FILTER(
      $E$2:$E377,
      $A$2:$A377 &gt;= A377 - 30,
      $A$2:$A377 &lt;= A377,
      $E$2:$E377 &gt; 0
    )
  ),
"""")"),"")</f>
        <v/>
      </c>
      <c r="I377" s="14"/>
    </row>
    <row r="378" spans="1:9" ht="15.75" customHeight="1" x14ac:dyDescent="0.25">
      <c r="A378" s="9"/>
      <c r="B378" s="20"/>
      <c r="C378" s="20"/>
      <c r="D378" s="11"/>
      <c r="E378" s="11"/>
      <c r="F378" s="13"/>
      <c r="G378" s="14"/>
      <c r="H378" s="14" t="str">
        <f ca="1">IFERROR(__xludf.DUMMYFUNCTION("IFERROR(
  AVERAGE(
    FILTER(
      $E$2:$E378,
      $A$2:$A378 &gt;= A378 - 30,
      $A$2:$A378 &lt;= A378,
      $E$2:$E378 &gt; 0
    )
  ),
"""")"),"")</f>
        <v/>
      </c>
      <c r="I378" s="14"/>
    </row>
    <row r="379" spans="1:9" ht="15.75" customHeight="1" x14ac:dyDescent="0.25">
      <c r="A379" s="9"/>
      <c r="B379" s="20"/>
      <c r="C379" s="20"/>
      <c r="D379" s="11"/>
      <c r="E379" s="11"/>
      <c r="F379" s="13"/>
      <c r="G379" s="14"/>
      <c r="H379" s="14" t="str">
        <f ca="1">IFERROR(__xludf.DUMMYFUNCTION("IFERROR(
  AVERAGE(
    FILTER(
      $E$2:$E379,
      $A$2:$A379 &gt;= A379 - 30,
      $A$2:$A379 &lt;= A379,
      $E$2:$E379 &gt; 0
    )
  ),
"""")"),"")</f>
        <v/>
      </c>
      <c r="I379" s="14"/>
    </row>
    <row r="380" spans="1:9" ht="15.75" customHeight="1" x14ac:dyDescent="0.25">
      <c r="A380" s="9"/>
      <c r="B380" s="20"/>
      <c r="C380" s="20"/>
      <c r="D380" s="11"/>
      <c r="E380" s="11"/>
      <c r="F380" s="13"/>
      <c r="G380" s="14"/>
      <c r="H380" s="14" t="str">
        <f ca="1">IFERROR(__xludf.DUMMYFUNCTION("IFERROR(
  AVERAGE(
    FILTER(
      $E$2:$E380,
      $A$2:$A380 &gt;= A380 - 30,
      $A$2:$A380 &lt;= A380,
      $E$2:$E380 &gt; 0
    )
  ),
"""")"),"")</f>
        <v/>
      </c>
      <c r="I380" s="14"/>
    </row>
    <row r="381" spans="1:9" ht="15.75" customHeight="1" x14ac:dyDescent="0.25">
      <c r="A381" s="9"/>
      <c r="B381" s="20"/>
      <c r="C381" s="20"/>
      <c r="D381" s="11"/>
      <c r="E381" s="11"/>
      <c r="F381" s="13"/>
      <c r="G381" s="14"/>
      <c r="H381" s="14" t="str">
        <f ca="1">IFERROR(__xludf.DUMMYFUNCTION("IFERROR(
  AVERAGE(
    FILTER(
      $E$2:$E381,
      $A$2:$A381 &gt;= A381 - 30,
      $A$2:$A381 &lt;= A381,
      $E$2:$E381 &gt; 0
    )
  ),
"""")"),"")</f>
        <v/>
      </c>
      <c r="I381" s="14"/>
    </row>
    <row r="382" spans="1:9" ht="15.75" customHeight="1" x14ac:dyDescent="0.25">
      <c r="A382" s="9"/>
      <c r="B382" s="20"/>
      <c r="C382" s="20"/>
      <c r="D382" s="11"/>
      <c r="E382" s="11"/>
      <c r="F382" s="13"/>
      <c r="G382" s="14"/>
      <c r="H382" s="14" t="str">
        <f ca="1">IFERROR(__xludf.DUMMYFUNCTION("IFERROR(
  AVERAGE(
    FILTER(
      $E$2:$E382,
      $A$2:$A382 &gt;= A382 - 30,
      $A$2:$A382 &lt;= A382,
      $E$2:$E382 &gt; 0
    )
  ),
"""")"),"")</f>
        <v/>
      </c>
      <c r="I382" s="14"/>
    </row>
    <row r="383" spans="1:9" ht="15.75" customHeight="1" x14ac:dyDescent="0.25">
      <c r="A383" s="9"/>
      <c r="B383" s="20"/>
      <c r="C383" s="20"/>
      <c r="D383" s="11"/>
      <c r="E383" s="11"/>
      <c r="F383" s="13"/>
      <c r="G383" s="14"/>
      <c r="H383" s="14" t="str">
        <f ca="1">IFERROR(__xludf.DUMMYFUNCTION("IFERROR(
  AVERAGE(
    FILTER(
      $E$2:$E383,
      $A$2:$A383 &gt;= A383 - 30,
      $A$2:$A383 &lt;= A383,
      $E$2:$E383 &gt; 0
    )
  ),
"""")"),"")</f>
        <v/>
      </c>
      <c r="I383" s="14"/>
    </row>
    <row r="384" spans="1:9" ht="15.75" customHeight="1" x14ac:dyDescent="0.25">
      <c r="A384" s="9"/>
      <c r="B384" s="20"/>
      <c r="C384" s="20"/>
      <c r="D384" s="11"/>
      <c r="E384" s="11"/>
      <c r="F384" s="13"/>
      <c r="G384" s="14"/>
      <c r="H384" s="14" t="str">
        <f ca="1">IFERROR(__xludf.DUMMYFUNCTION("IFERROR(
  AVERAGE(
    FILTER(
      $E$2:$E384,
      $A$2:$A384 &gt;= A384 - 30,
      $A$2:$A384 &lt;= A384,
      $E$2:$E384 &gt; 0
    )
  ),
"""")"),"")</f>
        <v/>
      </c>
      <c r="I384" s="14"/>
    </row>
    <row r="385" spans="1:9" ht="15.75" customHeight="1" x14ac:dyDescent="0.25">
      <c r="A385" s="9"/>
      <c r="B385" s="20"/>
      <c r="C385" s="20"/>
      <c r="D385" s="11"/>
      <c r="E385" s="11"/>
      <c r="F385" s="13"/>
      <c r="G385" s="14"/>
      <c r="H385" s="14" t="str">
        <f ca="1">IFERROR(__xludf.DUMMYFUNCTION("IFERROR(
  AVERAGE(
    FILTER(
      $E$2:$E385,
      $A$2:$A385 &gt;= A385 - 30,
      $A$2:$A385 &lt;= A385,
      $E$2:$E385 &gt; 0
    )
  ),
"""")"),"")</f>
        <v/>
      </c>
      <c r="I385" s="14"/>
    </row>
    <row r="386" spans="1:9" ht="15.75" customHeight="1" x14ac:dyDescent="0.25">
      <c r="A386" s="9"/>
      <c r="B386" s="20"/>
      <c r="C386" s="20"/>
      <c r="D386" s="11"/>
      <c r="E386" s="11"/>
      <c r="F386" s="13"/>
      <c r="G386" s="14"/>
      <c r="H386" s="14" t="str">
        <f ca="1">IFERROR(__xludf.DUMMYFUNCTION("IFERROR(
  AVERAGE(
    FILTER(
      $E$2:$E386,
      $A$2:$A386 &gt;= A386 - 30,
      $A$2:$A386 &lt;= A386,
      $E$2:$E386 &gt; 0
    )
  ),
"""")"),"")</f>
        <v/>
      </c>
      <c r="I386" s="14"/>
    </row>
    <row r="387" spans="1:9" ht="15.75" customHeight="1" x14ac:dyDescent="0.25">
      <c r="A387" s="9"/>
      <c r="B387" s="20"/>
      <c r="C387" s="20"/>
      <c r="D387" s="11"/>
      <c r="E387" s="11"/>
      <c r="F387" s="13"/>
      <c r="G387" s="14"/>
      <c r="H387" s="14" t="str">
        <f ca="1">IFERROR(__xludf.DUMMYFUNCTION("IFERROR(
  AVERAGE(
    FILTER(
      $E$2:$E387,
      $A$2:$A387 &gt;= A387 - 30,
      $A$2:$A387 &lt;= A387,
      $E$2:$E387 &gt; 0
    )
  ),
"""")"),"")</f>
        <v/>
      </c>
      <c r="I387" s="14"/>
    </row>
    <row r="388" spans="1:9" ht="15.75" customHeight="1" x14ac:dyDescent="0.25">
      <c r="A388" s="9"/>
      <c r="B388" s="20"/>
      <c r="C388" s="20"/>
      <c r="D388" s="11"/>
      <c r="E388" s="11"/>
      <c r="F388" s="13"/>
      <c r="G388" s="14"/>
      <c r="H388" s="14" t="str">
        <f ca="1">IFERROR(__xludf.DUMMYFUNCTION("IFERROR(
  AVERAGE(
    FILTER(
      $E$2:$E388,
      $A$2:$A388 &gt;= A388 - 30,
      $A$2:$A388 &lt;= A388,
      $E$2:$E388 &gt; 0
    )
  ),
"""")"),"")</f>
        <v/>
      </c>
      <c r="I388" s="14"/>
    </row>
    <row r="389" spans="1:9" ht="15.75" customHeight="1" x14ac:dyDescent="0.25">
      <c r="A389" s="9"/>
      <c r="B389" s="20"/>
      <c r="C389" s="20"/>
      <c r="D389" s="11"/>
      <c r="E389" s="11"/>
      <c r="F389" s="13"/>
      <c r="G389" s="14"/>
      <c r="H389" s="14" t="str">
        <f ca="1">IFERROR(__xludf.DUMMYFUNCTION("IFERROR(
  AVERAGE(
    FILTER(
      $E$2:$E389,
      $A$2:$A389 &gt;= A389 - 30,
      $A$2:$A389 &lt;= A389,
      $E$2:$E389 &gt; 0
    )
  ),
"""")"),"")</f>
        <v/>
      </c>
      <c r="I389" s="14"/>
    </row>
    <row r="390" spans="1:9" ht="15.75" customHeight="1" x14ac:dyDescent="0.25">
      <c r="A390" s="9"/>
      <c r="B390" s="20"/>
      <c r="C390" s="20"/>
      <c r="D390" s="11"/>
      <c r="E390" s="11"/>
      <c r="F390" s="13"/>
      <c r="G390" s="14"/>
      <c r="H390" s="14" t="str">
        <f ca="1">IFERROR(__xludf.DUMMYFUNCTION("IFERROR(
  AVERAGE(
    FILTER(
      $E$2:$E390,
      $A$2:$A390 &gt;= A390 - 30,
      $A$2:$A390 &lt;= A390,
      $E$2:$E390 &gt; 0
    )
  ),
"""")"),"")</f>
        <v/>
      </c>
      <c r="I390" s="14"/>
    </row>
    <row r="391" spans="1:9" ht="15.75" customHeight="1" x14ac:dyDescent="0.25">
      <c r="A391" s="9"/>
      <c r="B391" s="20"/>
      <c r="C391" s="20"/>
      <c r="D391" s="11"/>
      <c r="E391" s="11"/>
      <c r="F391" s="13"/>
      <c r="G391" s="14"/>
      <c r="H391" s="14" t="str">
        <f ca="1">IFERROR(__xludf.DUMMYFUNCTION("IFERROR(
  AVERAGE(
    FILTER(
      $E$2:$E391,
      $A$2:$A391 &gt;= A391 - 30,
      $A$2:$A391 &lt;= A391,
      $E$2:$E391 &gt; 0
    )
  ),
"""")"),"")</f>
        <v/>
      </c>
      <c r="I391" s="14"/>
    </row>
    <row r="392" spans="1:9" ht="15.75" customHeight="1" x14ac:dyDescent="0.25">
      <c r="A392" s="9"/>
      <c r="B392" s="20"/>
      <c r="C392" s="20"/>
      <c r="D392" s="11"/>
      <c r="E392" s="11"/>
      <c r="F392" s="13"/>
      <c r="G392" s="14"/>
      <c r="H392" s="14" t="str">
        <f ca="1">IFERROR(__xludf.DUMMYFUNCTION("IFERROR(
  AVERAGE(
    FILTER(
      $E$2:$E392,
      $A$2:$A392 &gt;= A392 - 30,
      $A$2:$A392 &lt;= A392,
      $E$2:$E392 &gt; 0
    )
  ),
"""")"),"")</f>
        <v/>
      </c>
      <c r="I392" s="14"/>
    </row>
    <row r="393" spans="1:9" ht="15.75" customHeight="1" x14ac:dyDescent="0.25">
      <c r="A393" s="9"/>
      <c r="B393" s="20"/>
      <c r="C393" s="20"/>
      <c r="D393" s="11"/>
      <c r="E393" s="11"/>
      <c r="F393" s="13"/>
      <c r="G393" s="14"/>
      <c r="H393" s="14" t="str">
        <f ca="1">IFERROR(__xludf.DUMMYFUNCTION("IFERROR(
  AVERAGE(
    FILTER(
      $E$2:$E393,
      $A$2:$A393 &gt;= A393 - 30,
      $A$2:$A393 &lt;= A393,
      $E$2:$E393 &gt; 0
    )
  ),
"""")"),"")</f>
        <v/>
      </c>
      <c r="I393" s="14"/>
    </row>
    <row r="394" spans="1:9" ht="15.75" customHeight="1" x14ac:dyDescent="0.25">
      <c r="A394" s="9"/>
      <c r="B394" s="20"/>
      <c r="C394" s="20"/>
      <c r="D394" s="11"/>
      <c r="E394" s="11"/>
      <c r="F394" s="13"/>
      <c r="G394" s="14"/>
      <c r="H394" s="14" t="str">
        <f ca="1">IFERROR(__xludf.DUMMYFUNCTION("IFERROR(
  AVERAGE(
    FILTER(
      $E$2:$E394,
      $A$2:$A394 &gt;= A394 - 30,
      $A$2:$A394 &lt;= A394,
      $E$2:$E394 &gt; 0
    )
  ),
"""")"),"")</f>
        <v/>
      </c>
      <c r="I394" s="14"/>
    </row>
    <row r="395" spans="1:9" ht="15.75" customHeight="1" x14ac:dyDescent="0.25">
      <c r="A395" s="9"/>
      <c r="B395" s="20"/>
      <c r="C395" s="20"/>
      <c r="D395" s="11"/>
      <c r="E395" s="11"/>
      <c r="F395" s="13"/>
      <c r="G395" s="14"/>
      <c r="H395" s="14" t="str">
        <f ca="1">IFERROR(__xludf.DUMMYFUNCTION("IFERROR(
  AVERAGE(
    FILTER(
      $E$2:$E395,
      $A$2:$A395 &gt;= A395 - 30,
      $A$2:$A395 &lt;= A395,
      $E$2:$E395 &gt; 0
    )
  ),
"""")"),"")</f>
        <v/>
      </c>
      <c r="I395" s="14"/>
    </row>
    <row r="396" spans="1:9" ht="15.75" customHeight="1" x14ac:dyDescent="0.25">
      <c r="A396" s="9"/>
      <c r="B396" s="20"/>
      <c r="C396" s="20"/>
      <c r="D396" s="11"/>
      <c r="E396" s="11"/>
      <c r="F396" s="13"/>
      <c r="G396" s="14"/>
      <c r="H396" s="14" t="str">
        <f ca="1">IFERROR(__xludf.DUMMYFUNCTION("IFERROR(
  AVERAGE(
    FILTER(
      $E$2:$E396,
      $A$2:$A396 &gt;= A396 - 30,
      $A$2:$A396 &lt;= A396,
      $E$2:$E396 &gt; 0
    )
  ),
"""")"),"")</f>
        <v/>
      </c>
      <c r="I396" s="14"/>
    </row>
    <row r="397" spans="1:9" ht="15.75" customHeight="1" x14ac:dyDescent="0.25">
      <c r="A397" s="9"/>
      <c r="B397" s="20"/>
      <c r="C397" s="20"/>
      <c r="D397" s="11"/>
      <c r="E397" s="11"/>
      <c r="F397" s="13"/>
      <c r="G397" s="14"/>
      <c r="H397" s="14" t="str">
        <f ca="1">IFERROR(__xludf.DUMMYFUNCTION("IFERROR(
  AVERAGE(
    FILTER(
      $E$2:$E397,
      $A$2:$A397 &gt;= A397 - 30,
      $A$2:$A397 &lt;= A397,
      $E$2:$E397 &gt; 0
    )
  ),
"""")"),"")</f>
        <v/>
      </c>
      <c r="I397" s="14"/>
    </row>
    <row r="398" spans="1:9" ht="15.75" customHeight="1" x14ac:dyDescent="0.25">
      <c r="A398" s="9"/>
      <c r="B398" s="20"/>
      <c r="C398" s="20"/>
      <c r="D398" s="11"/>
      <c r="E398" s="11"/>
      <c r="F398" s="13"/>
      <c r="G398" s="14"/>
      <c r="H398" s="14" t="str">
        <f ca="1">IFERROR(__xludf.DUMMYFUNCTION("IFERROR(
  AVERAGE(
    FILTER(
      $E$2:$E398,
      $A$2:$A398 &gt;= A398 - 30,
      $A$2:$A398 &lt;= A398,
      $E$2:$E398 &gt; 0
    )
  ),
"""")"),"")</f>
        <v/>
      </c>
      <c r="I398" s="14"/>
    </row>
    <row r="399" spans="1:9" ht="15.75" customHeight="1" x14ac:dyDescent="0.25">
      <c r="A399" s="9"/>
      <c r="B399" s="20"/>
      <c r="C399" s="20"/>
      <c r="D399" s="11"/>
      <c r="E399" s="11"/>
      <c r="F399" s="13"/>
      <c r="G399" s="14"/>
      <c r="H399" s="14" t="str">
        <f ca="1">IFERROR(__xludf.DUMMYFUNCTION("IFERROR(
  AVERAGE(
    FILTER(
      $E$2:$E399,
      $A$2:$A399 &gt;= A399 - 30,
      $A$2:$A399 &lt;= A399,
      $E$2:$E399 &gt; 0
    )
  ),
"""")"),"")</f>
        <v/>
      </c>
      <c r="I399" s="14"/>
    </row>
    <row r="400" spans="1:9" ht="15.75" customHeight="1" x14ac:dyDescent="0.25">
      <c r="A400" s="9"/>
      <c r="B400" s="20"/>
      <c r="C400" s="20"/>
      <c r="D400" s="11"/>
      <c r="E400" s="11"/>
      <c r="F400" s="13"/>
      <c r="G400" s="14"/>
      <c r="H400" s="14" t="str">
        <f ca="1">IFERROR(__xludf.DUMMYFUNCTION("IFERROR(
  AVERAGE(
    FILTER(
      $E$2:$E400,
      $A$2:$A400 &gt;= A400 - 30,
      $A$2:$A400 &lt;= A400,
      $E$2:$E400 &gt; 0
    )
  ),
"""")"),"")</f>
        <v/>
      </c>
      <c r="I400" s="14"/>
    </row>
    <row r="401" spans="1:9" ht="15.75" customHeight="1" x14ac:dyDescent="0.25">
      <c r="A401" s="9"/>
      <c r="B401" s="20"/>
      <c r="C401" s="20"/>
      <c r="D401" s="11"/>
      <c r="E401" s="11"/>
      <c r="F401" s="13"/>
      <c r="G401" s="14"/>
      <c r="H401" s="14" t="str">
        <f ca="1">IFERROR(__xludf.DUMMYFUNCTION("IFERROR(
  AVERAGE(
    FILTER(
      $E$2:$E401,
      $A$2:$A401 &gt;= A401 - 30,
      $A$2:$A401 &lt;= A401,
      $E$2:$E401 &gt; 0
    )
  ),
"""")"),"")</f>
        <v/>
      </c>
      <c r="I401" s="14"/>
    </row>
    <row r="402" spans="1:9" ht="15.75" customHeight="1" x14ac:dyDescent="0.25">
      <c r="A402" s="9"/>
      <c r="B402" s="20"/>
      <c r="C402" s="20"/>
      <c r="D402" s="11"/>
      <c r="E402" s="11"/>
      <c r="F402" s="13"/>
      <c r="G402" s="14"/>
      <c r="H402" s="14" t="str">
        <f ca="1">IFERROR(__xludf.DUMMYFUNCTION("IFERROR(
  AVERAGE(
    FILTER(
      $E$2:$E402,
      $A$2:$A402 &gt;= A402 - 30,
      $A$2:$A402 &lt;= A402,
      $E$2:$E402 &gt; 0
    )
  ),
"""")"),"")</f>
        <v/>
      </c>
      <c r="I402" s="14"/>
    </row>
    <row r="403" spans="1:9" ht="15.75" customHeight="1" x14ac:dyDescent="0.25">
      <c r="A403" s="9"/>
      <c r="B403" s="20"/>
      <c r="C403" s="20"/>
      <c r="D403" s="11"/>
      <c r="E403" s="11"/>
      <c r="F403" s="13"/>
      <c r="G403" s="14"/>
      <c r="H403" s="14" t="str">
        <f ca="1">IFERROR(__xludf.DUMMYFUNCTION("IFERROR(
  AVERAGE(
    FILTER(
      $E$2:$E403,
      $A$2:$A403 &gt;= A403 - 30,
      $A$2:$A403 &lt;= A403,
      $E$2:$E403 &gt; 0
    )
  ),
"""")"),"")</f>
        <v/>
      </c>
      <c r="I403" s="14"/>
    </row>
    <row r="404" spans="1:9" ht="15.75" customHeight="1" x14ac:dyDescent="0.25">
      <c r="A404" s="9"/>
      <c r="B404" s="20"/>
      <c r="C404" s="20"/>
      <c r="D404" s="11"/>
      <c r="E404" s="11"/>
      <c r="F404" s="13"/>
      <c r="G404" s="14"/>
      <c r="H404" s="14" t="str">
        <f ca="1">IFERROR(__xludf.DUMMYFUNCTION("IFERROR(
  AVERAGE(
    FILTER(
      $E$2:$E404,
      $A$2:$A404 &gt;= A404 - 30,
      $A$2:$A404 &lt;= A404,
      $E$2:$E404 &gt; 0
    )
  ),
"""")"),"")</f>
        <v/>
      </c>
      <c r="I404" s="14"/>
    </row>
    <row r="405" spans="1:9" ht="15.75" customHeight="1" x14ac:dyDescent="0.25">
      <c r="A405" s="9"/>
      <c r="B405" s="20"/>
      <c r="C405" s="20"/>
      <c r="D405" s="11"/>
      <c r="E405" s="11"/>
      <c r="F405" s="13"/>
      <c r="G405" s="14"/>
      <c r="H405" s="14" t="str">
        <f ca="1">IFERROR(__xludf.DUMMYFUNCTION("IFERROR(
  AVERAGE(
    FILTER(
      $E$2:$E405,
      $A$2:$A405 &gt;= A405 - 30,
      $A$2:$A405 &lt;= A405,
      $E$2:$E405 &gt; 0
    )
  ),
"""")"),"")</f>
        <v/>
      </c>
      <c r="I405" s="14"/>
    </row>
    <row r="406" spans="1:9" ht="15.75" customHeight="1" x14ac:dyDescent="0.25">
      <c r="A406" s="9"/>
      <c r="B406" s="20"/>
      <c r="C406" s="20"/>
      <c r="D406" s="11"/>
      <c r="E406" s="11"/>
      <c r="F406" s="13"/>
      <c r="G406" s="14"/>
      <c r="H406" s="14" t="str">
        <f ca="1">IFERROR(__xludf.DUMMYFUNCTION("IFERROR(
  AVERAGE(
    FILTER(
      $E$2:$E406,
      $A$2:$A406 &gt;= A406 - 30,
      $A$2:$A406 &lt;= A406,
      $E$2:$E406 &gt; 0
    )
  ),
"""")"),"")</f>
        <v/>
      </c>
      <c r="I406" s="14"/>
    </row>
    <row r="407" spans="1:9" ht="15.75" customHeight="1" x14ac:dyDescent="0.25">
      <c r="A407" s="9"/>
      <c r="B407" s="20"/>
      <c r="C407" s="20"/>
      <c r="D407" s="11"/>
      <c r="E407" s="11"/>
      <c r="F407" s="13"/>
      <c r="G407" s="14"/>
      <c r="H407" s="14" t="str">
        <f ca="1">IFERROR(__xludf.DUMMYFUNCTION("IFERROR(
  AVERAGE(
    FILTER(
      $E$2:$E407,
      $A$2:$A407 &gt;= A407 - 30,
      $A$2:$A407 &lt;= A407,
      $E$2:$E407 &gt; 0
    )
  ),
"""")"),"")</f>
        <v/>
      </c>
      <c r="I407" s="14"/>
    </row>
    <row r="408" spans="1:9" ht="15.75" customHeight="1" x14ac:dyDescent="0.25">
      <c r="A408" s="9"/>
      <c r="B408" s="20"/>
      <c r="C408" s="20"/>
      <c r="D408" s="11"/>
      <c r="E408" s="11"/>
      <c r="F408" s="13"/>
      <c r="G408" s="14"/>
      <c r="H408" s="14" t="str">
        <f ca="1">IFERROR(__xludf.DUMMYFUNCTION("IFERROR(
  AVERAGE(
    FILTER(
      $E$2:$E408,
      $A$2:$A408 &gt;= A408 - 30,
      $A$2:$A408 &lt;= A408,
      $E$2:$E408 &gt; 0
    )
  ),
"""")"),"")</f>
        <v/>
      </c>
      <c r="I408" s="14"/>
    </row>
    <row r="409" spans="1:9" ht="15.75" customHeight="1" x14ac:dyDescent="0.25">
      <c r="A409" s="9"/>
      <c r="B409" s="20"/>
      <c r="C409" s="20"/>
      <c r="D409" s="11"/>
      <c r="E409" s="11"/>
      <c r="F409" s="13"/>
      <c r="G409" s="14"/>
      <c r="H409" s="14" t="str">
        <f ca="1">IFERROR(__xludf.DUMMYFUNCTION("IFERROR(
  AVERAGE(
    FILTER(
      $E$2:$E409,
      $A$2:$A409 &gt;= A409 - 30,
      $A$2:$A409 &lt;= A409,
      $E$2:$E409 &gt; 0
    )
  ),
"""")"),"")</f>
        <v/>
      </c>
      <c r="I409" s="14"/>
    </row>
    <row r="410" spans="1:9" ht="15.75" customHeight="1" x14ac:dyDescent="0.25">
      <c r="A410" s="9"/>
      <c r="B410" s="20"/>
      <c r="C410" s="20"/>
      <c r="D410" s="11"/>
      <c r="E410" s="11"/>
      <c r="F410" s="13"/>
      <c r="G410" s="14"/>
      <c r="H410" s="14" t="str">
        <f ca="1">IFERROR(__xludf.DUMMYFUNCTION("IFERROR(
  AVERAGE(
    FILTER(
      $E$2:$E410,
      $A$2:$A410 &gt;= A410 - 30,
      $A$2:$A410 &lt;= A410,
      $E$2:$E410 &gt; 0
    )
  ),
"""")"),"")</f>
        <v/>
      </c>
      <c r="I410" s="14"/>
    </row>
    <row r="411" spans="1:9" ht="15.75" customHeight="1" x14ac:dyDescent="0.25">
      <c r="A411" s="9"/>
      <c r="B411" s="20"/>
      <c r="C411" s="20"/>
      <c r="D411" s="11"/>
      <c r="E411" s="11"/>
      <c r="F411" s="13"/>
      <c r="G411" s="14"/>
      <c r="H411" s="14" t="str">
        <f ca="1">IFERROR(__xludf.DUMMYFUNCTION("IFERROR(
  AVERAGE(
    FILTER(
      $E$2:$E411,
      $A$2:$A411 &gt;= A411 - 30,
      $A$2:$A411 &lt;= A411,
      $E$2:$E411 &gt; 0
    )
  ),
"""")"),"")</f>
        <v/>
      </c>
      <c r="I411" s="14"/>
    </row>
    <row r="412" spans="1:9" ht="15.75" customHeight="1" x14ac:dyDescent="0.25">
      <c r="A412" s="9"/>
      <c r="B412" s="20"/>
      <c r="C412" s="20"/>
      <c r="D412" s="11"/>
      <c r="E412" s="11"/>
      <c r="F412" s="13"/>
      <c r="G412" s="14"/>
      <c r="H412" s="14" t="str">
        <f ca="1">IFERROR(__xludf.DUMMYFUNCTION("IFERROR(
  AVERAGE(
    FILTER(
      $E$2:$E412,
      $A$2:$A412 &gt;= A412 - 30,
      $A$2:$A412 &lt;= A412,
      $E$2:$E412 &gt; 0
    )
  ),
"""")"),"")</f>
        <v/>
      </c>
      <c r="I412" s="14"/>
    </row>
    <row r="413" spans="1:9" ht="15.75" customHeight="1" x14ac:dyDescent="0.25">
      <c r="A413" s="9"/>
      <c r="B413" s="20"/>
      <c r="C413" s="20"/>
      <c r="D413" s="11"/>
      <c r="E413" s="11"/>
      <c r="F413" s="13"/>
      <c r="G413" s="14"/>
      <c r="H413" s="14" t="str">
        <f ca="1">IFERROR(__xludf.DUMMYFUNCTION("IFERROR(
  AVERAGE(
    FILTER(
      $E$2:$E413,
      $A$2:$A413 &gt;= A413 - 30,
      $A$2:$A413 &lt;= A413,
      $E$2:$E413 &gt; 0
    )
  ),
"""")"),"")</f>
        <v/>
      </c>
      <c r="I413" s="14"/>
    </row>
    <row r="414" spans="1:9" ht="15.75" customHeight="1" x14ac:dyDescent="0.25">
      <c r="A414" s="9"/>
      <c r="B414" s="20"/>
      <c r="C414" s="20"/>
      <c r="D414" s="11"/>
      <c r="E414" s="11"/>
      <c r="F414" s="13"/>
      <c r="G414" s="14"/>
      <c r="H414" s="14" t="str">
        <f ca="1">IFERROR(__xludf.DUMMYFUNCTION("IFERROR(
  AVERAGE(
    FILTER(
      $E$2:$E414,
      $A$2:$A414 &gt;= A414 - 30,
      $A$2:$A414 &lt;= A414,
      $E$2:$E414 &gt; 0
    )
  ),
"""")"),"")</f>
        <v/>
      </c>
      <c r="I414" s="14"/>
    </row>
    <row r="415" spans="1:9" ht="15.75" customHeight="1" x14ac:dyDescent="0.25">
      <c r="A415" s="9"/>
      <c r="B415" s="20"/>
      <c r="C415" s="20"/>
      <c r="D415" s="11"/>
      <c r="E415" s="11"/>
      <c r="F415" s="13"/>
      <c r="G415" s="14"/>
      <c r="H415" s="14" t="str">
        <f ca="1">IFERROR(__xludf.DUMMYFUNCTION("IFERROR(
  AVERAGE(
    FILTER(
      $E$2:$E415,
      $A$2:$A415 &gt;= A415 - 30,
      $A$2:$A415 &lt;= A415,
      $E$2:$E415 &gt; 0
    )
  ),
"""")"),"")</f>
        <v/>
      </c>
      <c r="I415" s="14"/>
    </row>
    <row r="416" spans="1:9" ht="15.75" customHeight="1" x14ac:dyDescent="0.25">
      <c r="A416" s="9"/>
      <c r="B416" s="20"/>
      <c r="C416" s="20"/>
      <c r="D416" s="11"/>
      <c r="E416" s="11"/>
      <c r="F416" s="13"/>
      <c r="G416" s="14"/>
      <c r="H416" s="14" t="str">
        <f ca="1">IFERROR(__xludf.DUMMYFUNCTION("IFERROR(
  AVERAGE(
    FILTER(
      $E$2:$E416,
      $A$2:$A416 &gt;= A416 - 30,
      $A$2:$A416 &lt;= A416,
      $E$2:$E416 &gt; 0
    )
  ),
"""")"),"")</f>
        <v/>
      </c>
      <c r="I416" s="14"/>
    </row>
    <row r="417" spans="1:9" ht="15.75" customHeight="1" x14ac:dyDescent="0.25">
      <c r="A417" s="9"/>
      <c r="B417" s="20"/>
      <c r="C417" s="20"/>
      <c r="D417" s="11"/>
      <c r="E417" s="11"/>
      <c r="F417" s="13"/>
      <c r="G417" s="14"/>
      <c r="H417" s="14" t="str">
        <f ca="1">IFERROR(__xludf.DUMMYFUNCTION("IFERROR(
  AVERAGE(
    FILTER(
      $E$2:$E417,
      $A$2:$A417 &gt;= A417 - 30,
      $A$2:$A417 &lt;= A417,
      $E$2:$E417 &gt; 0
    )
  ),
"""")"),"")</f>
        <v/>
      </c>
      <c r="I417" s="14"/>
    </row>
    <row r="418" spans="1:9" ht="15.75" customHeight="1" x14ac:dyDescent="0.25">
      <c r="A418" s="9"/>
      <c r="B418" s="20"/>
      <c r="C418" s="20"/>
      <c r="D418" s="11"/>
      <c r="E418" s="11"/>
      <c r="F418" s="13"/>
      <c r="G418" s="14"/>
      <c r="H418" s="14" t="str">
        <f ca="1">IFERROR(__xludf.DUMMYFUNCTION("IFERROR(
  AVERAGE(
    FILTER(
      $E$2:$E418,
      $A$2:$A418 &gt;= A418 - 30,
      $A$2:$A418 &lt;= A418,
      $E$2:$E418 &gt; 0
    )
  ),
"""")"),"")</f>
        <v/>
      </c>
      <c r="I418" s="14"/>
    </row>
    <row r="419" spans="1:9" ht="15.75" customHeight="1" x14ac:dyDescent="0.25">
      <c r="A419" s="9"/>
      <c r="B419" s="20"/>
      <c r="C419" s="20"/>
      <c r="D419" s="11"/>
      <c r="E419" s="11"/>
      <c r="F419" s="13"/>
      <c r="G419" s="14"/>
      <c r="H419" s="14" t="str">
        <f ca="1">IFERROR(__xludf.DUMMYFUNCTION("IFERROR(
  AVERAGE(
    FILTER(
      $E$2:$E419,
      $A$2:$A419 &gt;= A419 - 30,
      $A$2:$A419 &lt;= A419,
      $E$2:$E419 &gt; 0
    )
  ),
"""")"),"")</f>
        <v/>
      </c>
      <c r="I419" s="14"/>
    </row>
    <row r="420" spans="1:9" ht="15.75" customHeight="1" x14ac:dyDescent="0.25">
      <c r="A420" s="9"/>
      <c r="B420" s="20"/>
      <c r="C420" s="20"/>
      <c r="D420" s="11"/>
      <c r="E420" s="11"/>
      <c r="F420" s="13"/>
      <c r="G420" s="14"/>
      <c r="H420" s="14" t="str">
        <f ca="1">IFERROR(__xludf.DUMMYFUNCTION("IFERROR(
  AVERAGE(
    FILTER(
      $E$2:$E420,
      $A$2:$A420 &gt;= A420 - 30,
      $A$2:$A420 &lt;= A420,
      $E$2:$E420 &gt; 0
    )
  ),
"""")"),"")</f>
        <v/>
      </c>
      <c r="I420" s="14"/>
    </row>
    <row r="421" spans="1:9" ht="15.75" customHeight="1" x14ac:dyDescent="0.25">
      <c r="A421" s="9"/>
      <c r="B421" s="20"/>
      <c r="C421" s="20"/>
      <c r="D421" s="11"/>
      <c r="E421" s="11"/>
      <c r="F421" s="13"/>
      <c r="G421" s="14"/>
      <c r="H421" s="14" t="str">
        <f ca="1">IFERROR(__xludf.DUMMYFUNCTION("IFERROR(
  AVERAGE(
    FILTER(
      $E$2:$E421,
      $A$2:$A421 &gt;= A421 - 30,
      $A$2:$A421 &lt;= A421,
      $E$2:$E421 &gt; 0
    )
  ),
"""")"),"")</f>
        <v/>
      </c>
      <c r="I421" s="14"/>
    </row>
    <row r="422" spans="1:9" ht="15.75" customHeight="1" x14ac:dyDescent="0.25">
      <c r="A422" s="9"/>
      <c r="B422" s="20"/>
      <c r="C422" s="20"/>
      <c r="D422" s="11"/>
      <c r="E422" s="11"/>
      <c r="F422" s="13"/>
      <c r="G422" s="14"/>
      <c r="H422" s="14" t="str">
        <f ca="1">IFERROR(__xludf.DUMMYFUNCTION("IFERROR(
  AVERAGE(
    FILTER(
      $E$2:$E422,
      $A$2:$A422 &gt;= A422 - 30,
      $A$2:$A422 &lt;= A422,
      $E$2:$E422 &gt; 0
    )
  ),
"""")"),"")</f>
        <v/>
      </c>
      <c r="I422" s="14"/>
    </row>
    <row r="423" spans="1:9" ht="15.75" customHeight="1" x14ac:dyDescent="0.25">
      <c r="A423" s="9"/>
      <c r="B423" s="20"/>
      <c r="C423" s="20"/>
      <c r="D423" s="11"/>
      <c r="E423" s="11"/>
      <c r="F423" s="13"/>
      <c r="G423" s="14"/>
      <c r="H423" s="14" t="str">
        <f ca="1">IFERROR(__xludf.DUMMYFUNCTION("IFERROR(
  AVERAGE(
    FILTER(
      $E$2:$E423,
      $A$2:$A423 &gt;= A423 - 30,
      $A$2:$A423 &lt;= A423,
      $E$2:$E423 &gt; 0
    )
  ),
"""")"),"")</f>
        <v/>
      </c>
      <c r="I423" s="14"/>
    </row>
    <row r="424" spans="1:9" ht="15.75" customHeight="1" x14ac:dyDescent="0.25">
      <c r="A424" s="9"/>
      <c r="B424" s="20"/>
      <c r="C424" s="20"/>
      <c r="D424" s="11"/>
      <c r="E424" s="11"/>
      <c r="F424" s="13"/>
      <c r="G424" s="14"/>
      <c r="H424" s="14" t="str">
        <f ca="1">IFERROR(__xludf.DUMMYFUNCTION("IFERROR(
  AVERAGE(
    FILTER(
      $E$2:$E424,
      $A$2:$A424 &gt;= A424 - 30,
      $A$2:$A424 &lt;= A424,
      $E$2:$E424 &gt; 0
    )
  ),
"""")"),"")</f>
        <v/>
      </c>
      <c r="I424" s="14"/>
    </row>
    <row r="425" spans="1:9" ht="15.75" customHeight="1" x14ac:dyDescent="0.25">
      <c r="A425" s="9"/>
      <c r="B425" s="20"/>
      <c r="C425" s="20"/>
      <c r="D425" s="11"/>
      <c r="E425" s="11"/>
      <c r="F425" s="13"/>
      <c r="G425" s="14"/>
      <c r="H425" s="14" t="str">
        <f ca="1">IFERROR(__xludf.DUMMYFUNCTION("IFERROR(
  AVERAGE(
    FILTER(
      $E$2:$E425,
      $A$2:$A425 &gt;= A425 - 30,
      $A$2:$A425 &lt;= A425,
      $E$2:$E425 &gt; 0
    )
  ),
"""")"),"")</f>
        <v/>
      </c>
      <c r="I425" s="14"/>
    </row>
    <row r="426" spans="1:9" ht="15.75" customHeight="1" x14ac:dyDescent="0.25">
      <c r="A426" s="9"/>
      <c r="B426" s="20"/>
      <c r="C426" s="20"/>
      <c r="D426" s="11"/>
      <c r="E426" s="11"/>
      <c r="F426" s="13"/>
      <c r="G426" s="14"/>
      <c r="H426" s="14" t="str">
        <f ca="1">IFERROR(__xludf.DUMMYFUNCTION("IFERROR(
  AVERAGE(
    FILTER(
      $E$2:$E426,
      $A$2:$A426 &gt;= A426 - 30,
      $A$2:$A426 &lt;= A426,
      $E$2:$E426 &gt; 0
    )
  ),
"""")"),"")</f>
        <v/>
      </c>
      <c r="I426" s="14"/>
    </row>
    <row r="427" spans="1:9" ht="15.75" customHeight="1" x14ac:dyDescent="0.25">
      <c r="A427" s="9"/>
      <c r="B427" s="20"/>
      <c r="C427" s="20"/>
      <c r="D427" s="11"/>
      <c r="E427" s="11"/>
      <c r="F427" s="13"/>
      <c r="G427" s="14"/>
      <c r="H427" s="14" t="str">
        <f ca="1">IFERROR(__xludf.DUMMYFUNCTION("IFERROR(
  AVERAGE(
    FILTER(
      $E$2:$E427,
      $A$2:$A427 &gt;= A427 - 30,
      $A$2:$A427 &lt;= A427,
      $E$2:$E427 &gt; 0
    )
  ),
"""")"),"")</f>
        <v/>
      </c>
      <c r="I427" s="14"/>
    </row>
    <row r="428" spans="1:9" ht="15.75" customHeight="1" x14ac:dyDescent="0.25">
      <c r="A428" s="9"/>
      <c r="B428" s="20"/>
      <c r="C428" s="20"/>
      <c r="D428" s="11"/>
      <c r="E428" s="11"/>
      <c r="F428" s="13"/>
      <c r="G428" s="14"/>
      <c r="H428" s="14" t="str">
        <f ca="1">IFERROR(__xludf.DUMMYFUNCTION("IFERROR(
  AVERAGE(
    FILTER(
      $E$2:$E428,
      $A$2:$A428 &gt;= A428 - 30,
      $A$2:$A428 &lt;= A428,
      $E$2:$E428 &gt; 0
    )
  ),
"""")"),"")</f>
        <v/>
      </c>
      <c r="I428" s="14"/>
    </row>
    <row r="429" spans="1:9" ht="15.75" customHeight="1" x14ac:dyDescent="0.25">
      <c r="A429" s="9"/>
      <c r="B429" s="20"/>
      <c r="C429" s="20"/>
      <c r="D429" s="11"/>
      <c r="E429" s="11"/>
      <c r="F429" s="13"/>
      <c r="G429" s="14"/>
      <c r="H429" s="14" t="str">
        <f ca="1">IFERROR(__xludf.DUMMYFUNCTION("IFERROR(
  AVERAGE(
    FILTER(
      $E$2:$E429,
      $A$2:$A429 &gt;= A429 - 30,
      $A$2:$A429 &lt;= A429,
      $E$2:$E429 &gt; 0
    )
  ),
"""")"),"")</f>
        <v/>
      </c>
      <c r="I429" s="14"/>
    </row>
    <row r="430" spans="1:9" ht="15.75" customHeight="1" x14ac:dyDescent="0.25">
      <c r="A430" s="9"/>
      <c r="B430" s="20"/>
      <c r="C430" s="20"/>
      <c r="D430" s="11"/>
      <c r="E430" s="11"/>
      <c r="F430" s="13"/>
      <c r="G430" s="14"/>
      <c r="H430" s="14" t="str">
        <f ca="1">IFERROR(__xludf.DUMMYFUNCTION("IFERROR(
  AVERAGE(
    FILTER(
      $E$2:$E430,
      $A$2:$A430 &gt;= A430 - 30,
      $A$2:$A430 &lt;= A430,
      $E$2:$E430 &gt; 0
    )
  ),
"""")"),"")</f>
        <v/>
      </c>
      <c r="I430" s="14"/>
    </row>
    <row r="431" spans="1:9" ht="15.75" customHeight="1" x14ac:dyDescent="0.25">
      <c r="A431" s="9"/>
      <c r="B431" s="20"/>
      <c r="C431" s="20"/>
      <c r="D431" s="11"/>
      <c r="E431" s="11"/>
      <c r="F431" s="13"/>
      <c r="G431" s="14"/>
      <c r="H431" s="14" t="str">
        <f ca="1">IFERROR(__xludf.DUMMYFUNCTION("IFERROR(
  AVERAGE(
    FILTER(
      $E$2:$E431,
      $A$2:$A431 &gt;= A431 - 30,
      $A$2:$A431 &lt;= A431,
      $E$2:$E431 &gt; 0
    )
  ),
"""")"),"")</f>
        <v/>
      </c>
      <c r="I431" s="14"/>
    </row>
    <row r="432" spans="1:9" ht="15.75" customHeight="1" x14ac:dyDescent="0.25">
      <c r="A432" s="9"/>
      <c r="B432" s="20"/>
      <c r="C432" s="20"/>
      <c r="D432" s="11"/>
      <c r="E432" s="11"/>
      <c r="F432" s="13"/>
      <c r="G432" s="14"/>
      <c r="H432" s="14" t="str">
        <f ca="1">IFERROR(__xludf.DUMMYFUNCTION("IFERROR(
  AVERAGE(
    FILTER(
      $E$2:$E432,
      $A$2:$A432 &gt;= A432 - 30,
      $A$2:$A432 &lt;= A432,
      $E$2:$E432 &gt; 0
    )
  ),
"""")"),"")</f>
        <v/>
      </c>
      <c r="I432" s="14"/>
    </row>
    <row r="433" spans="1:9" ht="15.75" customHeight="1" x14ac:dyDescent="0.25">
      <c r="A433" s="9"/>
      <c r="B433" s="20"/>
      <c r="C433" s="20"/>
      <c r="D433" s="11"/>
      <c r="E433" s="11"/>
      <c r="F433" s="13"/>
      <c r="G433" s="14"/>
      <c r="H433" s="14" t="str">
        <f ca="1">IFERROR(__xludf.DUMMYFUNCTION("IFERROR(
  AVERAGE(
    FILTER(
      $E$2:$E433,
      $A$2:$A433 &gt;= A433 - 30,
      $A$2:$A433 &lt;= A433,
      $E$2:$E433 &gt; 0
    )
  ),
"""")"),"")</f>
        <v/>
      </c>
      <c r="I433" s="14"/>
    </row>
    <row r="434" spans="1:9" ht="15.75" customHeight="1" x14ac:dyDescent="0.25">
      <c r="A434" s="9"/>
      <c r="B434" s="20"/>
      <c r="C434" s="20"/>
      <c r="D434" s="11"/>
      <c r="E434" s="11"/>
      <c r="F434" s="13"/>
      <c r="G434" s="14"/>
      <c r="H434" s="14" t="str">
        <f ca="1">IFERROR(__xludf.DUMMYFUNCTION("IFERROR(
  AVERAGE(
    FILTER(
      $E$2:$E434,
      $A$2:$A434 &gt;= A434 - 30,
      $A$2:$A434 &lt;= A434,
      $E$2:$E434 &gt; 0
    )
  ),
"""")"),"")</f>
        <v/>
      </c>
      <c r="I434" s="14"/>
    </row>
    <row r="435" spans="1:9" ht="15.75" customHeight="1" x14ac:dyDescent="0.25">
      <c r="A435" s="9"/>
      <c r="B435" s="20"/>
      <c r="C435" s="20"/>
      <c r="D435" s="11"/>
      <c r="E435" s="11"/>
      <c r="F435" s="13"/>
      <c r="G435" s="14"/>
      <c r="H435" s="14" t="str">
        <f ca="1">IFERROR(__xludf.DUMMYFUNCTION("IFERROR(
  AVERAGE(
    FILTER(
      $E$2:$E435,
      $A$2:$A435 &gt;= A435 - 30,
      $A$2:$A435 &lt;= A435,
      $E$2:$E435 &gt; 0
    )
  ),
"""")"),"")</f>
        <v/>
      </c>
      <c r="I435" s="14"/>
    </row>
    <row r="436" spans="1:9" ht="15.75" customHeight="1" x14ac:dyDescent="0.25">
      <c r="A436" s="9"/>
      <c r="B436" s="20"/>
      <c r="C436" s="20"/>
      <c r="D436" s="11"/>
      <c r="E436" s="11"/>
      <c r="F436" s="13"/>
      <c r="G436" s="14"/>
      <c r="H436" s="14" t="str">
        <f ca="1">IFERROR(__xludf.DUMMYFUNCTION("IFERROR(
  AVERAGE(
    FILTER(
      $E$2:$E436,
      $A$2:$A436 &gt;= A436 - 30,
      $A$2:$A436 &lt;= A436,
      $E$2:$E436 &gt; 0
    )
  ),
"""")"),"")</f>
        <v/>
      </c>
      <c r="I436" s="14"/>
    </row>
    <row r="437" spans="1:9" ht="15.75" customHeight="1" x14ac:dyDescent="0.25">
      <c r="A437" s="9"/>
      <c r="B437" s="20"/>
      <c r="C437" s="20"/>
      <c r="D437" s="11"/>
      <c r="E437" s="11"/>
      <c r="F437" s="13"/>
      <c r="G437" s="14"/>
      <c r="H437" s="14" t="str">
        <f ca="1">IFERROR(__xludf.DUMMYFUNCTION("IFERROR(
  AVERAGE(
    FILTER(
      $E$2:$E437,
      $A$2:$A437 &gt;= A437 - 30,
      $A$2:$A437 &lt;= A437,
      $E$2:$E437 &gt; 0
    )
  ),
"""")"),"")</f>
        <v/>
      </c>
      <c r="I437" s="14"/>
    </row>
    <row r="438" spans="1:9" ht="15.75" customHeight="1" x14ac:dyDescent="0.25">
      <c r="A438" s="9"/>
      <c r="B438" s="20"/>
      <c r="C438" s="20"/>
      <c r="D438" s="11"/>
      <c r="E438" s="11"/>
      <c r="F438" s="13"/>
      <c r="G438" s="14"/>
      <c r="H438" s="14" t="str">
        <f ca="1">IFERROR(__xludf.DUMMYFUNCTION("IFERROR(
  AVERAGE(
    FILTER(
      $E$2:$E438,
      $A$2:$A438 &gt;= A438 - 30,
      $A$2:$A438 &lt;= A438,
      $E$2:$E438 &gt; 0
    )
  ),
"""")"),"")</f>
        <v/>
      </c>
      <c r="I438" s="14"/>
    </row>
    <row r="439" spans="1:9" ht="15.75" customHeight="1" x14ac:dyDescent="0.25">
      <c r="A439" s="9"/>
      <c r="B439" s="20"/>
      <c r="C439" s="20"/>
      <c r="D439" s="11"/>
      <c r="E439" s="11"/>
      <c r="F439" s="13"/>
      <c r="G439" s="14"/>
      <c r="H439" s="14" t="str">
        <f ca="1">IFERROR(__xludf.DUMMYFUNCTION("IFERROR(
  AVERAGE(
    FILTER(
      $E$2:$E439,
      $A$2:$A439 &gt;= A439 - 30,
      $A$2:$A439 &lt;= A439,
      $E$2:$E439 &gt; 0
    )
  ),
"""")"),"")</f>
        <v/>
      </c>
      <c r="I439" s="14"/>
    </row>
    <row r="440" spans="1:9" ht="15.75" customHeight="1" x14ac:dyDescent="0.25">
      <c r="A440" s="9"/>
      <c r="B440" s="20"/>
      <c r="C440" s="20"/>
      <c r="D440" s="11"/>
      <c r="E440" s="11"/>
      <c r="F440" s="13"/>
      <c r="G440" s="14"/>
      <c r="H440" s="14" t="str">
        <f ca="1">IFERROR(__xludf.DUMMYFUNCTION("IFERROR(
  AVERAGE(
    FILTER(
      $E$2:$E440,
      $A$2:$A440 &gt;= A440 - 30,
      $A$2:$A440 &lt;= A440,
      $E$2:$E440 &gt; 0
    )
  ),
"""")"),"")</f>
        <v/>
      </c>
      <c r="I440" s="14"/>
    </row>
    <row r="441" spans="1:9" ht="15.75" customHeight="1" x14ac:dyDescent="0.25">
      <c r="A441" s="9"/>
      <c r="B441" s="20"/>
      <c r="C441" s="20"/>
      <c r="D441" s="11"/>
      <c r="E441" s="11"/>
      <c r="F441" s="13"/>
      <c r="G441" s="14"/>
      <c r="H441" s="14" t="str">
        <f ca="1">IFERROR(__xludf.DUMMYFUNCTION("IFERROR(
  AVERAGE(
    FILTER(
      $E$2:$E441,
      $A$2:$A441 &gt;= A441 - 30,
      $A$2:$A441 &lt;= A441,
      $E$2:$E441 &gt; 0
    )
  ),
"""")"),"")</f>
        <v/>
      </c>
      <c r="I441" s="14"/>
    </row>
    <row r="442" spans="1:9" ht="15.75" customHeight="1" x14ac:dyDescent="0.25">
      <c r="A442" s="9"/>
      <c r="B442" s="20"/>
      <c r="C442" s="20"/>
      <c r="D442" s="11"/>
      <c r="E442" s="11"/>
      <c r="F442" s="13"/>
      <c r="G442" s="14"/>
      <c r="H442" s="14" t="str">
        <f ca="1">IFERROR(__xludf.DUMMYFUNCTION("IFERROR(
  AVERAGE(
    FILTER(
      $E$2:$E442,
      $A$2:$A442 &gt;= A442 - 30,
      $A$2:$A442 &lt;= A442,
      $E$2:$E442 &gt; 0
    )
  ),
"""")"),"")</f>
        <v/>
      </c>
      <c r="I442" s="14"/>
    </row>
    <row r="443" spans="1:9" ht="15.75" customHeight="1" x14ac:dyDescent="0.25">
      <c r="A443" s="9"/>
      <c r="B443" s="20"/>
      <c r="C443" s="20"/>
      <c r="D443" s="11"/>
      <c r="E443" s="11"/>
      <c r="F443" s="13"/>
      <c r="G443" s="14"/>
      <c r="H443" s="14" t="str">
        <f ca="1">IFERROR(__xludf.DUMMYFUNCTION("IFERROR(
  AVERAGE(
    FILTER(
      $E$2:$E443,
      $A$2:$A443 &gt;= A443 - 30,
      $A$2:$A443 &lt;= A443,
      $E$2:$E443 &gt; 0
    )
  ),
"""")"),"")</f>
        <v/>
      </c>
      <c r="I443" s="14"/>
    </row>
    <row r="444" spans="1:9" ht="15.75" customHeight="1" x14ac:dyDescent="0.25">
      <c r="A444" s="9"/>
      <c r="B444" s="20"/>
      <c r="C444" s="20"/>
      <c r="D444" s="11"/>
      <c r="E444" s="11"/>
      <c r="F444" s="13"/>
      <c r="G444" s="14"/>
      <c r="H444" s="14" t="str">
        <f ca="1">IFERROR(__xludf.DUMMYFUNCTION("IFERROR(
  AVERAGE(
    FILTER(
      $E$2:$E444,
      $A$2:$A444 &gt;= A444 - 30,
      $A$2:$A444 &lt;= A444,
      $E$2:$E444 &gt; 0
    )
  ),
"""")"),"")</f>
        <v/>
      </c>
      <c r="I444" s="14"/>
    </row>
    <row r="445" spans="1:9" ht="15.75" customHeight="1" x14ac:dyDescent="0.25">
      <c r="A445" s="9"/>
      <c r="B445" s="20"/>
      <c r="C445" s="20"/>
      <c r="D445" s="11"/>
      <c r="E445" s="11"/>
      <c r="F445" s="13"/>
      <c r="G445" s="14"/>
      <c r="H445" s="14" t="str">
        <f ca="1">IFERROR(__xludf.DUMMYFUNCTION("IFERROR(
  AVERAGE(
    FILTER(
      $E$2:$E445,
      $A$2:$A445 &gt;= A445 - 30,
      $A$2:$A445 &lt;= A445,
      $E$2:$E445 &gt; 0
    )
  ),
"""")"),"")</f>
        <v/>
      </c>
      <c r="I445" s="14"/>
    </row>
    <row r="446" spans="1:9" ht="15.75" customHeight="1" x14ac:dyDescent="0.25">
      <c r="A446" s="9"/>
      <c r="B446" s="20"/>
      <c r="C446" s="20"/>
      <c r="D446" s="11"/>
      <c r="E446" s="11"/>
      <c r="F446" s="13"/>
      <c r="G446" s="14"/>
      <c r="H446" s="14" t="str">
        <f ca="1">IFERROR(__xludf.DUMMYFUNCTION("IFERROR(
  AVERAGE(
    FILTER(
      $E$2:$E446,
      $A$2:$A446 &gt;= A446 - 30,
      $A$2:$A446 &lt;= A446,
      $E$2:$E446 &gt; 0
    )
  ),
"""")"),"")</f>
        <v/>
      </c>
      <c r="I446" s="14"/>
    </row>
    <row r="447" spans="1:9" ht="15.75" customHeight="1" x14ac:dyDescent="0.25">
      <c r="A447" s="9"/>
      <c r="B447" s="20"/>
      <c r="C447" s="20"/>
      <c r="D447" s="11"/>
      <c r="E447" s="11"/>
      <c r="F447" s="13"/>
      <c r="G447" s="14"/>
      <c r="H447" s="14" t="str">
        <f ca="1">IFERROR(__xludf.DUMMYFUNCTION("IFERROR(
  AVERAGE(
    FILTER(
      $E$2:$E447,
      $A$2:$A447 &gt;= A447 - 30,
      $A$2:$A447 &lt;= A447,
      $E$2:$E447 &gt; 0
    )
  ),
"""")"),"")</f>
        <v/>
      </c>
      <c r="I447" s="14"/>
    </row>
    <row r="448" spans="1:9" ht="15.75" customHeight="1" x14ac:dyDescent="0.25">
      <c r="A448" s="9"/>
      <c r="B448" s="20"/>
      <c r="C448" s="20"/>
      <c r="D448" s="11"/>
      <c r="E448" s="11"/>
      <c r="F448" s="13"/>
      <c r="G448" s="14"/>
      <c r="H448" s="14" t="str">
        <f ca="1">IFERROR(__xludf.DUMMYFUNCTION("IFERROR(
  AVERAGE(
    FILTER(
      $E$2:$E448,
      $A$2:$A448 &gt;= A448 - 30,
      $A$2:$A448 &lt;= A448,
      $E$2:$E448 &gt; 0
    )
  ),
"""")"),"")</f>
        <v/>
      </c>
      <c r="I448" s="14"/>
    </row>
    <row r="449" spans="1:9" ht="15.75" customHeight="1" x14ac:dyDescent="0.25">
      <c r="A449" s="9"/>
      <c r="B449" s="20"/>
      <c r="C449" s="20"/>
      <c r="D449" s="11"/>
      <c r="E449" s="11"/>
      <c r="F449" s="13"/>
      <c r="G449" s="14"/>
      <c r="H449" s="14" t="str">
        <f ca="1">IFERROR(__xludf.DUMMYFUNCTION("IFERROR(
  AVERAGE(
    FILTER(
      $E$2:$E449,
      $A$2:$A449 &gt;= A449 - 30,
      $A$2:$A449 &lt;= A449,
      $E$2:$E449 &gt; 0
    )
  ),
"""")"),"")</f>
        <v/>
      </c>
      <c r="I449" s="14"/>
    </row>
    <row r="450" spans="1:9" ht="15.75" customHeight="1" x14ac:dyDescent="0.25">
      <c r="A450" s="9"/>
      <c r="B450" s="20"/>
      <c r="C450" s="20"/>
      <c r="D450" s="11"/>
      <c r="E450" s="11"/>
      <c r="F450" s="13"/>
      <c r="G450" s="14"/>
      <c r="H450" s="14" t="str">
        <f ca="1">IFERROR(__xludf.DUMMYFUNCTION("IFERROR(
  AVERAGE(
    FILTER(
      $E$2:$E450,
      $A$2:$A450 &gt;= A450 - 30,
      $A$2:$A450 &lt;= A450,
      $E$2:$E450 &gt; 0
    )
  ),
"""")"),"")</f>
        <v/>
      </c>
      <c r="I450" s="14"/>
    </row>
    <row r="451" spans="1:9" ht="15.75" customHeight="1" x14ac:dyDescent="0.25">
      <c r="A451" s="9"/>
      <c r="B451" s="20"/>
      <c r="C451" s="20"/>
      <c r="D451" s="11"/>
      <c r="E451" s="11"/>
      <c r="F451" s="13"/>
      <c r="G451" s="14"/>
      <c r="H451" s="14" t="str">
        <f ca="1">IFERROR(__xludf.DUMMYFUNCTION("IFERROR(
  AVERAGE(
    FILTER(
      $E$2:$E451,
      $A$2:$A451 &gt;= A451 - 30,
      $A$2:$A451 &lt;= A451,
      $E$2:$E451 &gt; 0
    )
  ),
"""")"),"")</f>
        <v/>
      </c>
      <c r="I451" s="14"/>
    </row>
    <row r="452" spans="1:9" ht="15.75" customHeight="1" x14ac:dyDescent="0.25">
      <c r="A452" s="9"/>
      <c r="B452" s="20"/>
      <c r="C452" s="20"/>
      <c r="D452" s="11"/>
      <c r="E452" s="11"/>
      <c r="F452" s="13"/>
      <c r="G452" s="14"/>
      <c r="H452" s="14" t="str">
        <f ca="1">IFERROR(__xludf.DUMMYFUNCTION("IFERROR(
  AVERAGE(
    FILTER(
      $E$2:$E452,
      $A$2:$A452 &gt;= A452 - 30,
      $A$2:$A452 &lt;= A452,
      $E$2:$E452 &gt; 0
    )
  ),
"""")"),"")</f>
        <v/>
      </c>
      <c r="I452" s="14"/>
    </row>
    <row r="453" spans="1:9" ht="15.75" customHeight="1" x14ac:dyDescent="0.25">
      <c r="A453" s="9"/>
      <c r="B453" s="20"/>
      <c r="C453" s="20"/>
      <c r="D453" s="11"/>
      <c r="E453" s="11"/>
      <c r="F453" s="13"/>
      <c r="G453" s="14"/>
      <c r="H453" s="14" t="str">
        <f ca="1">IFERROR(__xludf.DUMMYFUNCTION("IFERROR(
  AVERAGE(
    FILTER(
      $E$2:$E453,
      $A$2:$A453 &gt;= A453 - 30,
      $A$2:$A453 &lt;= A453,
      $E$2:$E453 &gt; 0
    )
  ),
"""")"),"")</f>
        <v/>
      </c>
      <c r="I453" s="14"/>
    </row>
    <row r="454" spans="1:9" ht="15.75" customHeight="1" x14ac:dyDescent="0.25">
      <c r="A454" s="9"/>
      <c r="B454" s="20"/>
      <c r="C454" s="20"/>
      <c r="D454" s="11"/>
      <c r="E454" s="11"/>
      <c r="F454" s="13"/>
      <c r="G454" s="14"/>
      <c r="H454" s="14" t="str">
        <f ca="1">IFERROR(__xludf.DUMMYFUNCTION("IFERROR(
  AVERAGE(
    FILTER(
      $E$2:$E454,
      $A$2:$A454 &gt;= A454 - 30,
      $A$2:$A454 &lt;= A454,
      $E$2:$E454 &gt; 0
    )
  ),
"""")"),"")</f>
        <v/>
      </c>
      <c r="I454" s="14"/>
    </row>
    <row r="455" spans="1:9" ht="15.75" customHeight="1" x14ac:dyDescent="0.25">
      <c r="A455" s="9"/>
      <c r="B455" s="20"/>
      <c r="C455" s="20"/>
      <c r="D455" s="11"/>
      <c r="E455" s="11"/>
      <c r="F455" s="13"/>
      <c r="G455" s="14"/>
      <c r="H455" s="14" t="str">
        <f ca="1">IFERROR(__xludf.DUMMYFUNCTION("IFERROR(
  AVERAGE(
    FILTER(
      $E$2:$E455,
      $A$2:$A455 &gt;= A455 - 30,
      $A$2:$A455 &lt;= A455,
      $E$2:$E455 &gt; 0
    )
  ),
"""")"),"")</f>
        <v/>
      </c>
      <c r="I455" s="14"/>
    </row>
    <row r="456" spans="1:9" ht="15.75" customHeight="1" x14ac:dyDescent="0.25">
      <c r="A456" s="9"/>
      <c r="B456" s="20"/>
      <c r="C456" s="20"/>
      <c r="D456" s="11"/>
      <c r="E456" s="11"/>
      <c r="F456" s="13"/>
      <c r="G456" s="14"/>
      <c r="H456" s="14" t="str">
        <f ca="1">IFERROR(__xludf.DUMMYFUNCTION("IFERROR(
  AVERAGE(
    FILTER(
      $E$2:$E456,
      $A$2:$A456 &gt;= A456 - 30,
      $A$2:$A456 &lt;= A456,
      $E$2:$E456 &gt; 0
    )
  ),
"""")"),"")</f>
        <v/>
      </c>
      <c r="I456" s="14"/>
    </row>
    <row r="457" spans="1:9" ht="15.75" customHeight="1" x14ac:dyDescent="0.25">
      <c r="A457" s="9"/>
      <c r="B457" s="20"/>
      <c r="C457" s="20"/>
      <c r="D457" s="11"/>
      <c r="E457" s="11"/>
      <c r="F457" s="13"/>
      <c r="G457" s="14"/>
      <c r="H457" s="14" t="str">
        <f ca="1">IFERROR(__xludf.DUMMYFUNCTION("IFERROR(
  AVERAGE(
    FILTER(
      $E$2:$E457,
      $A$2:$A457 &gt;= A457 - 30,
      $A$2:$A457 &lt;= A457,
      $E$2:$E457 &gt; 0
    )
  ),
"""")"),"")</f>
        <v/>
      </c>
      <c r="I457" s="14"/>
    </row>
    <row r="458" spans="1:9" ht="15.75" customHeight="1" x14ac:dyDescent="0.25">
      <c r="A458" s="9"/>
      <c r="B458" s="20"/>
      <c r="C458" s="20"/>
      <c r="D458" s="11"/>
      <c r="E458" s="11"/>
      <c r="F458" s="13"/>
      <c r="G458" s="14"/>
      <c r="H458" s="14" t="str">
        <f ca="1">IFERROR(__xludf.DUMMYFUNCTION("IFERROR(
  AVERAGE(
    FILTER(
      $E$2:$E458,
      $A$2:$A458 &gt;= A458 - 30,
      $A$2:$A458 &lt;= A458,
      $E$2:$E458 &gt; 0
    )
  ),
"""")"),"")</f>
        <v/>
      </c>
      <c r="I458" s="14"/>
    </row>
    <row r="459" spans="1:9" ht="15.75" customHeight="1" x14ac:dyDescent="0.25">
      <c r="A459" s="9"/>
      <c r="B459" s="20"/>
      <c r="C459" s="20"/>
      <c r="D459" s="11"/>
      <c r="E459" s="11"/>
      <c r="F459" s="13"/>
      <c r="G459" s="14"/>
      <c r="H459" s="14" t="str">
        <f ca="1">IFERROR(__xludf.DUMMYFUNCTION("IFERROR(
  AVERAGE(
    FILTER(
      $E$2:$E459,
      $A$2:$A459 &gt;= A459 - 30,
      $A$2:$A459 &lt;= A459,
      $E$2:$E459 &gt; 0
    )
  ),
"""")"),"")</f>
        <v/>
      </c>
      <c r="I459" s="14"/>
    </row>
    <row r="460" spans="1:9" ht="15.75" customHeight="1" x14ac:dyDescent="0.25">
      <c r="A460" s="9"/>
      <c r="B460" s="20"/>
      <c r="C460" s="20"/>
      <c r="D460" s="11"/>
      <c r="E460" s="11"/>
      <c r="F460" s="13"/>
      <c r="G460" s="14"/>
      <c r="H460" s="14" t="str">
        <f ca="1">IFERROR(__xludf.DUMMYFUNCTION("IFERROR(
  AVERAGE(
    FILTER(
      $E$2:$E460,
      $A$2:$A460 &gt;= A460 - 30,
      $A$2:$A460 &lt;= A460,
      $E$2:$E460 &gt; 0
    )
  ),
"""")"),"")</f>
        <v/>
      </c>
      <c r="I460" s="14"/>
    </row>
    <row r="461" spans="1:9" ht="15.75" customHeight="1" x14ac:dyDescent="0.25">
      <c r="A461" s="9"/>
      <c r="B461" s="20"/>
      <c r="C461" s="20"/>
      <c r="D461" s="11"/>
      <c r="E461" s="11"/>
      <c r="F461" s="13"/>
      <c r="G461" s="14"/>
      <c r="H461" s="14" t="str">
        <f ca="1">IFERROR(__xludf.DUMMYFUNCTION("IFERROR(
  AVERAGE(
    FILTER(
      $E$2:$E461,
      $A$2:$A461 &gt;= A461 - 30,
      $A$2:$A461 &lt;= A461,
      $E$2:$E461 &gt; 0
    )
  ),
"""")"),"")</f>
        <v/>
      </c>
      <c r="I461" s="14"/>
    </row>
    <row r="462" spans="1:9" ht="15.75" customHeight="1" x14ac:dyDescent="0.25">
      <c r="A462" s="9"/>
      <c r="B462" s="20"/>
      <c r="C462" s="20"/>
      <c r="D462" s="11"/>
      <c r="E462" s="11"/>
      <c r="F462" s="13"/>
      <c r="G462" s="14"/>
      <c r="H462" s="14" t="str">
        <f ca="1">IFERROR(__xludf.DUMMYFUNCTION("IFERROR(
  AVERAGE(
    FILTER(
      $E$2:$E462,
      $A$2:$A462 &gt;= A462 - 30,
      $A$2:$A462 &lt;= A462,
      $E$2:$E462 &gt; 0
    )
  ),
"""")"),"")</f>
        <v/>
      </c>
      <c r="I462" s="14"/>
    </row>
    <row r="463" spans="1:9" ht="15.75" customHeight="1" x14ac:dyDescent="0.25">
      <c r="A463" s="9"/>
      <c r="B463" s="20"/>
      <c r="C463" s="20"/>
      <c r="D463" s="11"/>
      <c r="E463" s="11"/>
      <c r="F463" s="13"/>
      <c r="G463" s="14"/>
      <c r="H463" s="14" t="str">
        <f ca="1">IFERROR(__xludf.DUMMYFUNCTION("IFERROR(
  AVERAGE(
    FILTER(
      $E$2:$E463,
      $A$2:$A463 &gt;= A463 - 30,
      $A$2:$A463 &lt;= A463,
      $E$2:$E463 &gt; 0
    )
  ),
"""")"),"")</f>
        <v/>
      </c>
      <c r="I463" s="14"/>
    </row>
    <row r="464" spans="1:9" ht="15.75" customHeight="1" x14ac:dyDescent="0.25">
      <c r="A464" s="9"/>
      <c r="B464" s="20"/>
      <c r="C464" s="20"/>
      <c r="D464" s="11"/>
      <c r="E464" s="11"/>
      <c r="F464" s="13"/>
      <c r="G464" s="14"/>
      <c r="H464" s="14" t="str">
        <f ca="1">IFERROR(__xludf.DUMMYFUNCTION("IFERROR(
  AVERAGE(
    FILTER(
      $E$2:$E464,
      $A$2:$A464 &gt;= A464 - 30,
      $A$2:$A464 &lt;= A464,
      $E$2:$E464 &gt; 0
    )
  ),
"""")"),"")</f>
        <v/>
      </c>
      <c r="I464" s="14"/>
    </row>
    <row r="465" spans="1:9" ht="15.75" customHeight="1" x14ac:dyDescent="0.25">
      <c r="A465" s="9"/>
      <c r="B465" s="20"/>
      <c r="C465" s="20"/>
      <c r="D465" s="11"/>
      <c r="E465" s="11"/>
      <c r="F465" s="13"/>
      <c r="G465" s="14"/>
      <c r="H465" s="14" t="str">
        <f ca="1">IFERROR(__xludf.DUMMYFUNCTION("IFERROR(
  AVERAGE(
    FILTER(
      $E$2:$E465,
      $A$2:$A465 &gt;= A465 - 30,
      $A$2:$A465 &lt;= A465,
      $E$2:$E465 &gt; 0
    )
  ),
"""")"),"")</f>
        <v/>
      </c>
      <c r="I465" s="14"/>
    </row>
    <row r="466" spans="1:9" ht="15.75" customHeight="1" x14ac:dyDescent="0.25">
      <c r="A466" s="9"/>
      <c r="B466" s="20"/>
      <c r="C466" s="20"/>
      <c r="D466" s="11"/>
      <c r="E466" s="11"/>
      <c r="F466" s="13"/>
      <c r="G466" s="14"/>
      <c r="H466" s="14" t="str">
        <f ca="1">IFERROR(__xludf.DUMMYFUNCTION("IFERROR(
  AVERAGE(
    FILTER(
      $E$2:$E466,
      $A$2:$A466 &gt;= A466 - 30,
      $A$2:$A466 &lt;= A466,
      $E$2:$E466 &gt; 0
    )
  ),
"""")"),"")</f>
        <v/>
      </c>
      <c r="I466" s="14"/>
    </row>
    <row r="467" spans="1:9" ht="15.75" customHeight="1" x14ac:dyDescent="0.25">
      <c r="A467" s="9"/>
      <c r="B467" s="20"/>
      <c r="C467" s="20"/>
      <c r="D467" s="11"/>
      <c r="E467" s="11"/>
      <c r="F467" s="13"/>
      <c r="G467" s="14"/>
      <c r="H467" s="14" t="str">
        <f ca="1">IFERROR(__xludf.DUMMYFUNCTION("IFERROR(
  AVERAGE(
    FILTER(
      $E$2:$E467,
      $A$2:$A467 &gt;= A467 - 30,
      $A$2:$A467 &lt;= A467,
      $E$2:$E467 &gt; 0
    )
  ),
"""")"),"")</f>
        <v/>
      </c>
      <c r="I467" s="14"/>
    </row>
    <row r="468" spans="1:9" ht="15.75" customHeight="1" x14ac:dyDescent="0.25">
      <c r="A468" s="9"/>
      <c r="B468" s="20"/>
      <c r="C468" s="20"/>
      <c r="D468" s="11"/>
      <c r="E468" s="11"/>
      <c r="F468" s="13"/>
      <c r="G468" s="14"/>
      <c r="H468" s="14" t="str">
        <f ca="1">IFERROR(__xludf.DUMMYFUNCTION("IFERROR(
  AVERAGE(
    FILTER(
      $E$2:$E468,
      $A$2:$A468 &gt;= A468 - 30,
      $A$2:$A468 &lt;= A468,
      $E$2:$E468 &gt; 0
    )
  ),
"""")"),"")</f>
        <v/>
      </c>
      <c r="I468" s="14"/>
    </row>
    <row r="469" spans="1:9" ht="15.75" customHeight="1" x14ac:dyDescent="0.25">
      <c r="A469" s="9"/>
      <c r="B469" s="20"/>
      <c r="C469" s="20"/>
      <c r="D469" s="11"/>
      <c r="E469" s="11"/>
      <c r="F469" s="13"/>
      <c r="G469" s="14"/>
      <c r="H469" s="14" t="str">
        <f ca="1">IFERROR(__xludf.DUMMYFUNCTION("IFERROR(
  AVERAGE(
    FILTER(
      $E$2:$E469,
      $A$2:$A469 &gt;= A469 - 30,
      $A$2:$A469 &lt;= A469,
      $E$2:$E469 &gt; 0
    )
  ),
"""")"),"")</f>
        <v/>
      </c>
      <c r="I469" s="14"/>
    </row>
    <row r="470" spans="1:9" ht="15.75" customHeight="1" x14ac:dyDescent="0.25">
      <c r="A470" s="9"/>
      <c r="B470" s="20"/>
      <c r="C470" s="20"/>
      <c r="D470" s="11"/>
      <c r="E470" s="11"/>
      <c r="F470" s="13"/>
      <c r="G470" s="14"/>
      <c r="H470" s="14" t="str">
        <f ca="1">IFERROR(__xludf.DUMMYFUNCTION("IFERROR(
  AVERAGE(
    FILTER(
      $E$2:$E470,
      $A$2:$A470 &gt;= A470 - 30,
      $A$2:$A470 &lt;= A470,
      $E$2:$E470 &gt; 0
    )
  ),
"""")"),"")</f>
        <v/>
      </c>
      <c r="I470" s="14"/>
    </row>
    <row r="471" spans="1:9" ht="15.75" customHeight="1" x14ac:dyDescent="0.25">
      <c r="A471" s="9"/>
      <c r="B471" s="20"/>
      <c r="C471" s="20"/>
      <c r="D471" s="11"/>
      <c r="E471" s="11"/>
      <c r="F471" s="13"/>
      <c r="G471" s="14"/>
      <c r="H471" s="14" t="str">
        <f ca="1">IFERROR(__xludf.DUMMYFUNCTION("IFERROR(
  AVERAGE(
    FILTER(
      $E$2:$E471,
      $A$2:$A471 &gt;= A471 - 30,
      $A$2:$A471 &lt;= A471,
      $E$2:$E471 &gt; 0
    )
  ),
"""")"),"")</f>
        <v/>
      </c>
      <c r="I471" s="14"/>
    </row>
    <row r="472" spans="1:9" ht="15.75" customHeight="1" x14ac:dyDescent="0.25">
      <c r="A472" s="9"/>
      <c r="B472" s="20"/>
      <c r="C472" s="20"/>
      <c r="D472" s="11"/>
      <c r="E472" s="11"/>
      <c r="F472" s="13"/>
      <c r="G472" s="14"/>
      <c r="H472" s="14" t="str">
        <f ca="1">IFERROR(__xludf.DUMMYFUNCTION("IFERROR(
  AVERAGE(
    FILTER(
      $E$2:$E472,
      $A$2:$A472 &gt;= A472 - 30,
      $A$2:$A472 &lt;= A472,
      $E$2:$E472 &gt; 0
    )
  ),
"""")"),"")</f>
        <v/>
      </c>
      <c r="I472" s="14"/>
    </row>
    <row r="473" spans="1:9" ht="15.75" customHeight="1" x14ac:dyDescent="0.25">
      <c r="A473" s="9"/>
      <c r="B473" s="20"/>
      <c r="C473" s="20"/>
      <c r="D473" s="11"/>
      <c r="E473" s="11"/>
      <c r="F473" s="13"/>
      <c r="G473" s="14"/>
      <c r="H473" s="14" t="str">
        <f ca="1">IFERROR(__xludf.DUMMYFUNCTION("IFERROR(
  AVERAGE(
    FILTER(
      $E$2:$E473,
      $A$2:$A473 &gt;= A473 - 30,
      $A$2:$A473 &lt;= A473,
      $E$2:$E473 &gt; 0
    )
  ),
"""")"),"")</f>
        <v/>
      </c>
      <c r="I473" s="14"/>
    </row>
    <row r="474" spans="1:9" ht="15.75" customHeight="1" x14ac:dyDescent="0.25">
      <c r="A474" s="9"/>
      <c r="B474" s="20"/>
      <c r="C474" s="20"/>
      <c r="D474" s="11"/>
      <c r="E474" s="11"/>
      <c r="F474" s="13"/>
      <c r="G474" s="14"/>
      <c r="H474" s="14" t="str">
        <f ca="1">IFERROR(__xludf.DUMMYFUNCTION("IFERROR(
  AVERAGE(
    FILTER(
      $E$2:$E474,
      $A$2:$A474 &gt;= A474 - 30,
      $A$2:$A474 &lt;= A474,
      $E$2:$E474 &gt; 0
    )
  ),
"""")"),"")</f>
        <v/>
      </c>
      <c r="I474" s="14"/>
    </row>
    <row r="475" spans="1:9" ht="15.75" customHeight="1" x14ac:dyDescent="0.25">
      <c r="A475" s="9"/>
      <c r="B475" s="20"/>
      <c r="C475" s="20"/>
      <c r="D475" s="11"/>
      <c r="E475" s="11"/>
      <c r="F475" s="13"/>
      <c r="G475" s="14"/>
      <c r="H475" s="14" t="str">
        <f ca="1">IFERROR(__xludf.DUMMYFUNCTION("IFERROR(
  AVERAGE(
    FILTER(
      $E$2:$E475,
      $A$2:$A475 &gt;= A475 - 30,
      $A$2:$A475 &lt;= A475,
      $E$2:$E475 &gt; 0
    )
  ),
"""")"),"")</f>
        <v/>
      </c>
      <c r="I475" s="14"/>
    </row>
    <row r="476" spans="1:9" ht="15.75" customHeight="1" x14ac:dyDescent="0.25">
      <c r="A476" s="9"/>
      <c r="B476" s="20"/>
      <c r="C476" s="20"/>
      <c r="D476" s="11"/>
      <c r="E476" s="11"/>
      <c r="F476" s="13"/>
      <c r="G476" s="14"/>
      <c r="H476" s="14" t="str">
        <f ca="1">IFERROR(__xludf.DUMMYFUNCTION("IFERROR(
  AVERAGE(
    FILTER(
      $E$2:$E476,
      $A$2:$A476 &gt;= A476 - 30,
      $A$2:$A476 &lt;= A476,
      $E$2:$E476 &gt; 0
    )
  ),
"""")"),"")</f>
        <v/>
      </c>
      <c r="I476" s="14"/>
    </row>
    <row r="477" spans="1:9" ht="15.75" customHeight="1" x14ac:dyDescent="0.25">
      <c r="A477" s="9"/>
      <c r="B477" s="20"/>
      <c r="C477" s="20"/>
      <c r="D477" s="11"/>
      <c r="E477" s="11"/>
      <c r="F477" s="13"/>
      <c r="G477" s="14"/>
      <c r="H477" s="14" t="str">
        <f ca="1">IFERROR(__xludf.DUMMYFUNCTION("IFERROR(
  AVERAGE(
    FILTER(
      $E$2:$E477,
      $A$2:$A477 &gt;= A477 - 30,
      $A$2:$A477 &lt;= A477,
      $E$2:$E477 &gt; 0
    )
  ),
"""")"),"")</f>
        <v/>
      </c>
      <c r="I477" s="14"/>
    </row>
    <row r="478" spans="1:9" ht="15.75" customHeight="1" x14ac:dyDescent="0.25">
      <c r="A478" s="9"/>
      <c r="B478" s="20"/>
      <c r="C478" s="20"/>
      <c r="D478" s="11"/>
      <c r="E478" s="11"/>
      <c r="F478" s="13"/>
      <c r="G478" s="14"/>
      <c r="H478" s="14" t="str">
        <f ca="1">IFERROR(__xludf.DUMMYFUNCTION("IFERROR(
  AVERAGE(
    FILTER(
      $E$2:$E478,
      $A$2:$A478 &gt;= A478 - 30,
      $A$2:$A478 &lt;= A478,
      $E$2:$E478 &gt; 0
    )
  ),
"""")"),"")</f>
        <v/>
      </c>
      <c r="I478" s="14"/>
    </row>
    <row r="479" spans="1:9" ht="15.75" customHeight="1" x14ac:dyDescent="0.25">
      <c r="A479" s="9"/>
      <c r="B479" s="20"/>
      <c r="C479" s="20"/>
      <c r="D479" s="11"/>
      <c r="E479" s="11"/>
      <c r="F479" s="13"/>
      <c r="G479" s="14"/>
      <c r="H479" s="14" t="str">
        <f ca="1">IFERROR(__xludf.DUMMYFUNCTION("IFERROR(
  AVERAGE(
    FILTER(
      $E$2:$E479,
      $A$2:$A479 &gt;= A479 - 30,
      $A$2:$A479 &lt;= A479,
      $E$2:$E479 &gt; 0
    )
  ),
"""")"),"")</f>
        <v/>
      </c>
      <c r="I479" s="14"/>
    </row>
    <row r="480" spans="1:9" ht="15.75" customHeight="1" x14ac:dyDescent="0.25">
      <c r="A480" s="9"/>
      <c r="B480" s="20"/>
      <c r="C480" s="20"/>
      <c r="D480" s="11"/>
      <c r="E480" s="11"/>
      <c r="F480" s="13"/>
      <c r="G480" s="14"/>
      <c r="H480" s="14" t="str">
        <f ca="1">IFERROR(__xludf.DUMMYFUNCTION("IFERROR(
  AVERAGE(
    FILTER(
      $E$2:$E480,
      $A$2:$A480 &gt;= A480 - 30,
      $A$2:$A480 &lt;= A480,
      $E$2:$E480 &gt; 0
    )
  ),
"""")"),"")</f>
        <v/>
      </c>
      <c r="I480" s="14"/>
    </row>
    <row r="481" spans="1:9" ht="15.75" customHeight="1" x14ac:dyDescent="0.25">
      <c r="A481" s="9"/>
      <c r="B481" s="20"/>
      <c r="C481" s="20"/>
      <c r="D481" s="11"/>
      <c r="E481" s="11"/>
      <c r="F481" s="13"/>
      <c r="G481" s="14"/>
      <c r="H481" s="14" t="str">
        <f ca="1">IFERROR(__xludf.DUMMYFUNCTION("IFERROR(
  AVERAGE(
    FILTER(
      $E$2:$E481,
      $A$2:$A481 &gt;= A481 - 30,
      $A$2:$A481 &lt;= A481,
      $E$2:$E481 &gt; 0
    )
  ),
"""")"),"")</f>
        <v/>
      </c>
      <c r="I481" s="14"/>
    </row>
    <row r="482" spans="1:9" ht="15.75" customHeight="1" x14ac:dyDescent="0.25">
      <c r="A482" s="9"/>
      <c r="B482" s="20"/>
      <c r="C482" s="20"/>
      <c r="D482" s="11"/>
      <c r="E482" s="11"/>
      <c r="F482" s="13"/>
      <c r="G482" s="14"/>
      <c r="H482" s="14" t="str">
        <f ca="1">IFERROR(__xludf.DUMMYFUNCTION("IFERROR(
  AVERAGE(
    FILTER(
      $E$2:$E482,
      $A$2:$A482 &gt;= A482 - 30,
      $A$2:$A482 &lt;= A482,
      $E$2:$E482 &gt; 0
    )
  ),
"""")"),"")</f>
        <v/>
      </c>
      <c r="I482" s="14"/>
    </row>
    <row r="483" spans="1:9" ht="15.75" customHeight="1" x14ac:dyDescent="0.25">
      <c r="A483" s="9"/>
      <c r="B483" s="20"/>
      <c r="C483" s="20"/>
      <c r="D483" s="11"/>
      <c r="E483" s="11"/>
      <c r="F483" s="13"/>
      <c r="G483" s="14"/>
      <c r="H483" s="14" t="str">
        <f ca="1">IFERROR(__xludf.DUMMYFUNCTION("IFERROR(
  AVERAGE(
    FILTER(
      $E$2:$E483,
      $A$2:$A483 &gt;= A483 - 30,
      $A$2:$A483 &lt;= A483,
      $E$2:$E483 &gt; 0
    )
  ),
"""")"),"")</f>
        <v/>
      </c>
      <c r="I483" s="14"/>
    </row>
    <row r="484" spans="1:9" ht="15.75" customHeight="1" x14ac:dyDescent="0.25">
      <c r="A484" s="9"/>
      <c r="B484" s="20"/>
      <c r="C484" s="20"/>
      <c r="D484" s="11"/>
      <c r="E484" s="11"/>
      <c r="F484" s="13"/>
      <c r="G484" s="14"/>
      <c r="H484" s="14" t="str">
        <f ca="1">IFERROR(__xludf.DUMMYFUNCTION("IFERROR(
  AVERAGE(
    FILTER(
      $E$2:$E484,
      $A$2:$A484 &gt;= A484 - 30,
      $A$2:$A484 &lt;= A484,
      $E$2:$E484 &gt; 0
    )
  ),
"""")"),"")</f>
        <v/>
      </c>
      <c r="I484" s="14"/>
    </row>
    <row r="485" spans="1:9" ht="15.75" customHeight="1" x14ac:dyDescent="0.25">
      <c r="A485" s="9"/>
      <c r="B485" s="20"/>
      <c r="C485" s="20"/>
      <c r="D485" s="11"/>
      <c r="E485" s="11"/>
      <c r="F485" s="13"/>
      <c r="G485" s="14"/>
      <c r="H485" s="14" t="str">
        <f ca="1">IFERROR(__xludf.DUMMYFUNCTION("IFERROR(
  AVERAGE(
    FILTER(
      $E$2:$E485,
      $A$2:$A485 &gt;= A485 - 30,
      $A$2:$A485 &lt;= A485,
      $E$2:$E485 &gt; 0
    )
  ),
"""")"),"")</f>
        <v/>
      </c>
      <c r="I485" s="14"/>
    </row>
    <row r="486" spans="1:9" ht="15.75" customHeight="1" x14ac:dyDescent="0.25">
      <c r="A486" s="9"/>
      <c r="B486" s="20"/>
      <c r="C486" s="20"/>
      <c r="D486" s="11"/>
      <c r="E486" s="11"/>
      <c r="F486" s="13"/>
      <c r="G486" s="14"/>
      <c r="H486" s="14" t="str">
        <f ca="1">IFERROR(__xludf.DUMMYFUNCTION("IFERROR(
  AVERAGE(
    FILTER(
      $E$2:$E486,
      $A$2:$A486 &gt;= A486 - 30,
      $A$2:$A486 &lt;= A486,
      $E$2:$E486 &gt; 0
    )
  ),
"""")"),"")</f>
        <v/>
      </c>
      <c r="I486" s="14"/>
    </row>
    <row r="487" spans="1:9" ht="15.75" customHeight="1" x14ac:dyDescent="0.25">
      <c r="A487" s="9"/>
      <c r="B487" s="20"/>
      <c r="C487" s="20"/>
      <c r="D487" s="11"/>
      <c r="E487" s="11"/>
      <c r="F487" s="13"/>
      <c r="G487" s="14"/>
      <c r="H487" s="14" t="str">
        <f ca="1">IFERROR(__xludf.DUMMYFUNCTION("IFERROR(
  AVERAGE(
    FILTER(
      $E$2:$E487,
      $A$2:$A487 &gt;= A487 - 30,
      $A$2:$A487 &lt;= A487,
      $E$2:$E487 &gt; 0
    )
  ),
"""")"),"")</f>
        <v/>
      </c>
      <c r="I487" s="14"/>
    </row>
    <row r="488" spans="1:9" ht="15.75" customHeight="1" x14ac:dyDescent="0.25">
      <c r="A488" s="9"/>
      <c r="B488" s="20"/>
      <c r="C488" s="20"/>
      <c r="D488" s="11"/>
      <c r="E488" s="11"/>
      <c r="F488" s="13"/>
      <c r="G488" s="14"/>
      <c r="H488" s="14" t="str">
        <f ca="1">IFERROR(__xludf.DUMMYFUNCTION("IFERROR(
  AVERAGE(
    FILTER(
      $E$2:$E488,
      $A$2:$A488 &gt;= A488 - 30,
      $A$2:$A488 &lt;= A488,
      $E$2:$E488 &gt; 0
    )
  ),
"""")"),"")</f>
        <v/>
      </c>
      <c r="I488" s="14"/>
    </row>
    <row r="489" spans="1:9" ht="15.75" customHeight="1" x14ac:dyDescent="0.25">
      <c r="A489" s="9"/>
      <c r="B489" s="20"/>
      <c r="C489" s="20"/>
      <c r="D489" s="11"/>
      <c r="E489" s="11"/>
      <c r="F489" s="13"/>
      <c r="G489" s="14"/>
      <c r="H489" s="14" t="str">
        <f ca="1">IFERROR(__xludf.DUMMYFUNCTION("IFERROR(
  AVERAGE(
    FILTER(
      $E$2:$E489,
      $A$2:$A489 &gt;= A489 - 30,
      $A$2:$A489 &lt;= A489,
      $E$2:$E489 &gt; 0
    )
  ),
"""")"),"")</f>
        <v/>
      </c>
      <c r="I489" s="14"/>
    </row>
    <row r="490" spans="1:9" ht="15.75" customHeight="1" x14ac:dyDescent="0.25">
      <c r="A490" s="9"/>
      <c r="B490" s="20"/>
      <c r="C490" s="20"/>
      <c r="D490" s="11"/>
      <c r="E490" s="11"/>
      <c r="F490" s="13"/>
      <c r="G490" s="14"/>
      <c r="H490" s="14" t="str">
        <f ca="1">IFERROR(__xludf.DUMMYFUNCTION("IFERROR(
  AVERAGE(
    FILTER(
      $E$2:$E490,
      $A$2:$A490 &gt;= A490 - 30,
      $A$2:$A490 &lt;= A490,
      $E$2:$E490 &gt; 0
    )
  ),
"""")"),"")</f>
        <v/>
      </c>
      <c r="I490" s="14"/>
    </row>
    <row r="491" spans="1:9" ht="15.75" customHeight="1" x14ac:dyDescent="0.25">
      <c r="A491" s="9"/>
      <c r="B491" s="20"/>
      <c r="C491" s="20"/>
      <c r="D491" s="11"/>
      <c r="E491" s="11"/>
      <c r="F491" s="13"/>
      <c r="G491" s="14"/>
      <c r="H491" s="14" t="str">
        <f ca="1">IFERROR(__xludf.DUMMYFUNCTION("IFERROR(
  AVERAGE(
    FILTER(
      $E$2:$E491,
      $A$2:$A491 &gt;= A491 - 30,
      $A$2:$A491 &lt;= A491,
      $E$2:$E491 &gt; 0
    )
  ),
"""")"),"")</f>
        <v/>
      </c>
      <c r="I491" s="14"/>
    </row>
    <row r="492" spans="1:9" ht="15.75" customHeight="1" x14ac:dyDescent="0.25">
      <c r="A492" s="9"/>
      <c r="B492" s="20"/>
      <c r="C492" s="20"/>
      <c r="D492" s="11"/>
      <c r="E492" s="11"/>
      <c r="F492" s="13"/>
      <c r="G492" s="14"/>
      <c r="H492" s="14" t="str">
        <f ca="1">IFERROR(__xludf.DUMMYFUNCTION("IFERROR(
  AVERAGE(
    FILTER(
      $E$2:$E492,
      $A$2:$A492 &gt;= A492 - 30,
      $A$2:$A492 &lt;= A492,
      $E$2:$E492 &gt; 0
    )
  ),
"""")"),"")</f>
        <v/>
      </c>
      <c r="I492" s="14"/>
    </row>
    <row r="493" spans="1:9" ht="15.75" customHeight="1" x14ac:dyDescent="0.25">
      <c r="A493" s="9"/>
      <c r="B493" s="20"/>
      <c r="C493" s="20"/>
      <c r="D493" s="11"/>
      <c r="E493" s="11"/>
      <c r="F493" s="13"/>
      <c r="G493" s="14"/>
      <c r="H493" s="14" t="str">
        <f ca="1">IFERROR(__xludf.DUMMYFUNCTION("IFERROR(
  AVERAGE(
    FILTER(
      $E$2:$E493,
      $A$2:$A493 &gt;= A493 - 30,
      $A$2:$A493 &lt;= A493,
      $E$2:$E493 &gt; 0
    )
  ),
"""")"),"")</f>
        <v/>
      </c>
      <c r="I493" s="14"/>
    </row>
    <row r="494" spans="1:9" ht="15.75" customHeight="1" x14ac:dyDescent="0.25">
      <c r="A494" s="9"/>
      <c r="B494" s="20"/>
      <c r="C494" s="20"/>
      <c r="D494" s="11"/>
      <c r="E494" s="11"/>
      <c r="F494" s="13"/>
      <c r="G494" s="14"/>
      <c r="H494" s="14" t="str">
        <f ca="1">IFERROR(__xludf.DUMMYFUNCTION("IFERROR(
  AVERAGE(
    FILTER(
      $E$2:$E494,
      $A$2:$A494 &gt;= A494 - 30,
      $A$2:$A494 &lt;= A494,
      $E$2:$E494 &gt; 0
    )
  ),
"""")"),"")</f>
        <v/>
      </c>
      <c r="I494" s="14"/>
    </row>
    <row r="495" spans="1:9" ht="15.75" customHeight="1" x14ac:dyDescent="0.25">
      <c r="A495" s="9"/>
      <c r="B495" s="20"/>
      <c r="C495" s="20"/>
      <c r="D495" s="11"/>
      <c r="E495" s="11"/>
      <c r="F495" s="13"/>
      <c r="G495" s="14"/>
      <c r="H495" s="14" t="str">
        <f ca="1">IFERROR(__xludf.DUMMYFUNCTION("IFERROR(
  AVERAGE(
    FILTER(
      $E$2:$E495,
      $A$2:$A495 &gt;= A495 - 30,
      $A$2:$A495 &lt;= A495,
      $E$2:$E495 &gt; 0
    )
  ),
"""")"),"")</f>
        <v/>
      </c>
      <c r="I495" s="14"/>
    </row>
    <row r="496" spans="1:9" ht="15.75" customHeight="1" x14ac:dyDescent="0.25">
      <c r="A496" s="9"/>
      <c r="B496" s="20"/>
      <c r="C496" s="20"/>
      <c r="D496" s="11"/>
      <c r="E496" s="11"/>
      <c r="F496" s="13"/>
      <c r="G496" s="14"/>
      <c r="H496" s="14" t="str">
        <f ca="1">IFERROR(__xludf.DUMMYFUNCTION("IFERROR(
  AVERAGE(
    FILTER(
      $E$2:$E496,
      $A$2:$A496 &gt;= A496 - 30,
      $A$2:$A496 &lt;= A496,
      $E$2:$E496 &gt; 0
    )
  ),
"""")"),"")</f>
        <v/>
      </c>
      <c r="I496" s="14"/>
    </row>
    <row r="497" spans="1:9" ht="15.75" customHeight="1" x14ac:dyDescent="0.25">
      <c r="A497" s="9"/>
      <c r="B497" s="20"/>
      <c r="C497" s="20"/>
      <c r="D497" s="11"/>
      <c r="E497" s="11"/>
      <c r="F497" s="13"/>
      <c r="G497" s="14"/>
      <c r="H497" s="14" t="str">
        <f ca="1">IFERROR(__xludf.DUMMYFUNCTION("IFERROR(
  AVERAGE(
    FILTER(
      $E$2:$E497,
      $A$2:$A497 &gt;= A497 - 30,
      $A$2:$A497 &lt;= A497,
      $E$2:$E497 &gt; 0
    )
  ),
"""")"),"")</f>
        <v/>
      </c>
      <c r="I497" s="14"/>
    </row>
    <row r="498" spans="1:9" ht="15.75" customHeight="1" x14ac:dyDescent="0.25">
      <c r="A498" s="9"/>
      <c r="B498" s="20"/>
      <c r="C498" s="20"/>
      <c r="D498" s="11"/>
      <c r="E498" s="11"/>
      <c r="F498" s="13"/>
      <c r="G498" s="14"/>
      <c r="H498" s="14" t="str">
        <f ca="1">IFERROR(__xludf.DUMMYFUNCTION("IFERROR(
  AVERAGE(
    FILTER(
      $E$2:$E498,
      $A$2:$A498 &gt;= A498 - 30,
      $A$2:$A498 &lt;= A498,
      $E$2:$E498 &gt; 0
    )
  ),
"""")"),"")</f>
        <v/>
      </c>
      <c r="I498" s="14"/>
    </row>
    <row r="499" spans="1:9" ht="15.75" customHeight="1" x14ac:dyDescent="0.25">
      <c r="A499" s="9"/>
      <c r="B499" s="20"/>
      <c r="C499" s="20"/>
      <c r="D499" s="11"/>
      <c r="E499" s="11"/>
      <c r="F499" s="13"/>
      <c r="G499" s="14"/>
      <c r="H499" s="14" t="str">
        <f ca="1">IFERROR(__xludf.DUMMYFUNCTION("IFERROR(
  AVERAGE(
    FILTER(
      $E$2:$E499,
      $A$2:$A499 &gt;= A499 - 30,
      $A$2:$A499 &lt;= A499,
      $E$2:$E499 &gt; 0
    )
  ),
"""")"),"")</f>
        <v/>
      </c>
      <c r="I499" s="14"/>
    </row>
    <row r="500" spans="1:9" ht="15.75" customHeight="1" x14ac:dyDescent="0.25">
      <c r="A500" s="9"/>
      <c r="B500" s="20"/>
      <c r="C500" s="20"/>
      <c r="D500" s="11"/>
      <c r="E500" s="11"/>
      <c r="F500" s="13"/>
      <c r="G500" s="14"/>
      <c r="H500" s="14" t="str">
        <f ca="1">IFERROR(__xludf.DUMMYFUNCTION("IFERROR(
  AVERAGE(
    FILTER(
      $E$2:$E500,
      $A$2:$A500 &gt;= A500 - 30,
      $A$2:$A500 &lt;= A500,
      $E$2:$E500 &gt; 0
    )
  ),
"""")"),"")</f>
        <v/>
      </c>
      <c r="I500" s="14"/>
    </row>
    <row r="501" spans="1:9" ht="15.75" customHeight="1" x14ac:dyDescent="0.25">
      <c r="A501" s="9"/>
      <c r="B501" s="20"/>
      <c r="C501" s="20"/>
      <c r="D501" s="11"/>
      <c r="E501" s="11"/>
      <c r="F501" s="13"/>
      <c r="G501" s="14"/>
      <c r="H501" s="14" t="str">
        <f ca="1">IFERROR(__xludf.DUMMYFUNCTION("IFERROR(
  AVERAGE(
    FILTER(
      $E$2:$E501,
      $A$2:$A501 &gt;= A501 - 30,
      $A$2:$A501 &lt;= A501,
      $E$2:$E501 &gt; 0
    )
  ),
"""")"),"")</f>
        <v/>
      </c>
      <c r="I501" s="14"/>
    </row>
    <row r="502" spans="1:9" ht="15.75" customHeight="1" x14ac:dyDescent="0.25">
      <c r="A502" s="9"/>
      <c r="B502" s="20"/>
      <c r="C502" s="20"/>
      <c r="D502" s="11"/>
      <c r="E502" s="11"/>
      <c r="F502" s="13"/>
      <c r="G502" s="14"/>
      <c r="H502" s="14" t="str">
        <f ca="1">IFERROR(__xludf.DUMMYFUNCTION("IFERROR(
  AVERAGE(
    FILTER(
      $E$2:$E502,
      $A$2:$A502 &gt;= A502 - 30,
      $A$2:$A502 &lt;= A502,
      $E$2:$E502 &gt; 0
    )
  ),
"""")"),"")</f>
        <v/>
      </c>
      <c r="I502" s="14"/>
    </row>
    <row r="503" spans="1:9" ht="15.75" customHeight="1" x14ac:dyDescent="0.25">
      <c r="A503" s="9"/>
      <c r="B503" s="20"/>
      <c r="C503" s="20"/>
      <c r="D503" s="11"/>
      <c r="E503" s="11"/>
      <c r="F503" s="13"/>
      <c r="G503" s="14"/>
      <c r="H503" s="14" t="str">
        <f ca="1">IFERROR(__xludf.DUMMYFUNCTION("IFERROR(
  AVERAGE(
    FILTER(
      $E$2:$E503,
      $A$2:$A503 &gt;= A503 - 30,
      $A$2:$A503 &lt;= A503,
      $E$2:$E503 &gt; 0
    )
  ),
"""")"),"")</f>
        <v/>
      </c>
      <c r="I503" s="14"/>
    </row>
    <row r="504" spans="1:9" ht="15.75" customHeight="1" x14ac:dyDescent="0.25">
      <c r="A504" s="9"/>
      <c r="B504" s="20"/>
      <c r="C504" s="20"/>
      <c r="D504" s="11"/>
      <c r="E504" s="11"/>
      <c r="F504" s="13"/>
      <c r="G504" s="14"/>
      <c r="H504" s="14" t="str">
        <f ca="1">IFERROR(__xludf.DUMMYFUNCTION("IFERROR(
  AVERAGE(
    FILTER(
      $E$2:$E504,
      $A$2:$A504 &gt;= A504 - 30,
      $A$2:$A504 &lt;= A504,
      $E$2:$E504 &gt; 0
    )
  ),
"""")"),"")</f>
        <v/>
      </c>
      <c r="I504" s="14"/>
    </row>
    <row r="505" spans="1:9" ht="15.75" customHeight="1" x14ac:dyDescent="0.25">
      <c r="A505" s="9"/>
      <c r="B505" s="20"/>
      <c r="C505" s="20"/>
      <c r="D505" s="11"/>
      <c r="E505" s="11"/>
      <c r="F505" s="13"/>
      <c r="G505" s="14"/>
      <c r="H505" s="14" t="str">
        <f ca="1">IFERROR(__xludf.DUMMYFUNCTION("IFERROR(
  AVERAGE(
    FILTER(
      $E$2:$E505,
      $A$2:$A505 &gt;= A505 - 30,
      $A$2:$A505 &lt;= A505,
      $E$2:$E505 &gt; 0
    )
  ),
"""")"),"")</f>
        <v/>
      </c>
      <c r="I505" s="14"/>
    </row>
    <row r="506" spans="1:9" ht="15.75" customHeight="1" x14ac:dyDescent="0.25">
      <c r="A506" s="9"/>
      <c r="B506" s="20"/>
      <c r="C506" s="20"/>
      <c r="D506" s="11"/>
      <c r="E506" s="11"/>
      <c r="F506" s="13"/>
      <c r="G506" s="14"/>
      <c r="H506" s="14" t="str">
        <f ca="1">IFERROR(__xludf.DUMMYFUNCTION("IFERROR(
  AVERAGE(
    FILTER(
      $E$2:$E506,
      $A$2:$A506 &gt;= A506 - 30,
      $A$2:$A506 &lt;= A506,
      $E$2:$E506 &gt; 0
    )
  ),
"""")"),"")</f>
        <v/>
      </c>
      <c r="I506" s="14"/>
    </row>
    <row r="507" spans="1:9" ht="15.75" customHeight="1" x14ac:dyDescent="0.25">
      <c r="A507" s="9"/>
      <c r="B507" s="20"/>
      <c r="C507" s="20"/>
      <c r="D507" s="11"/>
      <c r="E507" s="11"/>
      <c r="F507" s="13"/>
      <c r="G507" s="14"/>
      <c r="H507" s="14" t="str">
        <f ca="1">IFERROR(__xludf.DUMMYFUNCTION("IFERROR(
  AVERAGE(
    FILTER(
      $E$2:$E507,
      $A$2:$A507 &gt;= A507 - 30,
      $A$2:$A507 &lt;= A507,
      $E$2:$E507 &gt; 0
    )
  ),
"""")"),"")</f>
        <v/>
      </c>
      <c r="I507" s="14"/>
    </row>
    <row r="508" spans="1:9" ht="15.75" customHeight="1" x14ac:dyDescent="0.25">
      <c r="A508" s="9"/>
      <c r="B508" s="20"/>
      <c r="C508" s="20"/>
      <c r="D508" s="11"/>
      <c r="E508" s="11"/>
      <c r="F508" s="13"/>
      <c r="G508" s="14"/>
      <c r="H508" s="14" t="str">
        <f ca="1">IFERROR(__xludf.DUMMYFUNCTION("IFERROR(
  AVERAGE(
    FILTER(
      $E$2:$E508,
      $A$2:$A508 &gt;= A508 - 30,
      $A$2:$A508 &lt;= A508,
      $E$2:$E508 &gt; 0
    )
  ),
"""")"),"")</f>
        <v/>
      </c>
      <c r="I508" s="14"/>
    </row>
    <row r="509" spans="1:9" ht="15.75" customHeight="1" x14ac:dyDescent="0.25">
      <c r="A509" s="9"/>
      <c r="B509" s="20"/>
      <c r="C509" s="20"/>
      <c r="D509" s="11"/>
      <c r="E509" s="11"/>
      <c r="F509" s="13"/>
      <c r="G509" s="14"/>
      <c r="H509" s="14" t="str">
        <f ca="1">IFERROR(__xludf.DUMMYFUNCTION("IFERROR(
  AVERAGE(
    FILTER(
      $E$2:$E509,
      $A$2:$A509 &gt;= A509 - 30,
      $A$2:$A509 &lt;= A509,
      $E$2:$E509 &gt; 0
    )
  ),
"""")"),"")</f>
        <v/>
      </c>
      <c r="I509" s="14"/>
    </row>
    <row r="510" spans="1:9" ht="15.75" customHeight="1" x14ac:dyDescent="0.25">
      <c r="A510" s="9"/>
      <c r="B510" s="20"/>
      <c r="C510" s="20"/>
      <c r="D510" s="11"/>
      <c r="E510" s="11"/>
      <c r="F510" s="13"/>
      <c r="G510" s="14"/>
      <c r="H510" s="14" t="str">
        <f ca="1">IFERROR(__xludf.DUMMYFUNCTION("IFERROR(
  AVERAGE(
    FILTER(
      $E$2:$E510,
      $A$2:$A510 &gt;= A510 - 30,
      $A$2:$A510 &lt;= A510,
      $E$2:$E510 &gt; 0
    )
  ),
"""")"),"")</f>
        <v/>
      </c>
      <c r="I510" s="14"/>
    </row>
    <row r="511" spans="1:9" ht="15.75" customHeight="1" x14ac:dyDescent="0.25">
      <c r="A511" s="9"/>
      <c r="B511" s="20"/>
      <c r="C511" s="20"/>
      <c r="D511" s="11"/>
      <c r="E511" s="11"/>
      <c r="F511" s="13"/>
      <c r="G511" s="14"/>
      <c r="H511" s="14" t="str">
        <f ca="1">IFERROR(__xludf.DUMMYFUNCTION("IFERROR(
  AVERAGE(
    FILTER(
      $E$2:$E511,
      $A$2:$A511 &gt;= A511 - 30,
      $A$2:$A511 &lt;= A511,
      $E$2:$E511 &gt; 0
    )
  ),
"""")"),"")</f>
        <v/>
      </c>
      <c r="I511" s="14"/>
    </row>
    <row r="512" spans="1:9" ht="15.75" customHeight="1" x14ac:dyDescent="0.25">
      <c r="A512" s="9"/>
      <c r="B512" s="20"/>
      <c r="C512" s="20"/>
      <c r="D512" s="11"/>
      <c r="E512" s="11"/>
      <c r="F512" s="13"/>
      <c r="G512" s="14"/>
      <c r="H512" s="14" t="str">
        <f ca="1">IFERROR(__xludf.DUMMYFUNCTION("IFERROR(
  AVERAGE(
    FILTER(
      $E$2:$E512,
      $A$2:$A512 &gt;= A512 - 30,
      $A$2:$A512 &lt;= A512,
      $E$2:$E512 &gt; 0
    )
  ),
"""")"),"")</f>
        <v/>
      </c>
      <c r="I512" s="14"/>
    </row>
    <row r="513" spans="1:9" ht="15.75" customHeight="1" x14ac:dyDescent="0.25">
      <c r="A513" s="9"/>
      <c r="B513" s="20"/>
      <c r="C513" s="20"/>
      <c r="D513" s="11"/>
      <c r="E513" s="11"/>
      <c r="F513" s="13"/>
      <c r="G513" s="14"/>
      <c r="H513" s="14" t="str">
        <f ca="1">IFERROR(__xludf.DUMMYFUNCTION("IFERROR(
  AVERAGE(
    FILTER(
      $E$2:$E513,
      $A$2:$A513 &gt;= A513 - 30,
      $A$2:$A513 &lt;= A513,
      $E$2:$E513 &gt; 0
    )
  ),
"""")"),"")</f>
        <v/>
      </c>
      <c r="I513" s="14"/>
    </row>
    <row r="514" spans="1:9" ht="15.75" customHeight="1" x14ac:dyDescent="0.25">
      <c r="A514" s="9"/>
      <c r="B514" s="20"/>
      <c r="C514" s="20"/>
      <c r="D514" s="11"/>
      <c r="E514" s="11"/>
      <c r="F514" s="13"/>
      <c r="G514" s="14"/>
      <c r="H514" s="14" t="str">
        <f ca="1">IFERROR(__xludf.DUMMYFUNCTION("IFERROR(
  AVERAGE(
    FILTER(
      $E$2:$E514,
      $A$2:$A514 &gt;= A514 - 30,
      $A$2:$A514 &lt;= A514,
      $E$2:$E514 &gt; 0
    )
  ),
"""")"),"")</f>
        <v/>
      </c>
      <c r="I514" s="14"/>
    </row>
    <row r="515" spans="1:9" ht="15.75" customHeight="1" x14ac:dyDescent="0.25">
      <c r="A515" s="9"/>
      <c r="B515" s="20"/>
      <c r="C515" s="20"/>
      <c r="D515" s="11"/>
      <c r="E515" s="11"/>
      <c r="F515" s="13"/>
      <c r="G515" s="14"/>
      <c r="H515" s="14" t="str">
        <f ca="1">IFERROR(__xludf.DUMMYFUNCTION("IFERROR(
  AVERAGE(
    FILTER(
      $E$2:$E515,
      $A$2:$A515 &gt;= A515 - 30,
      $A$2:$A515 &lt;= A515,
      $E$2:$E515 &gt; 0
    )
  ),
"""")"),"")</f>
        <v/>
      </c>
      <c r="I515" s="14"/>
    </row>
    <row r="516" spans="1:9" ht="15.75" customHeight="1" x14ac:dyDescent="0.25">
      <c r="A516" s="9"/>
      <c r="B516" s="20"/>
      <c r="C516" s="20"/>
      <c r="D516" s="11"/>
      <c r="E516" s="11"/>
      <c r="F516" s="13"/>
      <c r="G516" s="14"/>
      <c r="H516" s="14" t="str">
        <f ca="1">IFERROR(__xludf.DUMMYFUNCTION("IFERROR(
  AVERAGE(
    FILTER(
      $E$2:$E516,
      $A$2:$A516 &gt;= A516 - 30,
      $A$2:$A516 &lt;= A516,
      $E$2:$E516 &gt; 0
    )
  ),
"""")"),"")</f>
        <v/>
      </c>
      <c r="I516" s="14"/>
    </row>
    <row r="517" spans="1:9" ht="15.75" customHeight="1" x14ac:dyDescent="0.25">
      <c r="A517" s="9"/>
      <c r="B517" s="20"/>
      <c r="C517" s="20"/>
      <c r="D517" s="11"/>
      <c r="E517" s="11"/>
      <c r="F517" s="13"/>
      <c r="G517" s="14"/>
      <c r="H517" s="14" t="str">
        <f ca="1">IFERROR(__xludf.DUMMYFUNCTION("IFERROR(
  AVERAGE(
    FILTER(
      $E$2:$E517,
      $A$2:$A517 &gt;= A517 - 30,
      $A$2:$A517 &lt;= A517,
      $E$2:$E517 &gt; 0
    )
  ),
"""")"),"")</f>
        <v/>
      </c>
      <c r="I517" s="14"/>
    </row>
    <row r="518" spans="1:9" ht="15.75" customHeight="1" x14ac:dyDescent="0.25">
      <c r="A518" s="9"/>
      <c r="B518" s="20"/>
      <c r="C518" s="20"/>
      <c r="D518" s="11"/>
      <c r="E518" s="11"/>
      <c r="F518" s="13"/>
      <c r="G518" s="14"/>
      <c r="H518" s="14" t="str">
        <f ca="1">IFERROR(__xludf.DUMMYFUNCTION("IFERROR(
  AVERAGE(
    FILTER(
      $E$2:$E518,
      $A$2:$A518 &gt;= A518 - 30,
      $A$2:$A518 &lt;= A518,
      $E$2:$E518 &gt; 0
    )
  ),
"""")"),"")</f>
        <v/>
      </c>
      <c r="I518" s="14"/>
    </row>
    <row r="519" spans="1:9" ht="15.75" customHeight="1" x14ac:dyDescent="0.25">
      <c r="A519" s="9"/>
      <c r="B519" s="20"/>
      <c r="C519" s="20"/>
      <c r="D519" s="11"/>
      <c r="E519" s="11"/>
      <c r="F519" s="13"/>
      <c r="G519" s="14"/>
      <c r="H519" s="14" t="str">
        <f ca="1">IFERROR(__xludf.DUMMYFUNCTION("IFERROR(
  AVERAGE(
    FILTER(
      $E$2:$E519,
      $A$2:$A519 &gt;= A519 - 30,
      $A$2:$A519 &lt;= A519,
      $E$2:$E519 &gt; 0
    )
  ),
"""")"),"")</f>
        <v/>
      </c>
      <c r="I519" s="14"/>
    </row>
    <row r="520" spans="1:9" ht="15.75" customHeight="1" x14ac:dyDescent="0.25">
      <c r="A520" s="9"/>
      <c r="B520" s="20"/>
      <c r="C520" s="20"/>
      <c r="D520" s="11"/>
      <c r="E520" s="11"/>
      <c r="F520" s="13"/>
      <c r="G520" s="14"/>
      <c r="H520" s="14" t="str">
        <f ca="1">IFERROR(__xludf.DUMMYFUNCTION("IFERROR(
  AVERAGE(
    FILTER(
      $E$2:$E520,
      $A$2:$A520 &gt;= A520 - 30,
      $A$2:$A520 &lt;= A520,
      $E$2:$E520 &gt; 0
    )
  ),
"""")"),"")</f>
        <v/>
      </c>
      <c r="I520" s="14"/>
    </row>
    <row r="521" spans="1:9" ht="15.75" customHeight="1" x14ac:dyDescent="0.25">
      <c r="A521" s="9"/>
      <c r="B521" s="20"/>
      <c r="C521" s="20"/>
      <c r="D521" s="11"/>
      <c r="E521" s="11"/>
      <c r="F521" s="13"/>
      <c r="G521" s="14"/>
      <c r="H521" s="14" t="str">
        <f ca="1">IFERROR(__xludf.DUMMYFUNCTION("IFERROR(
  AVERAGE(
    FILTER(
      $E$2:$E521,
      $A$2:$A521 &gt;= A521 - 30,
      $A$2:$A521 &lt;= A521,
      $E$2:$E521 &gt; 0
    )
  ),
"""")"),"")</f>
        <v/>
      </c>
      <c r="I521" s="14"/>
    </row>
    <row r="522" spans="1:9" ht="15.75" customHeight="1" x14ac:dyDescent="0.25">
      <c r="A522" s="9"/>
      <c r="B522" s="20"/>
      <c r="C522" s="20"/>
      <c r="D522" s="11"/>
      <c r="E522" s="11"/>
      <c r="F522" s="13"/>
      <c r="G522" s="14"/>
      <c r="H522" s="14" t="str">
        <f ca="1">IFERROR(__xludf.DUMMYFUNCTION("IFERROR(
  AVERAGE(
    FILTER(
      $E$2:$E522,
      $A$2:$A522 &gt;= A522 - 30,
      $A$2:$A522 &lt;= A522,
      $E$2:$E522 &gt; 0
    )
  ),
"""")"),"")</f>
        <v/>
      </c>
      <c r="I522" s="14"/>
    </row>
    <row r="523" spans="1:9" ht="15.75" customHeight="1" x14ac:dyDescent="0.25">
      <c r="A523" s="9"/>
      <c r="B523" s="20"/>
      <c r="C523" s="20"/>
      <c r="D523" s="11"/>
      <c r="E523" s="11"/>
      <c r="F523" s="13"/>
      <c r="G523" s="14"/>
      <c r="H523" s="14" t="str">
        <f ca="1">IFERROR(__xludf.DUMMYFUNCTION("IFERROR(
  AVERAGE(
    FILTER(
      $E$2:$E523,
      $A$2:$A523 &gt;= A523 - 30,
      $A$2:$A523 &lt;= A523,
      $E$2:$E523 &gt; 0
    )
  ),
"""")"),"")</f>
        <v/>
      </c>
      <c r="I523" s="14"/>
    </row>
    <row r="524" spans="1:9" ht="15.75" customHeight="1" x14ac:dyDescent="0.25">
      <c r="A524" s="9"/>
      <c r="B524" s="20"/>
      <c r="C524" s="20"/>
      <c r="D524" s="11"/>
      <c r="E524" s="11"/>
      <c r="F524" s="13"/>
      <c r="G524" s="14"/>
      <c r="H524" s="14" t="str">
        <f ca="1">IFERROR(__xludf.DUMMYFUNCTION("IFERROR(
  AVERAGE(
    FILTER(
      $E$2:$E524,
      $A$2:$A524 &gt;= A524 - 30,
      $A$2:$A524 &lt;= A524,
      $E$2:$E524 &gt; 0
    )
  ),
"""")"),"")</f>
        <v/>
      </c>
      <c r="I524" s="14"/>
    </row>
    <row r="525" spans="1:9" ht="15.75" customHeight="1" x14ac:dyDescent="0.25">
      <c r="A525" s="9"/>
      <c r="B525" s="20"/>
      <c r="C525" s="20"/>
      <c r="D525" s="11"/>
      <c r="E525" s="11"/>
      <c r="F525" s="13"/>
      <c r="G525" s="14"/>
      <c r="H525" s="14" t="str">
        <f ca="1">IFERROR(__xludf.DUMMYFUNCTION("IFERROR(
  AVERAGE(
    FILTER(
      $E$2:$E525,
      $A$2:$A525 &gt;= A525 - 30,
      $A$2:$A525 &lt;= A525,
      $E$2:$E525 &gt; 0
    )
  ),
"""")"),"")</f>
        <v/>
      </c>
      <c r="I525" s="14"/>
    </row>
    <row r="526" spans="1:9" ht="15.75" customHeight="1" x14ac:dyDescent="0.25">
      <c r="A526" s="9"/>
      <c r="B526" s="20"/>
      <c r="C526" s="20"/>
      <c r="D526" s="11"/>
      <c r="E526" s="11"/>
      <c r="F526" s="13"/>
      <c r="G526" s="14"/>
      <c r="H526" s="14" t="str">
        <f ca="1">IFERROR(__xludf.DUMMYFUNCTION("IFERROR(
  AVERAGE(
    FILTER(
      $E$2:$E526,
      $A$2:$A526 &gt;= A526 - 30,
      $A$2:$A526 &lt;= A526,
      $E$2:$E526 &gt; 0
    )
  ),
"""")"),"")</f>
        <v/>
      </c>
      <c r="I526" s="14"/>
    </row>
    <row r="527" spans="1:9" ht="15.75" customHeight="1" x14ac:dyDescent="0.25">
      <c r="A527" s="9"/>
      <c r="B527" s="20"/>
      <c r="C527" s="20"/>
      <c r="D527" s="11"/>
      <c r="E527" s="11"/>
      <c r="F527" s="13"/>
      <c r="G527" s="14"/>
      <c r="H527" s="14" t="str">
        <f ca="1">IFERROR(__xludf.DUMMYFUNCTION("IFERROR(
  AVERAGE(
    FILTER(
      $E$2:$E527,
      $A$2:$A527 &gt;= A527 - 30,
      $A$2:$A527 &lt;= A527,
      $E$2:$E527 &gt; 0
    )
  ),
"""")"),"")</f>
        <v/>
      </c>
      <c r="I527" s="14"/>
    </row>
    <row r="528" spans="1:9" ht="15.75" customHeight="1" x14ac:dyDescent="0.25">
      <c r="A528" s="9"/>
      <c r="B528" s="20"/>
      <c r="C528" s="20"/>
      <c r="D528" s="11"/>
      <c r="E528" s="11"/>
      <c r="F528" s="13"/>
      <c r="G528" s="14"/>
      <c r="H528" s="14" t="str">
        <f ca="1">IFERROR(__xludf.DUMMYFUNCTION("IFERROR(
  AVERAGE(
    FILTER(
      $E$2:$E528,
      $A$2:$A528 &gt;= A528 - 30,
      $A$2:$A528 &lt;= A528,
      $E$2:$E528 &gt; 0
    )
  ),
"""")"),"")</f>
        <v/>
      </c>
      <c r="I528" s="14"/>
    </row>
    <row r="529" spans="1:9" ht="15.75" customHeight="1" x14ac:dyDescent="0.25">
      <c r="A529" s="9"/>
      <c r="B529" s="20"/>
      <c r="C529" s="20"/>
      <c r="D529" s="11"/>
      <c r="E529" s="11"/>
      <c r="F529" s="13"/>
      <c r="G529" s="14"/>
      <c r="H529" s="14" t="str">
        <f ca="1">IFERROR(__xludf.DUMMYFUNCTION("IFERROR(
  AVERAGE(
    FILTER(
      $E$2:$E529,
      $A$2:$A529 &gt;= A529 - 30,
      $A$2:$A529 &lt;= A529,
      $E$2:$E529 &gt; 0
    )
  ),
"""")"),"")</f>
        <v/>
      </c>
      <c r="I529" s="14"/>
    </row>
    <row r="530" spans="1:9" ht="15.75" customHeight="1" x14ac:dyDescent="0.25">
      <c r="A530" s="9"/>
      <c r="B530" s="20"/>
      <c r="C530" s="20"/>
      <c r="D530" s="11"/>
      <c r="E530" s="11"/>
      <c r="F530" s="13"/>
      <c r="G530" s="14"/>
      <c r="H530" s="14" t="str">
        <f ca="1">IFERROR(__xludf.DUMMYFUNCTION("IFERROR(
  AVERAGE(
    FILTER(
      $E$2:$E530,
      $A$2:$A530 &gt;= A530 - 30,
      $A$2:$A530 &lt;= A530,
      $E$2:$E530 &gt; 0
    )
  ),
"""")"),"")</f>
        <v/>
      </c>
      <c r="I530" s="14"/>
    </row>
    <row r="531" spans="1:9" ht="15.75" customHeight="1" x14ac:dyDescent="0.25">
      <c r="A531" s="9"/>
      <c r="B531" s="20"/>
      <c r="C531" s="20"/>
      <c r="D531" s="11"/>
      <c r="E531" s="11"/>
      <c r="F531" s="13"/>
      <c r="G531" s="14"/>
      <c r="H531" s="14" t="str">
        <f ca="1">IFERROR(__xludf.DUMMYFUNCTION("IFERROR(
  AVERAGE(
    FILTER(
      $E$2:$E531,
      $A$2:$A531 &gt;= A531 - 30,
      $A$2:$A531 &lt;= A531,
      $E$2:$E531 &gt; 0
    )
  ),
"""")"),"")</f>
        <v/>
      </c>
      <c r="I531" s="14"/>
    </row>
    <row r="532" spans="1:9" ht="15.75" customHeight="1" x14ac:dyDescent="0.25">
      <c r="A532" s="9"/>
      <c r="B532" s="20"/>
      <c r="C532" s="20"/>
      <c r="D532" s="11"/>
      <c r="E532" s="11"/>
      <c r="F532" s="13"/>
      <c r="G532" s="14"/>
      <c r="H532" s="14" t="str">
        <f ca="1">IFERROR(__xludf.DUMMYFUNCTION("IFERROR(
  AVERAGE(
    FILTER(
      $E$2:$E532,
      $A$2:$A532 &gt;= A532 - 30,
      $A$2:$A532 &lt;= A532,
      $E$2:$E532 &gt; 0
    )
  ),
"""")"),"")</f>
        <v/>
      </c>
      <c r="I532" s="14"/>
    </row>
    <row r="533" spans="1:9" ht="15.75" customHeight="1" x14ac:dyDescent="0.25">
      <c r="A533" s="9"/>
      <c r="B533" s="20"/>
      <c r="C533" s="20"/>
      <c r="D533" s="11"/>
      <c r="E533" s="11"/>
      <c r="F533" s="13"/>
      <c r="G533" s="14"/>
      <c r="H533" s="14" t="str">
        <f ca="1">IFERROR(__xludf.DUMMYFUNCTION("IFERROR(
  AVERAGE(
    FILTER(
      $E$2:$E533,
      $A$2:$A533 &gt;= A533 - 30,
      $A$2:$A533 &lt;= A533,
      $E$2:$E533 &gt; 0
    )
  ),
"""")"),"")</f>
        <v/>
      </c>
      <c r="I533" s="14"/>
    </row>
    <row r="534" spans="1:9" ht="15.75" customHeight="1" x14ac:dyDescent="0.25">
      <c r="A534" s="9"/>
      <c r="B534" s="20"/>
      <c r="C534" s="20"/>
      <c r="D534" s="11"/>
      <c r="E534" s="11"/>
      <c r="F534" s="13"/>
      <c r="G534" s="14"/>
      <c r="H534" s="14" t="str">
        <f ca="1">IFERROR(__xludf.DUMMYFUNCTION("IFERROR(
  AVERAGE(
    FILTER(
      $E$2:$E534,
      $A$2:$A534 &gt;= A534 - 30,
      $A$2:$A534 &lt;= A534,
      $E$2:$E534 &gt; 0
    )
  ),
"""")"),"")</f>
        <v/>
      </c>
      <c r="I534" s="14"/>
    </row>
    <row r="535" spans="1:9" ht="15.75" customHeight="1" x14ac:dyDescent="0.25">
      <c r="A535" s="9"/>
      <c r="B535" s="20"/>
      <c r="C535" s="20"/>
      <c r="D535" s="11"/>
      <c r="E535" s="11"/>
      <c r="F535" s="13"/>
      <c r="G535" s="14"/>
      <c r="H535" s="14" t="str">
        <f ca="1">IFERROR(__xludf.DUMMYFUNCTION("IFERROR(
  AVERAGE(
    FILTER(
      $E$2:$E535,
      $A$2:$A535 &gt;= A535 - 30,
      $A$2:$A535 &lt;= A535,
      $E$2:$E535 &gt; 0
    )
  ),
"""")"),"")</f>
        <v/>
      </c>
      <c r="I535" s="14"/>
    </row>
    <row r="536" spans="1:9" ht="15.75" customHeight="1" x14ac:dyDescent="0.25">
      <c r="A536" s="9"/>
      <c r="B536" s="20"/>
      <c r="C536" s="20"/>
      <c r="D536" s="11"/>
      <c r="E536" s="11"/>
      <c r="F536" s="13"/>
      <c r="G536" s="14"/>
      <c r="H536" s="14" t="str">
        <f ca="1">IFERROR(__xludf.DUMMYFUNCTION("IFERROR(
  AVERAGE(
    FILTER(
      $E$2:$E536,
      $A$2:$A536 &gt;= A536 - 30,
      $A$2:$A536 &lt;= A536,
      $E$2:$E536 &gt; 0
    )
  ),
"""")"),"")</f>
        <v/>
      </c>
      <c r="I536" s="14"/>
    </row>
    <row r="537" spans="1:9" ht="15.75" customHeight="1" x14ac:dyDescent="0.25">
      <c r="A537" s="9"/>
      <c r="B537" s="20"/>
      <c r="C537" s="20"/>
      <c r="D537" s="11"/>
      <c r="E537" s="11"/>
      <c r="F537" s="13"/>
      <c r="G537" s="14"/>
      <c r="H537" s="14" t="str">
        <f ca="1">IFERROR(__xludf.DUMMYFUNCTION("IFERROR(
  AVERAGE(
    FILTER(
      $E$2:$E537,
      $A$2:$A537 &gt;= A537 - 30,
      $A$2:$A537 &lt;= A537,
      $E$2:$E537 &gt; 0
    )
  ),
"""")"),"")</f>
        <v/>
      </c>
      <c r="I537" s="14"/>
    </row>
    <row r="538" spans="1:9" ht="15.75" customHeight="1" x14ac:dyDescent="0.25">
      <c r="A538" s="9"/>
      <c r="B538" s="20"/>
      <c r="C538" s="20"/>
      <c r="D538" s="11"/>
      <c r="E538" s="11"/>
      <c r="F538" s="13"/>
      <c r="G538" s="14"/>
      <c r="H538" s="14" t="str">
        <f ca="1">IFERROR(__xludf.DUMMYFUNCTION("IFERROR(
  AVERAGE(
    FILTER(
      $E$2:$E538,
      $A$2:$A538 &gt;= A538 - 30,
      $A$2:$A538 &lt;= A538,
      $E$2:$E538 &gt; 0
    )
  ),
"""")"),"")</f>
        <v/>
      </c>
      <c r="I538" s="14"/>
    </row>
    <row r="539" spans="1:9" ht="15.75" customHeight="1" x14ac:dyDescent="0.25">
      <c r="A539" s="9"/>
      <c r="B539" s="20"/>
      <c r="C539" s="20"/>
      <c r="D539" s="11"/>
      <c r="E539" s="11"/>
      <c r="F539" s="13"/>
      <c r="G539" s="14"/>
      <c r="H539" s="14" t="str">
        <f ca="1">IFERROR(__xludf.DUMMYFUNCTION("IFERROR(
  AVERAGE(
    FILTER(
      $E$2:$E539,
      $A$2:$A539 &gt;= A539 - 30,
      $A$2:$A539 &lt;= A539,
      $E$2:$E539 &gt; 0
    )
  ),
"""")"),"")</f>
        <v/>
      </c>
      <c r="I539" s="14"/>
    </row>
    <row r="540" spans="1:9" ht="15.75" customHeight="1" x14ac:dyDescent="0.25">
      <c r="A540" s="9"/>
      <c r="B540" s="20"/>
      <c r="C540" s="20"/>
      <c r="D540" s="11"/>
      <c r="E540" s="11"/>
      <c r="F540" s="13"/>
      <c r="G540" s="14"/>
      <c r="H540" s="14" t="str">
        <f ca="1">IFERROR(__xludf.DUMMYFUNCTION("IFERROR(
  AVERAGE(
    FILTER(
      $E$2:$E540,
      $A$2:$A540 &gt;= A540 - 30,
      $A$2:$A540 &lt;= A540,
      $E$2:$E540 &gt; 0
    )
  ),
"""")"),"")</f>
        <v/>
      </c>
      <c r="I540" s="14"/>
    </row>
    <row r="541" spans="1:9" ht="15.75" customHeight="1" x14ac:dyDescent="0.25">
      <c r="A541" s="9"/>
      <c r="B541" s="20"/>
      <c r="C541" s="20"/>
      <c r="D541" s="11"/>
      <c r="E541" s="11"/>
      <c r="F541" s="13"/>
      <c r="G541" s="14"/>
      <c r="H541" s="14" t="str">
        <f ca="1">IFERROR(__xludf.DUMMYFUNCTION("IFERROR(
  AVERAGE(
    FILTER(
      $E$2:$E541,
      $A$2:$A541 &gt;= A541 - 30,
      $A$2:$A541 &lt;= A541,
      $E$2:$E541 &gt; 0
    )
  ),
"""")"),"")</f>
        <v/>
      </c>
      <c r="I541" s="14"/>
    </row>
    <row r="542" spans="1:9" ht="15.75" customHeight="1" x14ac:dyDescent="0.25">
      <c r="A542" s="9"/>
      <c r="B542" s="20"/>
      <c r="C542" s="20"/>
      <c r="D542" s="11"/>
      <c r="E542" s="11"/>
      <c r="F542" s="13"/>
      <c r="G542" s="14"/>
      <c r="H542" s="14" t="str">
        <f ca="1">IFERROR(__xludf.DUMMYFUNCTION("IFERROR(
  AVERAGE(
    FILTER(
      $E$2:$E542,
      $A$2:$A542 &gt;= A542 - 30,
      $A$2:$A542 &lt;= A542,
      $E$2:$E542 &gt; 0
    )
  ),
"""")"),"")</f>
        <v/>
      </c>
      <c r="I542" s="14"/>
    </row>
    <row r="543" spans="1:9" ht="15.75" customHeight="1" x14ac:dyDescent="0.25">
      <c r="A543" s="9"/>
      <c r="B543" s="20"/>
      <c r="C543" s="20"/>
      <c r="D543" s="11"/>
      <c r="E543" s="11"/>
      <c r="F543" s="13"/>
      <c r="G543" s="14"/>
      <c r="H543" s="14" t="str">
        <f ca="1">IFERROR(__xludf.DUMMYFUNCTION("IFERROR(
  AVERAGE(
    FILTER(
      $E$2:$E543,
      $A$2:$A543 &gt;= A543 - 30,
      $A$2:$A543 &lt;= A543,
      $E$2:$E543 &gt; 0
    )
  ),
"""")"),"")</f>
        <v/>
      </c>
      <c r="I543" s="14"/>
    </row>
    <row r="544" spans="1:9" ht="15.75" customHeight="1" x14ac:dyDescent="0.25">
      <c r="A544" s="9"/>
      <c r="B544" s="20"/>
      <c r="C544" s="20"/>
      <c r="D544" s="11"/>
      <c r="E544" s="11"/>
      <c r="F544" s="13"/>
      <c r="G544" s="14"/>
      <c r="H544" s="14" t="str">
        <f ca="1">IFERROR(__xludf.DUMMYFUNCTION("IFERROR(
  AVERAGE(
    FILTER(
      $E$2:$E544,
      $A$2:$A544 &gt;= A544 - 30,
      $A$2:$A544 &lt;= A544,
      $E$2:$E544 &gt; 0
    )
  ),
"""")"),"")</f>
        <v/>
      </c>
      <c r="I544" s="14"/>
    </row>
    <row r="545" spans="1:9" ht="15.75" customHeight="1" x14ac:dyDescent="0.25">
      <c r="A545" s="9"/>
      <c r="B545" s="20"/>
      <c r="C545" s="20"/>
      <c r="D545" s="11"/>
      <c r="E545" s="11"/>
      <c r="F545" s="13"/>
      <c r="G545" s="14"/>
      <c r="H545" s="14" t="str">
        <f ca="1">IFERROR(__xludf.DUMMYFUNCTION("IFERROR(
  AVERAGE(
    FILTER(
      $E$2:$E545,
      $A$2:$A545 &gt;= A545 - 30,
      $A$2:$A545 &lt;= A545,
      $E$2:$E545 &gt; 0
    )
  ),
"""")"),"")</f>
        <v/>
      </c>
      <c r="I545" s="14"/>
    </row>
    <row r="546" spans="1:9" ht="15.75" customHeight="1" x14ac:dyDescent="0.25">
      <c r="A546" s="9"/>
      <c r="B546" s="20"/>
      <c r="C546" s="20"/>
      <c r="D546" s="11"/>
      <c r="E546" s="11"/>
      <c r="F546" s="13"/>
      <c r="G546" s="14"/>
      <c r="H546" s="14" t="str">
        <f ca="1">IFERROR(__xludf.DUMMYFUNCTION("IFERROR(
  AVERAGE(
    FILTER(
      $E$2:$E546,
      $A$2:$A546 &gt;= A546 - 30,
      $A$2:$A546 &lt;= A546,
      $E$2:$E546 &gt; 0
    )
  ),
"""")"),"")</f>
        <v/>
      </c>
      <c r="I546" s="14"/>
    </row>
    <row r="547" spans="1:9" ht="15.75" customHeight="1" x14ac:dyDescent="0.25">
      <c r="A547" s="9"/>
      <c r="B547" s="20"/>
      <c r="C547" s="20"/>
      <c r="D547" s="11"/>
      <c r="E547" s="11"/>
      <c r="F547" s="13"/>
      <c r="G547" s="14"/>
      <c r="H547" s="14" t="str">
        <f ca="1">IFERROR(__xludf.DUMMYFUNCTION("IFERROR(
  AVERAGE(
    FILTER(
      $E$2:$E547,
      $A$2:$A547 &gt;= A547 - 30,
      $A$2:$A547 &lt;= A547,
      $E$2:$E547 &gt; 0
    )
  ),
"""")"),"")</f>
        <v/>
      </c>
      <c r="I547" s="14"/>
    </row>
    <row r="548" spans="1:9" ht="15.75" customHeight="1" x14ac:dyDescent="0.25">
      <c r="A548" s="9"/>
      <c r="B548" s="20"/>
      <c r="C548" s="20"/>
      <c r="D548" s="11"/>
      <c r="E548" s="11"/>
      <c r="F548" s="13"/>
      <c r="G548" s="14"/>
      <c r="H548" s="14" t="str">
        <f ca="1">IFERROR(__xludf.DUMMYFUNCTION("IFERROR(
  AVERAGE(
    FILTER(
      $E$2:$E548,
      $A$2:$A548 &gt;= A548 - 30,
      $A$2:$A548 &lt;= A548,
      $E$2:$E548 &gt; 0
    )
  ),
"""")"),"")</f>
        <v/>
      </c>
      <c r="I548" s="14"/>
    </row>
    <row r="549" spans="1:9" ht="15.75" customHeight="1" x14ac:dyDescent="0.25">
      <c r="A549" s="9"/>
      <c r="B549" s="20"/>
      <c r="C549" s="20"/>
      <c r="D549" s="11"/>
      <c r="E549" s="11"/>
      <c r="F549" s="13"/>
      <c r="G549" s="14"/>
      <c r="H549" s="14" t="str">
        <f ca="1">IFERROR(__xludf.DUMMYFUNCTION("IFERROR(
  AVERAGE(
    FILTER(
      $E$2:$E549,
      $A$2:$A549 &gt;= A549 - 30,
      $A$2:$A549 &lt;= A549,
      $E$2:$E549 &gt; 0
    )
  ),
"""")"),"")</f>
        <v/>
      </c>
      <c r="I549" s="14"/>
    </row>
    <row r="550" spans="1:9" ht="15.75" customHeight="1" x14ac:dyDescent="0.25">
      <c r="A550" s="9"/>
      <c r="B550" s="20"/>
      <c r="C550" s="20"/>
      <c r="D550" s="11"/>
      <c r="E550" s="11"/>
      <c r="F550" s="13"/>
      <c r="G550" s="14"/>
      <c r="H550" s="14" t="str">
        <f ca="1">IFERROR(__xludf.DUMMYFUNCTION("IFERROR(
  AVERAGE(
    FILTER(
      $E$2:$E550,
      $A$2:$A550 &gt;= A550 - 30,
      $A$2:$A550 &lt;= A550,
      $E$2:$E550 &gt; 0
    )
  ),
"""")"),"")</f>
        <v/>
      </c>
      <c r="I550" s="14"/>
    </row>
    <row r="551" spans="1:9" ht="15.75" customHeight="1" x14ac:dyDescent="0.25">
      <c r="A551" s="9"/>
      <c r="B551" s="20"/>
      <c r="C551" s="20"/>
      <c r="D551" s="11"/>
      <c r="E551" s="11"/>
      <c r="F551" s="13"/>
      <c r="G551" s="14"/>
      <c r="H551" s="14" t="str">
        <f ca="1">IFERROR(__xludf.DUMMYFUNCTION("IFERROR(
  AVERAGE(
    FILTER(
      $E$2:$E551,
      $A$2:$A551 &gt;= A551 - 30,
      $A$2:$A551 &lt;= A551,
      $E$2:$E551 &gt; 0
    )
  ),
"""")"),"")</f>
        <v/>
      </c>
      <c r="I551" s="14"/>
    </row>
    <row r="552" spans="1:9" ht="15.75" customHeight="1" x14ac:dyDescent="0.25">
      <c r="A552" s="9"/>
      <c r="B552" s="20"/>
      <c r="C552" s="20"/>
      <c r="D552" s="11"/>
      <c r="E552" s="11"/>
      <c r="F552" s="13"/>
      <c r="G552" s="14"/>
      <c r="H552" s="14" t="str">
        <f ca="1">IFERROR(__xludf.DUMMYFUNCTION("IFERROR(
  AVERAGE(
    FILTER(
      $E$2:$E552,
      $A$2:$A552 &gt;= A552 - 30,
      $A$2:$A552 &lt;= A552,
      $E$2:$E552 &gt; 0
    )
  ),
"""")"),"")</f>
        <v/>
      </c>
      <c r="I552" s="14"/>
    </row>
    <row r="553" spans="1:9" ht="15.75" customHeight="1" x14ac:dyDescent="0.25">
      <c r="A553" s="9"/>
      <c r="B553" s="20"/>
      <c r="C553" s="20"/>
      <c r="D553" s="11"/>
      <c r="E553" s="11"/>
      <c r="F553" s="13"/>
      <c r="G553" s="14"/>
      <c r="H553" s="14" t="str">
        <f ca="1">IFERROR(__xludf.DUMMYFUNCTION("IFERROR(
  AVERAGE(
    FILTER(
      $E$2:$E553,
      $A$2:$A553 &gt;= A553 - 30,
      $A$2:$A553 &lt;= A553,
      $E$2:$E553 &gt; 0
    )
  ),
"""")"),"")</f>
        <v/>
      </c>
      <c r="I553" s="14"/>
    </row>
    <row r="554" spans="1:9" ht="15.75" customHeight="1" x14ac:dyDescent="0.25">
      <c r="A554" s="9"/>
      <c r="B554" s="20"/>
      <c r="C554" s="20"/>
      <c r="D554" s="11"/>
      <c r="E554" s="11"/>
      <c r="F554" s="13"/>
      <c r="G554" s="14"/>
      <c r="H554" s="14" t="str">
        <f ca="1">IFERROR(__xludf.DUMMYFUNCTION("IFERROR(
  AVERAGE(
    FILTER(
      $E$2:$E554,
      $A$2:$A554 &gt;= A554 - 30,
      $A$2:$A554 &lt;= A554,
      $E$2:$E554 &gt; 0
    )
  ),
"""")"),"")</f>
        <v/>
      </c>
      <c r="I554" s="14"/>
    </row>
    <row r="555" spans="1:9" ht="15.75" customHeight="1" x14ac:dyDescent="0.25">
      <c r="A555" s="9"/>
      <c r="B555" s="20"/>
      <c r="C555" s="20"/>
      <c r="D555" s="11"/>
      <c r="E555" s="11"/>
      <c r="F555" s="13"/>
      <c r="G555" s="14"/>
      <c r="H555" s="14" t="str">
        <f ca="1">IFERROR(__xludf.DUMMYFUNCTION("IFERROR(
  AVERAGE(
    FILTER(
      $E$2:$E555,
      $A$2:$A555 &gt;= A555 - 30,
      $A$2:$A555 &lt;= A555,
      $E$2:$E555 &gt; 0
    )
  ),
"""")"),"")</f>
        <v/>
      </c>
      <c r="I555" s="14"/>
    </row>
    <row r="556" spans="1:9" ht="15.75" customHeight="1" x14ac:dyDescent="0.25">
      <c r="A556" s="9"/>
      <c r="B556" s="20"/>
      <c r="C556" s="20"/>
      <c r="D556" s="11"/>
      <c r="E556" s="11"/>
      <c r="F556" s="13"/>
      <c r="G556" s="14"/>
      <c r="H556" s="14" t="str">
        <f ca="1">IFERROR(__xludf.DUMMYFUNCTION("IFERROR(
  AVERAGE(
    FILTER(
      $E$2:$E556,
      $A$2:$A556 &gt;= A556 - 30,
      $A$2:$A556 &lt;= A556,
      $E$2:$E556 &gt; 0
    )
  ),
"""")"),"")</f>
        <v/>
      </c>
      <c r="I556" s="14"/>
    </row>
    <row r="557" spans="1:9" ht="15.75" customHeight="1" x14ac:dyDescent="0.25">
      <c r="A557" s="9"/>
      <c r="B557" s="20"/>
      <c r="C557" s="20"/>
      <c r="D557" s="11"/>
      <c r="E557" s="11"/>
      <c r="F557" s="13"/>
      <c r="G557" s="14"/>
      <c r="H557" s="14" t="str">
        <f ca="1">IFERROR(__xludf.DUMMYFUNCTION("IFERROR(
  AVERAGE(
    FILTER(
      $E$2:$E557,
      $A$2:$A557 &gt;= A557 - 30,
      $A$2:$A557 &lt;= A557,
      $E$2:$E557 &gt; 0
    )
  ),
"""")"),"")</f>
        <v/>
      </c>
      <c r="I557" s="14"/>
    </row>
    <row r="558" spans="1:9" ht="15.75" customHeight="1" x14ac:dyDescent="0.25">
      <c r="A558" s="9"/>
      <c r="B558" s="20"/>
      <c r="C558" s="20"/>
      <c r="D558" s="11"/>
      <c r="E558" s="11"/>
      <c r="F558" s="13"/>
      <c r="G558" s="14"/>
      <c r="H558" s="14" t="str">
        <f ca="1">IFERROR(__xludf.DUMMYFUNCTION("IFERROR(
  AVERAGE(
    FILTER(
      $E$2:$E558,
      $A$2:$A558 &gt;= A558 - 30,
      $A$2:$A558 &lt;= A558,
      $E$2:$E558 &gt; 0
    )
  ),
"""")"),"")</f>
        <v/>
      </c>
      <c r="I558" s="14"/>
    </row>
    <row r="559" spans="1:9" ht="15.75" customHeight="1" x14ac:dyDescent="0.25">
      <c r="A559" s="9"/>
      <c r="B559" s="20"/>
      <c r="C559" s="20"/>
      <c r="D559" s="11"/>
      <c r="E559" s="11"/>
      <c r="F559" s="13"/>
      <c r="G559" s="14"/>
      <c r="H559" s="14" t="str">
        <f ca="1">IFERROR(__xludf.DUMMYFUNCTION("IFERROR(
  AVERAGE(
    FILTER(
      $E$2:$E559,
      $A$2:$A559 &gt;= A559 - 30,
      $A$2:$A559 &lt;= A559,
      $E$2:$E559 &gt; 0
    )
  ),
"""")"),"")</f>
        <v/>
      </c>
      <c r="I559" s="14"/>
    </row>
    <row r="560" spans="1:9" ht="15.75" customHeight="1" x14ac:dyDescent="0.25">
      <c r="A560" s="9"/>
      <c r="B560" s="20"/>
      <c r="C560" s="20"/>
      <c r="D560" s="11"/>
      <c r="E560" s="11"/>
      <c r="F560" s="13"/>
      <c r="G560" s="14"/>
      <c r="H560" s="14" t="str">
        <f ca="1">IFERROR(__xludf.DUMMYFUNCTION("IFERROR(
  AVERAGE(
    FILTER(
      $E$2:$E560,
      $A$2:$A560 &gt;= A560 - 30,
      $A$2:$A560 &lt;= A560,
      $E$2:$E560 &gt; 0
    )
  ),
"""")"),"")</f>
        <v/>
      </c>
      <c r="I560" s="14"/>
    </row>
    <row r="561" spans="1:9" ht="15.75" customHeight="1" x14ac:dyDescent="0.25">
      <c r="A561" s="9"/>
      <c r="B561" s="20"/>
      <c r="C561" s="20"/>
      <c r="D561" s="11"/>
      <c r="E561" s="11"/>
      <c r="F561" s="13"/>
      <c r="G561" s="14"/>
      <c r="H561" s="14" t="str">
        <f ca="1">IFERROR(__xludf.DUMMYFUNCTION("IFERROR(
  AVERAGE(
    FILTER(
      $E$2:$E561,
      $A$2:$A561 &gt;= A561 - 30,
      $A$2:$A561 &lt;= A561,
      $E$2:$E561 &gt; 0
    )
  ),
"""")"),"")</f>
        <v/>
      </c>
      <c r="I561" s="14"/>
    </row>
    <row r="562" spans="1:9" ht="15.75" customHeight="1" x14ac:dyDescent="0.25">
      <c r="A562" s="9"/>
      <c r="B562" s="20"/>
      <c r="C562" s="20"/>
      <c r="D562" s="11"/>
      <c r="E562" s="11"/>
      <c r="F562" s="13"/>
      <c r="G562" s="14"/>
      <c r="H562" s="14" t="str">
        <f ca="1">IFERROR(__xludf.DUMMYFUNCTION("IFERROR(
  AVERAGE(
    FILTER(
      $E$2:$E562,
      $A$2:$A562 &gt;= A562 - 30,
      $A$2:$A562 &lt;= A562,
      $E$2:$E562 &gt; 0
    )
  ),
"""")"),"")</f>
        <v/>
      </c>
      <c r="I562" s="14"/>
    </row>
    <row r="563" spans="1:9" ht="15.75" customHeight="1" x14ac:dyDescent="0.25">
      <c r="A563" s="9"/>
      <c r="B563" s="20"/>
      <c r="C563" s="20"/>
      <c r="D563" s="11"/>
      <c r="E563" s="11"/>
      <c r="F563" s="13"/>
      <c r="G563" s="14"/>
      <c r="H563" s="14" t="str">
        <f ca="1">IFERROR(__xludf.DUMMYFUNCTION("IFERROR(
  AVERAGE(
    FILTER(
      $E$2:$E563,
      $A$2:$A563 &gt;= A563 - 30,
      $A$2:$A563 &lt;= A563,
      $E$2:$E563 &gt; 0
    )
  ),
"""")"),"")</f>
        <v/>
      </c>
      <c r="I563" s="14"/>
    </row>
    <row r="564" spans="1:9" ht="15.75" customHeight="1" x14ac:dyDescent="0.25">
      <c r="A564" s="9"/>
      <c r="B564" s="20"/>
      <c r="C564" s="20"/>
      <c r="D564" s="11"/>
      <c r="E564" s="11"/>
      <c r="F564" s="13"/>
      <c r="G564" s="14"/>
      <c r="H564" s="14" t="str">
        <f ca="1">IFERROR(__xludf.DUMMYFUNCTION("IFERROR(
  AVERAGE(
    FILTER(
      $E$2:$E564,
      $A$2:$A564 &gt;= A564 - 30,
      $A$2:$A564 &lt;= A564,
      $E$2:$E564 &gt; 0
    )
  ),
"""")"),"")</f>
        <v/>
      </c>
      <c r="I564" s="14"/>
    </row>
    <row r="565" spans="1:9" ht="15.75" customHeight="1" x14ac:dyDescent="0.25">
      <c r="A565" s="9"/>
      <c r="B565" s="20"/>
      <c r="C565" s="20"/>
      <c r="D565" s="11"/>
      <c r="E565" s="11"/>
      <c r="F565" s="13"/>
      <c r="G565" s="14"/>
      <c r="H565" s="14" t="str">
        <f ca="1">IFERROR(__xludf.DUMMYFUNCTION("IFERROR(
  AVERAGE(
    FILTER(
      $E$2:$E565,
      $A$2:$A565 &gt;= A565 - 30,
      $A$2:$A565 &lt;= A565,
      $E$2:$E565 &gt; 0
    )
  ),
"""")"),"")</f>
        <v/>
      </c>
      <c r="I565" s="14"/>
    </row>
    <row r="566" spans="1:9" ht="15.75" customHeight="1" x14ac:dyDescent="0.25">
      <c r="A566" s="9"/>
      <c r="B566" s="20"/>
      <c r="C566" s="20"/>
      <c r="D566" s="11"/>
      <c r="E566" s="11"/>
      <c r="F566" s="13"/>
      <c r="G566" s="14"/>
      <c r="H566" s="14" t="str">
        <f ca="1">IFERROR(__xludf.DUMMYFUNCTION("IFERROR(
  AVERAGE(
    FILTER(
      $E$2:$E566,
      $A$2:$A566 &gt;= A566 - 30,
      $A$2:$A566 &lt;= A566,
      $E$2:$E566 &gt; 0
    )
  ),
"""")"),"")</f>
        <v/>
      </c>
      <c r="I566" s="14"/>
    </row>
    <row r="567" spans="1:9" ht="15.75" customHeight="1" x14ac:dyDescent="0.25">
      <c r="A567" s="9"/>
      <c r="B567" s="20"/>
      <c r="C567" s="20"/>
      <c r="D567" s="11"/>
      <c r="E567" s="11"/>
      <c r="F567" s="13"/>
      <c r="G567" s="14"/>
      <c r="H567" s="14" t="str">
        <f ca="1">IFERROR(__xludf.DUMMYFUNCTION("IFERROR(
  AVERAGE(
    FILTER(
      $E$2:$E567,
      $A$2:$A567 &gt;= A567 - 30,
      $A$2:$A567 &lt;= A567,
      $E$2:$E567 &gt; 0
    )
  ),
"""")"),"")</f>
        <v/>
      </c>
      <c r="I567" s="14"/>
    </row>
    <row r="568" spans="1:9" ht="15.75" customHeight="1" x14ac:dyDescent="0.25">
      <c r="A568" s="9"/>
      <c r="B568" s="20"/>
      <c r="C568" s="20"/>
      <c r="D568" s="11"/>
      <c r="E568" s="11"/>
      <c r="F568" s="13"/>
      <c r="G568" s="14"/>
      <c r="H568" s="14" t="str">
        <f ca="1">IFERROR(__xludf.DUMMYFUNCTION("IFERROR(
  AVERAGE(
    FILTER(
      $E$2:$E568,
      $A$2:$A568 &gt;= A568 - 30,
      $A$2:$A568 &lt;= A568,
      $E$2:$E568 &gt; 0
    )
  ),
"""")"),"")</f>
        <v/>
      </c>
      <c r="I568" s="14"/>
    </row>
    <row r="569" spans="1:9" ht="15.75" customHeight="1" x14ac:dyDescent="0.25">
      <c r="A569" s="9"/>
      <c r="B569" s="20"/>
      <c r="C569" s="20"/>
      <c r="D569" s="11"/>
      <c r="E569" s="11"/>
      <c r="F569" s="13"/>
      <c r="G569" s="14"/>
      <c r="H569" s="14" t="str">
        <f ca="1">IFERROR(__xludf.DUMMYFUNCTION("IFERROR(
  AVERAGE(
    FILTER(
      $E$2:$E569,
      $A$2:$A569 &gt;= A569 - 30,
      $A$2:$A569 &lt;= A569,
      $E$2:$E569 &gt; 0
    )
  ),
"""")"),"")</f>
        <v/>
      </c>
      <c r="I569" s="14"/>
    </row>
    <row r="570" spans="1:9" ht="15.75" customHeight="1" x14ac:dyDescent="0.25">
      <c r="A570" s="9"/>
      <c r="B570" s="20"/>
      <c r="C570" s="20"/>
      <c r="D570" s="11"/>
      <c r="E570" s="11"/>
      <c r="F570" s="13"/>
      <c r="G570" s="14"/>
      <c r="H570" s="14" t="str">
        <f ca="1">IFERROR(__xludf.DUMMYFUNCTION("IFERROR(
  AVERAGE(
    FILTER(
      $E$2:$E570,
      $A$2:$A570 &gt;= A570 - 30,
      $A$2:$A570 &lt;= A570,
      $E$2:$E570 &gt; 0
    )
  ),
"""")"),"")</f>
        <v/>
      </c>
      <c r="I570" s="14"/>
    </row>
    <row r="571" spans="1:9" ht="15.75" customHeight="1" x14ac:dyDescent="0.25">
      <c r="A571" s="9"/>
      <c r="B571" s="20"/>
      <c r="C571" s="20"/>
      <c r="D571" s="11"/>
      <c r="E571" s="11"/>
      <c r="F571" s="13"/>
      <c r="G571" s="14"/>
      <c r="H571" s="14" t="str">
        <f ca="1">IFERROR(__xludf.DUMMYFUNCTION("IFERROR(
  AVERAGE(
    FILTER(
      $E$2:$E571,
      $A$2:$A571 &gt;= A571 - 30,
      $A$2:$A571 &lt;= A571,
      $E$2:$E571 &gt; 0
    )
  ),
"""")"),"")</f>
        <v/>
      </c>
      <c r="I571" s="14"/>
    </row>
    <row r="572" spans="1:9" ht="15.75" customHeight="1" x14ac:dyDescent="0.25">
      <c r="A572" s="9"/>
      <c r="B572" s="20"/>
      <c r="C572" s="20"/>
      <c r="D572" s="11"/>
      <c r="E572" s="11"/>
      <c r="F572" s="13"/>
      <c r="G572" s="14"/>
      <c r="H572" s="14" t="str">
        <f ca="1">IFERROR(__xludf.DUMMYFUNCTION("IFERROR(
  AVERAGE(
    FILTER(
      $E$2:$E572,
      $A$2:$A572 &gt;= A572 - 30,
      $A$2:$A572 &lt;= A572,
      $E$2:$E572 &gt; 0
    )
  ),
"""")"),"")</f>
        <v/>
      </c>
      <c r="I572" s="14"/>
    </row>
    <row r="573" spans="1:9" ht="15.75" customHeight="1" x14ac:dyDescent="0.25">
      <c r="A573" s="9"/>
      <c r="B573" s="20"/>
      <c r="C573" s="20"/>
      <c r="D573" s="11"/>
      <c r="E573" s="11"/>
      <c r="F573" s="13"/>
      <c r="G573" s="14"/>
      <c r="H573" s="14" t="str">
        <f ca="1">IFERROR(__xludf.DUMMYFUNCTION("IFERROR(
  AVERAGE(
    FILTER(
      $E$2:$E573,
      $A$2:$A573 &gt;= A573 - 30,
      $A$2:$A573 &lt;= A573,
      $E$2:$E573 &gt; 0
    )
  ),
"""")"),"")</f>
        <v/>
      </c>
      <c r="I573" s="14"/>
    </row>
    <row r="574" spans="1:9" ht="15.75" customHeight="1" x14ac:dyDescent="0.25">
      <c r="A574" s="9"/>
      <c r="B574" s="20"/>
      <c r="C574" s="20"/>
      <c r="D574" s="11"/>
      <c r="E574" s="11"/>
      <c r="F574" s="13"/>
      <c r="G574" s="14"/>
      <c r="H574" s="14" t="str">
        <f ca="1">IFERROR(__xludf.DUMMYFUNCTION("IFERROR(
  AVERAGE(
    FILTER(
      $E$2:$E574,
      $A$2:$A574 &gt;= A574 - 30,
      $A$2:$A574 &lt;= A574,
      $E$2:$E574 &gt; 0
    )
  ),
"""")"),"")</f>
        <v/>
      </c>
      <c r="I574" s="14"/>
    </row>
    <row r="575" spans="1:9" ht="15.75" customHeight="1" x14ac:dyDescent="0.25">
      <c r="A575" s="9"/>
      <c r="B575" s="20"/>
      <c r="C575" s="20"/>
      <c r="D575" s="11"/>
      <c r="E575" s="11"/>
      <c r="F575" s="13"/>
      <c r="G575" s="14"/>
      <c r="H575" s="14" t="str">
        <f ca="1">IFERROR(__xludf.DUMMYFUNCTION("IFERROR(
  AVERAGE(
    FILTER(
      $E$2:$E575,
      $A$2:$A575 &gt;= A575 - 30,
      $A$2:$A575 &lt;= A575,
      $E$2:$E575 &gt; 0
    )
  ),
"""")"),"")</f>
        <v/>
      </c>
      <c r="I575" s="14"/>
    </row>
    <row r="576" spans="1:9" ht="15.75" customHeight="1" x14ac:dyDescent="0.25">
      <c r="A576" s="9"/>
      <c r="B576" s="20"/>
      <c r="C576" s="20"/>
      <c r="D576" s="11"/>
      <c r="E576" s="11"/>
      <c r="F576" s="13"/>
      <c r="G576" s="14"/>
      <c r="H576" s="14" t="str">
        <f ca="1">IFERROR(__xludf.DUMMYFUNCTION("IFERROR(
  AVERAGE(
    FILTER(
      $E$2:$E576,
      $A$2:$A576 &gt;= A576 - 30,
      $A$2:$A576 &lt;= A576,
      $E$2:$E576 &gt; 0
    )
  ),
"""")"),"")</f>
        <v/>
      </c>
      <c r="I576" s="14"/>
    </row>
    <row r="577" spans="1:9" ht="15.75" customHeight="1" x14ac:dyDescent="0.25">
      <c r="A577" s="9"/>
      <c r="B577" s="20"/>
      <c r="C577" s="20"/>
      <c r="D577" s="11"/>
      <c r="E577" s="11"/>
      <c r="F577" s="13"/>
      <c r="G577" s="14"/>
      <c r="H577" s="14" t="str">
        <f ca="1">IFERROR(__xludf.DUMMYFUNCTION("IFERROR(
  AVERAGE(
    FILTER(
      $E$2:$E577,
      $A$2:$A577 &gt;= A577 - 30,
      $A$2:$A577 &lt;= A577,
      $E$2:$E577 &gt; 0
    )
  ),
"""")"),"")</f>
        <v/>
      </c>
      <c r="I577" s="14"/>
    </row>
    <row r="578" spans="1:9" ht="15.75" customHeight="1" x14ac:dyDescent="0.25">
      <c r="A578" s="9"/>
      <c r="B578" s="20"/>
      <c r="C578" s="20"/>
      <c r="D578" s="11"/>
      <c r="E578" s="11"/>
      <c r="F578" s="13"/>
      <c r="G578" s="14"/>
      <c r="H578" s="14" t="str">
        <f ca="1">IFERROR(__xludf.DUMMYFUNCTION("IFERROR(
  AVERAGE(
    FILTER(
      $E$2:$E578,
      $A$2:$A578 &gt;= A578 - 30,
      $A$2:$A578 &lt;= A578,
      $E$2:$E578 &gt; 0
    )
  ),
"""")"),"")</f>
        <v/>
      </c>
      <c r="I578" s="14"/>
    </row>
    <row r="579" spans="1:9" ht="15.75" customHeight="1" x14ac:dyDescent="0.25">
      <c r="A579" s="9"/>
      <c r="B579" s="20"/>
      <c r="C579" s="20"/>
      <c r="D579" s="11"/>
      <c r="E579" s="11"/>
      <c r="F579" s="13"/>
      <c r="G579" s="14"/>
      <c r="H579" s="14" t="str">
        <f ca="1">IFERROR(__xludf.DUMMYFUNCTION("IFERROR(
  AVERAGE(
    FILTER(
      $E$2:$E579,
      $A$2:$A579 &gt;= A579 - 30,
      $A$2:$A579 &lt;= A579,
      $E$2:$E579 &gt; 0
    )
  ),
"""")"),"")</f>
        <v/>
      </c>
      <c r="I579" s="14"/>
    </row>
    <row r="580" spans="1:9" ht="15.75" customHeight="1" x14ac:dyDescent="0.25">
      <c r="A580" s="9"/>
      <c r="B580" s="20"/>
      <c r="C580" s="20"/>
      <c r="D580" s="11"/>
      <c r="E580" s="11"/>
      <c r="F580" s="13"/>
      <c r="G580" s="14"/>
      <c r="H580" s="14" t="str">
        <f ca="1">IFERROR(__xludf.DUMMYFUNCTION("IFERROR(
  AVERAGE(
    FILTER(
      $E$2:$E580,
      $A$2:$A580 &gt;= A580 - 30,
      $A$2:$A580 &lt;= A580,
      $E$2:$E580 &gt; 0
    )
  ),
"""")"),"")</f>
        <v/>
      </c>
      <c r="I580" s="14"/>
    </row>
    <row r="581" spans="1:9" ht="15.75" customHeight="1" x14ac:dyDescent="0.25">
      <c r="A581" s="9"/>
      <c r="B581" s="20"/>
      <c r="C581" s="20"/>
      <c r="D581" s="11"/>
      <c r="E581" s="11"/>
      <c r="F581" s="13"/>
      <c r="G581" s="14"/>
      <c r="H581" s="14" t="str">
        <f ca="1">IFERROR(__xludf.DUMMYFUNCTION("IFERROR(
  AVERAGE(
    FILTER(
      $E$2:$E581,
      $A$2:$A581 &gt;= A581 - 30,
      $A$2:$A581 &lt;= A581,
      $E$2:$E581 &gt; 0
    )
  ),
"""")"),"")</f>
        <v/>
      </c>
      <c r="I581" s="14"/>
    </row>
    <row r="582" spans="1:9" ht="15.75" customHeight="1" x14ac:dyDescent="0.25">
      <c r="A582" s="9"/>
      <c r="B582" s="20"/>
      <c r="C582" s="20"/>
      <c r="D582" s="11"/>
      <c r="E582" s="11"/>
      <c r="F582" s="13"/>
      <c r="G582" s="14"/>
      <c r="H582" s="14" t="str">
        <f ca="1">IFERROR(__xludf.DUMMYFUNCTION("IFERROR(
  AVERAGE(
    FILTER(
      $E$2:$E582,
      $A$2:$A582 &gt;= A582 - 30,
      $A$2:$A582 &lt;= A582,
      $E$2:$E582 &gt; 0
    )
  ),
"""")"),"")</f>
        <v/>
      </c>
      <c r="I582" s="14"/>
    </row>
    <row r="583" spans="1:9" ht="15.75" customHeight="1" x14ac:dyDescent="0.25">
      <c r="A583" s="9"/>
      <c r="B583" s="20"/>
      <c r="C583" s="20"/>
      <c r="D583" s="11"/>
      <c r="E583" s="11"/>
      <c r="F583" s="13"/>
      <c r="G583" s="14"/>
      <c r="H583" s="14" t="str">
        <f ca="1">IFERROR(__xludf.DUMMYFUNCTION("IFERROR(
  AVERAGE(
    FILTER(
      $E$2:$E583,
      $A$2:$A583 &gt;= A583 - 30,
      $A$2:$A583 &lt;= A583,
      $E$2:$E583 &gt; 0
    )
  ),
"""")"),"")</f>
        <v/>
      </c>
      <c r="I583" s="14"/>
    </row>
    <row r="584" spans="1:9" ht="15.75" customHeight="1" x14ac:dyDescent="0.25">
      <c r="A584" s="9"/>
      <c r="B584" s="20"/>
      <c r="C584" s="20"/>
      <c r="D584" s="11"/>
      <c r="E584" s="11"/>
      <c r="F584" s="13"/>
      <c r="G584" s="14"/>
      <c r="H584" s="14" t="str">
        <f ca="1">IFERROR(__xludf.DUMMYFUNCTION("IFERROR(
  AVERAGE(
    FILTER(
      $E$2:$E584,
      $A$2:$A584 &gt;= A584 - 30,
      $A$2:$A584 &lt;= A584,
      $E$2:$E584 &gt; 0
    )
  ),
"""")"),"")</f>
        <v/>
      </c>
      <c r="I584" s="14"/>
    </row>
    <row r="585" spans="1:9" ht="15.75" customHeight="1" x14ac:dyDescent="0.25">
      <c r="A585" s="9"/>
      <c r="B585" s="20"/>
      <c r="C585" s="20"/>
      <c r="D585" s="11"/>
      <c r="E585" s="11"/>
      <c r="F585" s="13"/>
      <c r="G585" s="14"/>
      <c r="H585" s="14" t="str">
        <f ca="1">IFERROR(__xludf.DUMMYFUNCTION("IFERROR(
  AVERAGE(
    FILTER(
      $E$2:$E585,
      $A$2:$A585 &gt;= A585 - 30,
      $A$2:$A585 &lt;= A585,
      $E$2:$E585 &gt; 0
    )
  ),
"""")"),"")</f>
        <v/>
      </c>
      <c r="I585" s="14"/>
    </row>
    <row r="586" spans="1:9" ht="15.75" customHeight="1" x14ac:dyDescent="0.25">
      <c r="A586" s="9"/>
      <c r="B586" s="20"/>
      <c r="C586" s="20"/>
      <c r="D586" s="11"/>
      <c r="E586" s="11"/>
      <c r="F586" s="13"/>
      <c r="G586" s="14"/>
      <c r="H586" s="14" t="str">
        <f ca="1">IFERROR(__xludf.DUMMYFUNCTION("IFERROR(
  AVERAGE(
    FILTER(
      $E$2:$E586,
      $A$2:$A586 &gt;= A586 - 30,
      $A$2:$A586 &lt;= A586,
      $E$2:$E586 &gt; 0
    )
  ),
"""")"),"")</f>
        <v/>
      </c>
      <c r="I586" s="14"/>
    </row>
    <row r="587" spans="1:9" ht="15.75" customHeight="1" x14ac:dyDescent="0.25">
      <c r="A587" s="9"/>
      <c r="B587" s="20"/>
      <c r="C587" s="20"/>
      <c r="D587" s="11"/>
      <c r="E587" s="11"/>
      <c r="F587" s="13"/>
      <c r="G587" s="14"/>
      <c r="H587" s="14" t="str">
        <f ca="1">IFERROR(__xludf.DUMMYFUNCTION("IFERROR(
  AVERAGE(
    FILTER(
      $E$2:$E587,
      $A$2:$A587 &gt;= A587 - 30,
      $A$2:$A587 &lt;= A587,
      $E$2:$E587 &gt; 0
    )
  ),
"""")"),"")</f>
        <v/>
      </c>
      <c r="I587" s="14"/>
    </row>
    <row r="588" spans="1:9" ht="15.75" customHeight="1" x14ac:dyDescent="0.25">
      <c r="A588" s="9"/>
      <c r="B588" s="20"/>
      <c r="C588" s="20"/>
      <c r="D588" s="11"/>
      <c r="E588" s="11"/>
      <c r="F588" s="13"/>
      <c r="G588" s="14"/>
      <c r="H588" s="14" t="str">
        <f ca="1">IFERROR(__xludf.DUMMYFUNCTION("IFERROR(
  AVERAGE(
    FILTER(
      $E$2:$E588,
      $A$2:$A588 &gt;= A588 - 30,
      $A$2:$A588 &lt;= A588,
      $E$2:$E588 &gt; 0
    )
  ),
"""")"),"")</f>
        <v/>
      </c>
      <c r="I588" s="14"/>
    </row>
    <row r="589" spans="1:9" ht="15.75" customHeight="1" x14ac:dyDescent="0.25">
      <c r="A589" s="9"/>
      <c r="B589" s="20"/>
      <c r="C589" s="20"/>
      <c r="D589" s="11"/>
      <c r="E589" s="11"/>
      <c r="F589" s="13"/>
      <c r="G589" s="14"/>
      <c r="H589" s="14" t="str">
        <f ca="1">IFERROR(__xludf.DUMMYFUNCTION("IFERROR(
  AVERAGE(
    FILTER(
      $E$2:$E589,
      $A$2:$A589 &gt;= A589 - 30,
      $A$2:$A589 &lt;= A589,
      $E$2:$E589 &gt; 0
    )
  ),
"""")"),"")</f>
        <v/>
      </c>
      <c r="I589" s="14"/>
    </row>
    <row r="590" spans="1:9" ht="15.75" customHeight="1" x14ac:dyDescent="0.25">
      <c r="A590" s="9"/>
      <c r="B590" s="20"/>
      <c r="C590" s="20"/>
      <c r="D590" s="11"/>
      <c r="E590" s="11"/>
      <c r="F590" s="13"/>
      <c r="G590" s="14"/>
      <c r="H590" s="14" t="str">
        <f ca="1">IFERROR(__xludf.DUMMYFUNCTION("IFERROR(
  AVERAGE(
    FILTER(
      $E$2:$E590,
      $A$2:$A590 &gt;= A590 - 30,
      $A$2:$A590 &lt;= A590,
      $E$2:$E590 &gt; 0
    )
  ),
"""")"),"")</f>
        <v/>
      </c>
      <c r="I590" s="14"/>
    </row>
    <row r="591" spans="1:9" ht="15.75" customHeight="1" x14ac:dyDescent="0.25">
      <c r="A591" s="9"/>
      <c r="B591" s="20"/>
      <c r="C591" s="20"/>
      <c r="D591" s="11"/>
      <c r="E591" s="11"/>
      <c r="F591" s="13"/>
      <c r="G591" s="14"/>
      <c r="H591" s="14" t="str">
        <f ca="1">IFERROR(__xludf.DUMMYFUNCTION("IFERROR(
  AVERAGE(
    FILTER(
      $E$2:$E591,
      $A$2:$A591 &gt;= A591 - 30,
      $A$2:$A591 &lt;= A591,
      $E$2:$E591 &gt; 0
    )
  ),
"""")"),"")</f>
        <v/>
      </c>
      <c r="I591" s="14"/>
    </row>
    <row r="592" spans="1:9" ht="15.75" customHeight="1" x14ac:dyDescent="0.25">
      <c r="A592" s="9"/>
      <c r="B592" s="20"/>
      <c r="C592" s="20"/>
      <c r="D592" s="11"/>
      <c r="E592" s="11"/>
      <c r="F592" s="13"/>
      <c r="G592" s="14"/>
      <c r="H592" s="14" t="str">
        <f ca="1">IFERROR(__xludf.DUMMYFUNCTION("IFERROR(
  AVERAGE(
    FILTER(
      $E$2:$E592,
      $A$2:$A592 &gt;= A592 - 30,
      $A$2:$A592 &lt;= A592,
      $E$2:$E592 &gt; 0
    )
  ),
"""")"),"")</f>
        <v/>
      </c>
      <c r="I592" s="14"/>
    </row>
    <row r="593" spans="1:9" ht="15.75" customHeight="1" x14ac:dyDescent="0.25">
      <c r="A593" s="9"/>
      <c r="B593" s="20"/>
      <c r="C593" s="20"/>
      <c r="D593" s="11"/>
      <c r="E593" s="11"/>
      <c r="F593" s="13"/>
      <c r="G593" s="14"/>
      <c r="H593" s="14" t="str">
        <f ca="1">IFERROR(__xludf.DUMMYFUNCTION("IFERROR(
  AVERAGE(
    FILTER(
      $E$2:$E593,
      $A$2:$A593 &gt;= A593 - 30,
      $A$2:$A593 &lt;= A593,
      $E$2:$E593 &gt; 0
    )
  ),
"""")"),"")</f>
        <v/>
      </c>
      <c r="I593" s="14"/>
    </row>
    <row r="594" spans="1:9" ht="15.75" customHeight="1" x14ac:dyDescent="0.25">
      <c r="A594" s="9"/>
      <c r="B594" s="20"/>
      <c r="C594" s="20"/>
      <c r="D594" s="11"/>
      <c r="E594" s="11"/>
      <c r="F594" s="13"/>
      <c r="G594" s="14"/>
      <c r="H594" s="14" t="str">
        <f ca="1">IFERROR(__xludf.DUMMYFUNCTION("IFERROR(
  AVERAGE(
    FILTER(
      $E$2:$E594,
      $A$2:$A594 &gt;= A594 - 30,
      $A$2:$A594 &lt;= A594,
      $E$2:$E594 &gt; 0
    )
  ),
"""")"),"")</f>
        <v/>
      </c>
      <c r="I594" s="14"/>
    </row>
    <row r="595" spans="1:9" ht="15.75" customHeight="1" x14ac:dyDescent="0.25">
      <c r="A595" s="9"/>
      <c r="B595" s="20"/>
      <c r="C595" s="20"/>
      <c r="D595" s="11"/>
      <c r="E595" s="11"/>
      <c r="F595" s="13"/>
      <c r="G595" s="14"/>
      <c r="H595" s="14" t="str">
        <f ca="1">IFERROR(__xludf.DUMMYFUNCTION("IFERROR(
  AVERAGE(
    FILTER(
      $E$2:$E595,
      $A$2:$A595 &gt;= A595 - 30,
      $A$2:$A595 &lt;= A595,
      $E$2:$E595 &gt; 0
    )
  ),
"""")"),"")</f>
        <v/>
      </c>
      <c r="I595" s="14"/>
    </row>
    <row r="596" spans="1:9" ht="15.75" customHeight="1" x14ac:dyDescent="0.25">
      <c r="A596" s="9"/>
      <c r="B596" s="20"/>
      <c r="C596" s="20"/>
      <c r="D596" s="11"/>
      <c r="E596" s="11"/>
      <c r="F596" s="13"/>
      <c r="G596" s="14"/>
      <c r="H596" s="14" t="str">
        <f ca="1">IFERROR(__xludf.DUMMYFUNCTION("IFERROR(
  AVERAGE(
    FILTER(
      $E$2:$E596,
      $A$2:$A596 &gt;= A596 - 30,
      $A$2:$A596 &lt;= A596,
      $E$2:$E596 &gt; 0
    )
  ),
"""")"),"")</f>
        <v/>
      </c>
      <c r="I596" s="14"/>
    </row>
    <row r="597" spans="1:9" ht="15.75" customHeight="1" x14ac:dyDescent="0.25">
      <c r="A597" s="9"/>
      <c r="B597" s="20"/>
      <c r="C597" s="20"/>
      <c r="D597" s="11"/>
      <c r="E597" s="11"/>
      <c r="F597" s="13"/>
      <c r="G597" s="14"/>
      <c r="H597" s="14" t="str">
        <f ca="1">IFERROR(__xludf.DUMMYFUNCTION("IFERROR(
  AVERAGE(
    FILTER(
      $E$2:$E597,
      $A$2:$A597 &gt;= A597 - 30,
      $A$2:$A597 &lt;= A597,
      $E$2:$E597 &gt; 0
    )
  ),
"""")"),"")</f>
        <v/>
      </c>
      <c r="I597" s="14"/>
    </row>
    <row r="598" spans="1:9" ht="15.75" customHeight="1" x14ac:dyDescent="0.25">
      <c r="A598" s="9"/>
      <c r="B598" s="20"/>
      <c r="C598" s="20"/>
      <c r="D598" s="11"/>
      <c r="E598" s="11"/>
      <c r="F598" s="13"/>
      <c r="G598" s="14"/>
      <c r="H598" s="14" t="str">
        <f ca="1">IFERROR(__xludf.DUMMYFUNCTION("IFERROR(
  AVERAGE(
    FILTER(
      $E$2:$E598,
      $A$2:$A598 &gt;= A598 - 30,
      $A$2:$A598 &lt;= A598,
      $E$2:$E598 &gt; 0
    )
  ),
"""")"),"")</f>
        <v/>
      </c>
      <c r="I598" s="14"/>
    </row>
    <row r="599" spans="1:9" ht="15.75" customHeight="1" x14ac:dyDescent="0.25">
      <c r="A599" s="9"/>
      <c r="B599" s="20"/>
      <c r="C599" s="20"/>
      <c r="D599" s="11"/>
      <c r="E599" s="11"/>
      <c r="F599" s="13"/>
      <c r="G599" s="14"/>
      <c r="H599" s="14" t="str">
        <f ca="1">IFERROR(__xludf.DUMMYFUNCTION("IFERROR(
  AVERAGE(
    FILTER(
      $E$2:$E599,
      $A$2:$A599 &gt;= A599 - 30,
      $A$2:$A599 &lt;= A599,
      $E$2:$E599 &gt; 0
    )
  ),
"""")"),"")</f>
        <v/>
      </c>
      <c r="I599" s="14"/>
    </row>
    <row r="600" spans="1:9" ht="15.75" customHeight="1" x14ac:dyDescent="0.25">
      <c r="A600" s="9"/>
      <c r="B600" s="20"/>
      <c r="C600" s="20"/>
      <c r="D600" s="11"/>
      <c r="E600" s="11"/>
      <c r="F600" s="13"/>
      <c r="G600" s="14"/>
      <c r="H600" s="14" t="str">
        <f ca="1">IFERROR(__xludf.DUMMYFUNCTION("IFERROR(
  AVERAGE(
    FILTER(
      $E$2:$E600,
      $A$2:$A600 &gt;= A600 - 30,
      $A$2:$A600 &lt;= A600,
      $E$2:$E600 &gt; 0
    )
  ),
"""")"),"")</f>
        <v/>
      </c>
      <c r="I600" s="14"/>
    </row>
    <row r="601" spans="1:9" ht="15.75" customHeight="1" x14ac:dyDescent="0.25">
      <c r="A601" s="9"/>
      <c r="B601" s="20"/>
      <c r="C601" s="20"/>
      <c r="D601" s="11"/>
      <c r="E601" s="11"/>
      <c r="F601" s="13"/>
      <c r="G601" s="14"/>
      <c r="H601" s="14" t="str">
        <f ca="1">IFERROR(__xludf.DUMMYFUNCTION("IFERROR(
  AVERAGE(
    FILTER(
      $E$2:$E601,
      $A$2:$A601 &gt;= A601 - 30,
      $A$2:$A601 &lt;= A601,
      $E$2:$E601 &gt; 0
    )
  ),
"""")"),"")</f>
        <v/>
      </c>
      <c r="I601" s="14"/>
    </row>
    <row r="602" spans="1:9" ht="15.75" customHeight="1" x14ac:dyDescent="0.25">
      <c r="A602" s="9"/>
      <c r="B602" s="20"/>
      <c r="C602" s="20"/>
      <c r="D602" s="11"/>
      <c r="E602" s="11"/>
      <c r="F602" s="13"/>
      <c r="G602" s="14"/>
      <c r="H602" s="14" t="str">
        <f ca="1">IFERROR(__xludf.DUMMYFUNCTION("IFERROR(
  AVERAGE(
    FILTER(
      $E$2:$E602,
      $A$2:$A602 &gt;= A602 - 30,
      $A$2:$A602 &lt;= A602,
      $E$2:$E602 &gt; 0
    )
  ),
"""")"),"")</f>
        <v/>
      </c>
      <c r="I602" s="14"/>
    </row>
    <row r="603" spans="1:9" ht="15.75" customHeight="1" x14ac:dyDescent="0.25">
      <c r="A603" s="9"/>
      <c r="B603" s="20"/>
      <c r="C603" s="20"/>
      <c r="D603" s="11"/>
      <c r="E603" s="11"/>
      <c r="F603" s="13"/>
      <c r="G603" s="14"/>
      <c r="H603" s="14" t="str">
        <f ca="1">IFERROR(__xludf.DUMMYFUNCTION("IFERROR(
  AVERAGE(
    FILTER(
      $E$2:$E603,
      $A$2:$A603 &gt;= A603 - 30,
      $A$2:$A603 &lt;= A603,
      $E$2:$E603 &gt; 0
    )
  ),
"""")"),"")</f>
        <v/>
      </c>
      <c r="I603" s="14"/>
    </row>
    <row r="604" spans="1:9" ht="15.75" customHeight="1" x14ac:dyDescent="0.25">
      <c r="A604" s="9"/>
      <c r="B604" s="20"/>
      <c r="C604" s="20"/>
      <c r="D604" s="11"/>
      <c r="E604" s="11"/>
      <c r="F604" s="13"/>
      <c r="G604" s="14"/>
      <c r="H604" s="14" t="str">
        <f ca="1">IFERROR(__xludf.DUMMYFUNCTION("IFERROR(
  AVERAGE(
    FILTER(
      $E$2:$E604,
      $A$2:$A604 &gt;= A604 - 30,
      $A$2:$A604 &lt;= A604,
      $E$2:$E604 &gt; 0
    )
  ),
"""")"),"")</f>
        <v/>
      </c>
      <c r="I604" s="14"/>
    </row>
    <row r="605" spans="1:9" ht="15.75" customHeight="1" x14ac:dyDescent="0.25">
      <c r="A605" s="9"/>
      <c r="B605" s="20"/>
      <c r="C605" s="20"/>
      <c r="D605" s="11"/>
      <c r="E605" s="11"/>
      <c r="F605" s="13"/>
      <c r="G605" s="14"/>
      <c r="H605" s="14" t="str">
        <f ca="1">IFERROR(__xludf.DUMMYFUNCTION("IFERROR(
  AVERAGE(
    FILTER(
      $E$2:$E605,
      $A$2:$A605 &gt;= A605 - 30,
      $A$2:$A605 &lt;= A605,
      $E$2:$E605 &gt; 0
    )
  ),
"""")"),"")</f>
        <v/>
      </c>
      <c r="I605" s="14"/>
    </row>
    <row r="606" spans="1:9" ht="15.75" customHeight="1" x14ac:dyDescent="0.25">
      <c r="A606" s="9"/>
      <c r="B606" s="20"/>
      <c r="C606" s="20"/>
      <c r="D606" s="11"/>
      <c r="E606" s="11"/>
      <c r="F606" s="13"/>
      <c r="G606" s="14"/>
      <c r="H606" s="14" t="str">
        <f ca="1">IFERROR(__xludf.DUMMYFUNCTION("IFERROR(
  AVERAGE(
    FILTER(
      $E$2:$E606,
      $A$2:$A606 &gt;= A606 - 30,
      $A$2:$A606 &lt;= A606,
      $E$2:$E606 &gt; 0
    )
  ),
"""")"),"")</f>
        <v/>
      </c>
      <c r="I606" s="14"/>
    </row>
    <row r="607" spans="1:9" ht="15.75" customHeight="1" x14ac:dyDescent="0.25">
      <c r="A607" s="9"/>
      <c r="B607" s="20"/>
      <c r="C607" s="20"/>
      <c r="D607" s="11"/>
      <c r="E607" s="11"/>
      <c r="F607" s="13"/>
      <c r="G607" s="14"/>
      <c r="H607" s="14" t="str">
        <f ca="1">IFERROR(__xludf.DUMMYFUNCTION("IFERROR(
  AVERAGE(
    FILTER(
      $E$2:$E607,
      $A$2:$A607 &gt;= A607 - 30,
      $A$2:$A607 &lt;= A607,
      $E$2:$E607 &gt; 0
    )
  ),
"""")"),"")</f>
        <v/>
      </c>
      <c r="I607" s="14"/>
    </row>
    <row r="608" spans="1:9" ht="15.75" customHeight="1" x14ac:dyDescent="0.25">
      <c r="A608" s="9"/>
      <c r="B608" s="20"/>
      <c r="C608" s="20"/>
      <c r="D608" s="11"/>
      <c r="E608" s="11"/>
      <c r="F608" s="13"/>
      <c r="G608" s="14"/>
      <c r="H608" s="14" t="str">
        <f ca="1">IFERROR(__xludf.DUMMYFUNCTION("IFERROR(
  AVERAGE(
    FILTER(
      $E$2:$E608,
      $A$2:$A608 &gt;= A608 - 30,
      $A$2:$A608 &lt;= A608,
      $E$2:$E608 &gt; 0
    )
  ),
"""")"),"")</f>
        <v/>
      </c>
      <c r="I608" s="14"/>
    </row>
    <row r="609" spans="1:9" ht="15.75" customHeight="1" x14ac:dyDescent="0.25">
      <c r="A609" s="9"/>
      <c r="B609" s="20"/>
      <c r="C609" s="20"/>
      <c r="D609" s="11"/>
      <c r="E609" s="11"/>
      <c r="F609" s="13"/>
      <c r="G609" s="14"/>
      <c r="H609" s="14" t="str">
        <f ca="1">IFERROR(__xludf.DUMMYFUNCTION("IFERROR(
  AVERAGE(
    FILTER(
      $E$2:$E609,
      $A$2:$A609 &gt;= A609 - 30,
      $A$2:$A609 &lt;= A609,
      $E$2:$E609 &gt; 0
    )
  ),
"""")"),"")</f>
        <v/>
      </c>
      <c r="I609" s="14"/>
    </row>
    <row r="610" spans="1:9" ht="15.75" customHeight="1" x14ac:dyDescent="0.25">
      <c r="A610" s="9"/>
      <c r="B610" s="20"/>
      <c r="C610" s="20"/>
      <c r="D610" s="11"/>
      <c r="E610" s="11"/>
      <c r="F610" s="13"/>
      <c r="G610" s="14"/>
      <c r="H610" s="14" t="str">
        <f ca="1">IFERROR(__xludf.DUMMYFUNCTION("IFERROR(
  AVERAGE(
    FILTER(
      $E$2:$E610,
      $A$2:$A610 &gt;= A610 - 30,
      $A$2:$A610 &lt;= A610,
      $E$2:$E610 &gt; 0
    )
  ),
"""")"),"")</f>
        <v/>
      </c>
      <c r="I610" s="14"/>
    </row>
    <row r="611" spans="1:9" ht="15.75" customHeight="1" x14ac:dyDescent="0.25">
      <c r="A611" s="9"/>
      <c r="B611" s="20"/>
      <c r="C611" s="20"/>
      <c r="D611" s="11"/>
      <c r="E611" s="11"/>
      <c r="F611" s="13"/>
      <c r="G611" s="14"/>
      <c r="H611" s="14" t="str">
        <f ca="1">IFERROR(__xludf.DUMMYFUNCTION("IFERROR(
  AVERAGE(
    FILTER(
      $E$2:$E611,
      $A$2:$A611 &gt;= A611 - 30,
      $A$2:$A611 &lt;= A611,
      $E$2:$E611 &gt; 0
    )
  ),
"""")"),"")</f>
        <v/>
      </c>
      <c r="I611" s="14"/>
    </row>
    <row r="612" spans="1:9" ht="15.75" customHeight="1" x14ac:dyDescent="0.25">
      <c r="A612" s="9"/>
      <c r="B612" s="20"/>
      <c r="C612" s="20"/>
      <c r="D612" s="11"/>
      <c r="E612" s="11"/>
      <c r="F612" s="13"/>
      <c r="G612" s="14"/>
      <c r="H612" s="14" t="str">
        <f ca="1">IFERROR(__xludf.DUMMYFUNCTION("IFERROR(
  AVERAGE(
    FILTER(
      $E$2:$E612,
      $A$2:$A612 &gt;= A612 - 30,
      $A$2:$A612 &lt;= A612,
      $E$2:$E612 &gt; 0
    )
  ),
"""")"),"")</f>
        <v/>
      </c>
      <c r="I612" s="14"/>
    </row>
    <row r="613" spans="1:9" ht="15.75" customHeight="1" x14ac:dyDescent="0.25">
      <c r="A613" s="9"/>
      <c r="B613" s="20"/>
      <c r="C613" s="20"/>
      <c r="D613" s="11"/>
      <c r="E613" s="11"/>
      <c r="F613" s="13"/>
      <c r="G613" s="14"/>
      <c r="H613" s="14" t="str">
        <f ca="1">IFERROR(__xludf.DUMMYFUNCTION("IFERROR(
  AVERAGE(
    FILTER(
      $E$2:$E613,
      $A$2:$A613 &gt;= A613 - 30,
      $A$2:$A613 &lt;= A613,
      $E$2:$E613 &gt; 0
    )
  ),
"""")"),"")</f>
        <v/>
      </c>
      <c r="I613" s="14"/>
    </row>
    <row r="614" spans="1:9" ht="15.75" customHeight="1" x14ac:dyDescent="0.25">
      <c r="A614" s="9"/>
      <c r="B614" s="20"/>
      <c r="C614" s="20"/>
      <c r="D614" s="11"/>
      <c r="E614" s="11"/>
      <c r="F614" s="13"/>
      <c r="G614" s="14"/>
      <c r="H614" s="14" t="str">
        <f ca="1">IFERROR(__xludf.DUMMYFUNCTION("IFERROR(
  AVERAGE(
    FILTER(
      $E$2:$E614,
      $A$2:$A614 &gt;= A614 - 30,
      $A$2:$A614 &lt;= A614,
      $E$2:$E614 &gt; 0
    )
  ),
"""")"),"")</f>
        <v/>
      </c>
      <c r="I614" s="14"/>
    </row>
    <row r="615" spans="1:9" ht="15.75" customHeight="1" x14ac:dyDescent="0.25">
      <c r="A615" s="9"/>
      <c r="B615" s="20"/>
      <c r="C615" s="20"/>
      <c r="D615" s="11"/>
      <c r="E615" s="11"/>
      <c r="F615" s="13"/>
      <c r="G615" s="14"/>
      <c r="H615" s="14" t="str">
        <f ca="1">IFERROR(__xludf.DUMMYFUNCTION("IFERROR(
  AVERAGE(
    FILTER(
      $E$2:$E615,
      $A$2:$A615 &gt;= A615 - 30,
      $A$2:$A615 &lt;= A615,
      $E$2:$E615 &gt; 0
    )
  ),
"""")"),"")</f>
        <v/>
      </c>
      <c r="I615" s="14"/>
    </row>
    <row r="616" spans="1:9" ht="15.75" customHeight="1" x14ac:dyDescent="0.25">
      <c r="A616" s="9"/>
      <c r="B616" s="20"/>
      <c r="C616" s="20"/>
      <c r="D616" s="11"/>
      <c r="E616" s="11"/>
      <c r="F616" s="13"/>
      <c r="G616" s="14"/>
      <c r="H616" s="14" t="str">
        <f ca="1">IFERROR(__xludf.DUMMYFUNCTION("IFERROR(
  AVERAGE(
    FILTER(
      $E$2:$E616,
      $A$2:$A616 &gt;= A616 - 30,
      $A$2:$A616 &lt;= A616,
      $E$2:$E616 &gt; 0
    )
  ),
"""")"),"")</f>
        <v/>
      </c>
      <c r="I616" s="14"/>
    </row>
    <row r="617" spans="1:9" ht="15.75" customHeight="1" x14ac:dyDescent="0.25">
      <c r="A617" s="9"/>
      <c r="B617" s="20"/>
      <c r="C617" s="20"/>
      <c r="D617" s="11"/>
      <c r="E617" s="11"/>
      <c r="F617" s="13"/>
      <c r="G617" s="14"/>
      <c r="H617" s="14" t="str">
        <f ca="1">IFERROR(__xludf.DUMMYFUNCTION("IFERROR(
  AVERAGE(
    FILTER(
      $E$2:$E617,
      $A$2:$A617 &gt;= A617 - 30,
      $A$2:$A617 &lt;= A617,
      $E$2:$E617 &gt; 0
    )
  ),
"""")"),"")</f>
        <v/>
      </c>
      <c r="I617" s="14"/>
    </row>
    <row r="618" spans="1:9" ht="15.75" customHeight="1" x14ac:dyDescent="0.25">
      <c r="A618" s="9"/>
      <c r="B618" s="20"/>
      <c r="C618" s="20"/>
      <c r="D618" s="11"/>
      <c r="E618" s="11"/>
      <c r="F618" s="13"/>
      <c r="G618" s="14"/>
      <c r="H618" s="14" t="str">
        <f ca="1">IFERROR(__xludf.DUMMYFUNCTION("IFERROR(
  AVERAGE(
    FILTER(
      $E$2:$E618,
      $A$2:$A618 &gt;= A618 - 30,
      $A$2:$A618 &lt;= A618,
      $E$2:$E618 &gt; 0
    )
  ),
"""")"),"")</f>
        <v/>
      </c>
      <c r="I618" s="14"/>
    </row>
    <row r="619" spans="1:9" ht="15.75" customHeight="1" x14ac:dyDescent="0.25">
      <c r="A619" s="9"/>
      <c r="B619" s="20"/>
      <c r="C619" s="20"/>
      <c r="D619" s="11"/>
      <c r="E619" s="11"/>
      <c r="F619" s="13"/>
      <c r="G619" s="14"/>
      <c r="H619" s="14" t="str">
        <f ca="1">IFERROR(__xludf.DUMMYFUNCTION("IFERROR(
  AVERAGE(
    FILTER(
      $E$2:$E619,
      $A$2:$A619 &gt;= A619 - 30,
      $A$2:$A619 &lt;= A619,
      $E$2:$E619 &gt; 0
    )
  ),
"""")"),"")</f>
        <v/>
      </c>
      <c r="I619" s="14"/>
    </row>
    <row r="620" spans="1:9" ht="15.75" customHeight="1" x14ac:dyDescent="0.25">
      <c r="A620" s="9"/>
      <c r="B620" s="20"/>
      <c r="C620" s="20"/>
      <c r="D620" s="11"/>
      <c r="E620" s="11"/>
      <c r="F620" s="13"/>
      <c r="G620" s="14"/>
      <c r="H620" s="14" t="str">
        <f ca="1">IFERROR(__xludf.DUMMYFUNCTION("IFERROR(
  AVERAGE(
    FILTER(
      $E$2:$E620,
      $A$2:$A620 &gt;= A620 - 30,
      $A$2:$A620 &lt;= A620,
      $E$2:$E620 &gt; 0
    )
  ),
"""")"),"")</f>
        <v/>
      </c>
      <c r="I620" s="14"/>
    </row>
    <row r="621" spans="1:9" ht="15.75" customHeight="1" x14ac:dyDescent="0.25">
      <c r="A621" s="9"/>
      <c r="B621" s="20"/>
      <c r="C621" s="20"/>
      <c r="D621" s="11"/>
      <c r="E621" s="11"/>
      <c r="F621" s="13"/>
      <c r="G621" s="14"/>
      <c r="H621" s="14" t="str">
        <f ca="1">IFERROR(__xludf.DUMMYFUNCTION("IFERROR(
  AVERAGE(
    FILTER(
      $E$2:$E621,
      $A$2:$A621 &gt;= A621 - 30,
      $A$2:$A621 &lt;= A621,
      $E$2:$E621 &gt; 0
    )
  ),
"""")"),"")</f>
        <v/>
      </c>
      <c r="I621" s="14"/>
    </row>
    <row r="622" spans="1:9" ht="15.75" customHeight="1" x14ac:dyDescent="0.25">
      <c r="A622" s="9"/>
      <c r="B622" s="20"/>
      <c r="C622" s="20"/>
      <c r="D622" s="11"/>
      <c r="E622" s="11"/>
      <c r="F622" s="13"/>
      <c r="G622" s="14"/>
      <c r="H622" s="14" t="str">
        <f ca="1">IFERROR(__xludf.DUMMYFUNCTION("IFERROR(
  AVERAGE(
    FILTER(
      $E$2:$E622,
      $A$2:$A622 &gt;= A622 - 30,
      $A$2:$A622 &lt;= A622,
      $E$2:$E622 &gt; 0
    )
  ),
"""")"),"")</f>
        <v/>
      </c>
      <c r="I622" s="14"/>
    </row>
    <row r="623" spans="1:9" ht="15.75" customHeight="1" x14ac:dyDescent="0.25">
      <c r="A623" s="9"/>
      <c r="B623" s="20"/>
      <c r="C623" s="20"/>
      <c r="D623" s="11"/>
      <c r="E623" s="11"/>
      <c r="F623" s="13"/>
      <c r="G623" s="14"/>
      <c r="H623" s="14" t="str">
        <f ca="1">IFERROR(__xludf.DUMMYFUNCTION("IFERROR(
  AVERAGE(
    FILTER(
      $E$2:$E623,
      $A$2:$A623 &gt;= A623 - 30,
      $A$2:$A623 &lt;= A623,
      $E$2:$E623 &gt; 0
    )
  ),
"""")"),"")</f>
        <v/>
      </c>
      <c r="I623" s="14"/>
    </row>
    <row r="624" spans="1:9" ht="15.75" customHeight="1" x14ac:dyDescent="0.25">
      <c r="A624" s="9"/>
      <c r="B624" s="20"/>
      <c r="C624" s="20"/>
      <c r="D624" s="11"/>
      <c r="E624" s="11"/>
      <c r="F624" s="13"/>
      <c r="G624" s="14"/>
      <c r="H624" s="14" t="str">
        <f ca="1">IFERROR(__xludf.DUMMYFUNCTION("IFERROR(
  AVERAGE(
    FILTER(
      $E$2:$E624,
      $A$2:$A624 &gt;= A624 - 30,
      $A$2:$A624 &lt;= A624,
      $E$2:$E624 &gt; 0
    )
  ),
"""")"),"")</f>
        <v/>
      </c>
      <c r="I624" s="14"/>
    </row>
    <row r="625" spans="1:9" ht="15.75" customHeight="1" x14ac:dyDescent="0.25">
      <c r="A625" s="9"/>
      <c r="B625" s="20"/>
      <c r="C625" s="20"/>
      <c r="D625" s="11"/>
      <c r="E625" s="11"/>
      <c r="F625" s="13"/>
      <c r="G625" s="14"/>
      <c r="H625" s="14" t="str">
        <f ca="1">IFERROR(__xludf.DUMMYFUNCTION("IFERROR(
  AVERAGE(
    FILTER(
      $E$2:$E625,
      $A$2:$A625 &gt;= A625 - 30,
      $A$2:$A625 &lt;= A625,
      $E$2:$E625 &gt; 0
    )
  ),
"""")"),"")</f>
        <v/>
      </c>
      <c r="I625" s="14"/>
    </row>
    <row r="626" spans="1:9" ht="15.75" customHeight="1" x14ac:dyDescent="0.25">
      <c r="A626" s="9"/>
      <c r="B626" s="20"/>
      <c r="C626" s="20"/>
      <c r="D626" s="11"/>
      <c r="E626" s="11"/>
      <c r="F626" s="13"/>
      <c r="G626" s="14"/>
      <c r="H626" s="14" t="str">
        <f ca="1">IFERROR(__xludf.DUMMYFUNCTION("IFERROR(
  AVERAGE(
    FILTER(
      $E$2:$E626,
      $A$2:$A626 &gt;= A626 - 30,
      $A$2:$A626 &lt;= A626,
      $E$2:$E626 &gt; 0
    )
  ),
"""")"),"")</f>
        <v/>
      </c>
      <c r="I626" s="14"/>
    </row>
    <row r="627" spans="1:9" ht="15.75" customHeight="1" x14ac:dyDescent="0.25">
      <c r="A627" s="9"/>
      <c r="B627" s="20"/>
      <c r="C627" s="20"/>
      <c r="D627" s="11"/>
      <c r="E627" s="11"/>
      <c r="F627" s="13"/>
      <c r="G627" s="14"/>
      <c r="H627" s="14" t="str">
        <f ca="1">IFERROR(__xludf.DUMMYFUNCTION("IFERROR(
  AVERAGE(
    FILTER(
      $E$2:$E627,
      $A$2:$A627 &gt;= A627 - 30,
      $A$2:$A627 &lt;= A627,
      $E$2:$E627 &gt; 0
    )
  ),
"""")"),"")</f>
        <v/>
      </c>
      <c r="I627" s="14"/>
    </row>
    <row r="628" spans="1:9" ht="15.75" customHeight="1" x14ac:dyDescent="0.25">
      <c r="A628" s="9"/>
      <c r="B628" s="20"/>
      <c r="C628" s="20"/>
      <c r="D628" s="11"/>
      <c r="E628" s="11"/>
      <c r="F628" s="13"/>
      <c r="G628" s="14"/>
      <c r="H628" s="14" t="str">
        <f ca="1">IFERROR(__xludf.DUMMYFUNCTION("IFERROR(
  AVERAGE(
    FILTER(
      $E$2:$E628,
      $A$2:$A628 &gt;= A628 - 30,
      $A$2:$A628 &lt;= A628,
      $E$2:$E628 &gt; 0
    )
  ),
"""")"),"")</f>
        <v/>
      </c>
      <c r="I628" s="14"/>
    </row>
    <row r="629" spans="1:9" ht="15.75" customHeight="1" x14ac:dyDescent="0.25">
      <c r="A629" s="9"/>
      <c r="B629" s="20"/>
      <c r="C629" s="20"/>
      <c r="D629" s="11"/>
      <c r="E629" s="11"/>
      <c r="F629" s="13"/>
      <c r="G629" s="14"/>
      <c r="H629" s="14" t="str">
        <f ca="1">IFERROR(__xludf.DUMMYFUNCTION("IFERROR(
  AVERAGE(
    FILTER(
      $E$2:$E629,
      $A$2:$A629 &gt;= A629 - 30,
      $A$2:$A629 &lt;= A629,
      $E$2:$E629 &gt; 0
    )
  ),
"""")"),"")</f>
        <v/>
      </c>
      <c r="I629" s="14"/>
    </row>
    <row r="630" spans="1:9" ht="15.75" customHeight="1" x14ac:dyDescent="0.25">
      <c r="A630" s="9"/>
      <c r="B630" s="20"/>
      <c r="C630" s="20"/>
      <c r="D630" s="11"/>
      <c r="E630" s="11"/>
      <c r="F630" s="13"/>
      <c r="G630" s="14"/>
      <c r="H630" s="14" t="str">
        <f ca="1">IFERROR(__xludf.DUMMYFUNCTION("IFERROR(
  AVERAGE(
    FILTER(
      $E$2:$E630,
      $A$2:$A630 &gt;= A630 - 30,
      $A$2:$A630 &lt;= A630,
      $E$2:$E630 &gt; 0
    )
  ),
"""")"),"")</f>
        <v/>
      </c>
      <c r="I630" s="14"/>
    </row>
    <row r="631" spans="1:9" ht="15.75" customHeight="1" x14ac:dyDescent="0.25">
      <c r="A631" s="9"/>
      <c r="B631" s="20"/>
      <c r="C631" s="20"/>
      <c r="D631" s="11"/>
      <c r="E631" s="11"/>
      <c r="F631" s="13"/>
      <c r="G631" s="14"/>
      <c r="H631" s="14" t="str">
        <f ca="1">IFERROR(__xludf.DUMMYFUNCTION("IFERROR(
  AVERAGE(
    FILTER(
      $E$2:$E631,
      $A$2:$A631 &gt;= A631 - 30,
      $A$2:$A631 &lt;= A631,
      $E$2:$E631 &gt; 0
    )
  ),
"""")"),"")</f>
        <v/>
      </c>
      <c r="I631" s="14"/>
    </row>
    <row r="632" spans="1:9" ht="15.75" customHeight="1" x14ac:dyDescent="0.25">
      <c r="A632" s="9"/>
      <c r="B632" s="20"/>
      <c r="C632" s="20"/>
      <c r="D632" s="11"/>
      <c r="E632" s="11"/>
      <c r="F632" s="13"/>
      <c r="G632" s="14"/>
      <c r="H632" s="14" t="str">
        <f ca="1">IFERROR(__xludf.DUMMYFUNCTION("IFERROR(
  AVERAGE(
    FILTER(
      $E$2:$E632,
      $A$2:$A632 &gt;= A632 - 30,
      $A$2:$A632 &lt;= A632,
      $E$2:$E632 &gt; 0
    )
  ),
"""")"),"")</f>
        <v/>
      </c>
      <c r="I632" s="14"/>
    </row>
    <row r="633" spans="1:9" ht="15.75" customHeight="1" x14ac:dyDescent="0.25">
      <c r="A633" s="9"/>
      <c r="B633" s="20"/>
      <c r="C633" s="20"/>
      <c r="D633" s="11"/>
      <c r="E633" s="11"/>
      <c r="F633" s="13"/>
      <c r="G633" s="14"/>
      <c r="H633" s="14" t="str">
        <f ca="1">IFERROR(__xludf.DUMMYFUNCTION("IFERROR(
  AVERAGE(
    FILTER(
      $E$2:$E633,
      $A$2:$A633 &gt;= A633 - 30,
      $A$2:$A633 &lt;= A633,
      $E$2:$E633 &gt; 0
    )
  ),
"""")"),"")</f>
        <v/>
      </c>
      <c r="I633" s="14"/>
    </row>
    <row r="634" spans="1:9" ht="15.75" customHeight="1" x14ac:dyDescent="0.25">
      <c r="A634" s="9"/>
      <c r="B634" s="20"/>
      <c r="C634" s="20"/>
      <c r="D634" s="11"/>
      <c r="E634" s="11"/>
      <c r="F634" s="13"/>
      <c r="G634" s="14"/>
      <c r="H634" s="14" t="str">
        <f ca="1">IFERROR(__xludf.DUMMYFUNCTION("IFERROR(
  AVERAGE(
    FILTER(
      $E$2:$E634,
      $A$2:$A634 &gt;= A634 - 30,
      $A$2:$A634 &lt;= A634,
      $E$2:$E634 &gt; 0
    )
  ),
"""")"),"")</f>
        <v/>
      </c>
      <c r="I634" s="14"/>
    </row>
    <row r="635" spans="1:9" ht="15.75" customHeight="1" x14ac:dyDescent="0.25">
      <c r="A635" s="9"/>
      <c r="B635" s="20"/>
      <c r="C635" s="20"/>
      <c r="D635" s="11"/>
      <c r="E635" s="11"/>
      <c r="F635" s="13"/>
      <c r="G635" s="14"/>
      <c r="H635" s="14" t="str">
        <f ca="1">IFERROR(__xludf.DUMMYFUNCTION("IFERROR(
  AVERAGE(
    FILTER(
      $E$2:$E635,
      $A$2:$A635 &gt;= A635 - 30,
      $A$2:$A635 &lt;= A635,
      $E$2:$E635 &gt; 0
    )
  ),
"""")"),"")</f>
        <v/>
      </c>
      <c r="I635" s="14"/>
    </row>
    <row r="636" spans="1:9" ht="15.75" customHeight="1" x14ac:dyDescent="0.25">
      <c r="A636" s="9"/>
      <c r="B636" s="20"/>
      <c r="C636" s="20"/>
      <c r="D636" s="11"/>
      <c r="E636" s="11"/>
      <c r="F636" s="13"/>
      <c r="G636" s="14"/>
      <c r="H636" s="14" t="str">
        <f ca="1">IFERROR(__xludf.DUMMYFUNCTION("IFERROR(
  AVERAGE(
    FILTER(
      $E$2:$E636,
      $A$2:$A636 &gt;= A636 - 30,
      $A$2:$A636 &lt;= A636,
      $E$2:$E636 &gt; 0
    )
  ),
"""")"),"")</f>
        <v/>
      </c>
      <c r="I636" s="14"/>
    </row>
    <row r="637" spans="1:9" ht="15.75" customHeight="1" x14ac:dyDescent="0.25">
      <c r="A637" s="9"/>
      <c r="B637" s="20"/>
      <c r="C637" s="20"/>
      <c r="D637" s="11"/>
      <c r="E637" s="11"/>
      <c r="F637" s="13"/>
      <c r="G637" s="14"/>
      <c r="H637" s="14" t="str">
        <f ca="1">IFERROR(__xludf.DUMMYFUNCTION("IFERROR(
  AVERAGE(
    FILTER(
      $E$2:$E637,
      $A$2:$A637 &gt;= A637 - 30,
      $A$2:$A637 &lt;= A637,
      $E$2:$E637 &gt; 0
    )
  ),
"""")"),"")</f>
        <v/>
      </c>
      <c r="I637" s="14"/>
    </row>
    <row r="638" spans="1:9" ht="15.75" customHeight="1" x14ac:dyDescent="0.25">
      <c r="A638" s="9"/>
      <c r="B638" s="20"/>
      <c r="C638" s="20"/>
      <c r="D638" s="11"/>
      <c r="E638" s="11"/>
      <c r="F638" s="13"/>
      <c r="G638" s="14"/>
      <c r="H638" s="14" t="str">
        <f ca="1">IFERROR(__xludf.DUMMYFUNCTION("IFERROR(
  AVERAGE(
    FILTER(
      $E$2:$E638,
      $A$2:$A638 &gt;= A638 - 30,
      $A$2:$A638 &lt;= A638,
      $E$2:$E638 &gt; 0
    )
  ),
"""")"),"")</f>
        <v/>
      </c>
      <c r="I638" s="14"/>
    </row>
    <row r="639" spans="1:9" ht="15.75" customHeight="1" x14ac:dyDescent="0.25">
      <c r="A639" s="9"/>
      <c r="B639" s="20"/>
      <c r="C639" s="20"/>
      <c r="D639" s="11"/>
      <c r="E639" s="11"/>
      <c r="F639" s="13"/>
      <c r="G639" s="14"/>
      <c r="H639" s="14" t="str">
        <f ca="1">IFERROR(__xludf.DUMMYFUNCTION("IFERROR(
  AVERAGE(
    FILTER(
      $E$2:$E639,
      $A$2:$A639 &gt;= A639 - 30,
      $A$2:$A639 &lt;= A639,
      $E$2:$E639 &gt; 0
    )
  ),
"""")"),"")</f>
        <v/>
      </c>
      <c r="I639" s="14"/>
    </row>
    <row r="640" spans="1:9" ht="15.75" customHeight="1" x14ac:dyDescent="0.25">
      <c r="A640" s="9"/>
      <c r="B640" s="20"/>
      <c r="C640" s="20"/>
      <c r="D640" s="11"/>
      <c r="E640" s="11"/>
      <c r="F640" s="13"/>
      <c r="G640" s="14"/>
      <c r="H640" s="14" t="str">
        <f ca="1">IFERROR(__xludf.DUMMYFUNCTION("IFERROR(
  AVERAGE(
    FILTER(
      $E$2:$E640,
      $A$2:$A640 &gt;= A640 - 30,
      $A$2:$A640 &lt;= A640,
      $E$2:$E640 &gt; 0
    )
  ),
"""")"),"")</f>
        <v/>
      </c>
      <c r="I640" s="14"/>
    </row>
    <row r="641" spans="1:9" ht="15.75" customHeight="1" x14ac:dyDescent="0.25">
      <c r="A641" s="9"/>
      <c r="B641" s="20"/>
      <c r="C641" s="20"/>
      <c r="D641" s="11"/>
      <c r="E641" s="11"/>
      <c r="F641" s="13"/>
      <c r="G641" s="14"/>
      <c r="H641" s="14" t="str">
        <f ca="1">IFERROR(__xludf.DUMMYFUNCTION("IFERROR(
  AVERAGE(
    FILTER(
      $E$2:$E641,
      $A$2:$A641 &gt;= A641 - 30,
      $A$2:$A641 &lt;= A641,
      $E$2:$E641 &gt; 0
    )
  ),
"""")"),"")</f>
        <v/>
      </c>
      <c r="I641" s="14"/>
    </row>
    <row r="642" spans="1:9" ht="15.75" customHeight="1" x14ac:dyDescent="0.25">
      <c r="A642" s="9"/>
      <c r="B642" s="20"/>
      <c r="C642" s="20"/>
      <c r="D642" s="11"/>
      <c r="E642" s="11"/>
      <c r="F642" s="13"/>
      <c r="G642" s="14"/>
      <c r="H642" s="14" t="str">
        <f ca="1">IFERROR(__xludf.DUMMYFUNCTION("IFERROR(
  AVERAGE(
    FILTER(
      $E$2:$E642,
      $A$2:$A642 &gt;= A642 - 30,
      $A$2:$A642 &lt;= A642,
      $E$2:$E642 &gt; 0
    )
  ),
"""")"),"")</f>
        <v/>
      </c>
      <c r="I642" s="14"/>
    </row>
    <row r="643" spans="1:9" ht="15.75" customHeight="1" x14ac:dyDescent="0.25">
      <c r="A643" s="9"/>
      <c r="B643" s="20"/>
      <c r="C643" s="20"/>
      <c r="D643" s="11"/>
      <c r="E643" s="11"/>
      <c r="F643" s="13"/>
      <c r="G643" s="14"/>
      <c r="H643" s="14" t="str">
        <f ca="1">IFERROR(__xludf.DUMMYFUNCTION("IFERROR(
  AVERAGE(
    FILTER(
      $E$2:$E643,
      $A$2:$A643 &gt;= A643 - 30,
      $A$2:$A643 &lt;= A643,
      $E$2:$E643 &gt; 0
    )
  ),
"""")"),"")</f>
        <v/>
      </c>
      <c r="I643" s="14"/>
    </row>
    <row r="644" spans="1:9" ht="15.75" customHeight="1" x14ac:dyDescent="0.25">
      <c r="A644" s="9"/>
      <c r="B644" s="20"/>
      <c r="C644" s="20"/>
      <c r="D644" s="11"/>
      <c r="E644" s="11"/>
      <c r="F644" s="13"/>
      <c r="G644" s="14"/>
      <c r="H644" s="14" t="str">
        <f ca="1">IFERROR(__xludf.DUMMYFUNCTION("IFERROR(
  AVERAGE(
    FILTER(
      $E$2:$E644,
      $A$2:$A644 &gt;= A644 - 30,
      $A$2:$A644 &lt;= A644,
      $E$2:$E644 &gt; 0
    )
  ),
"""")"),"")</f>
        <v/>
      </c>
      <c r="I644" s="14"/>
    </row>
    <row r="645" spans="1:9" ht="15.75" customHeight="1" x14ac:dyDescent="0.25">
      <c r="A645" s="9"/>
      <c r="B645" s="20"/>
      <c r="C645" s="20"/>
      <c r="D645" s="11"/>
      <c r="E645" s="11"/>
      <c r="F645" s="13"/>
      <c r="G645" s="14"/>
      <c r="H645" s="14" t="str">
        <f ca="1">IFERROR(__xludf.DUMMYFUNCTION("IFERROR(
  AVERAGE(
    FILTER(
      $E$2:$E645,
      $A$2:$A645 &gt;= A645 - 30,
      $A$2:$A645 &lt;= A645,
      $E$2:$E645 &gt; 0
    )
  ),
"""")"),"")</f>
        <v/>
      </c>
      <c r="I645" s="14"/>
    </row>
    <row r="646" spans="1:9" ht="15.75" customHeight="1" x14ac:dyDescent="0.25">
      <c r="A646" s="9"/>
      <c r="B646" s="20"/>
      <c r="C646" s="20"/>
      <c r="D646" s="11"/>
      <c r="E646" s="11"/>
      <c r="F646" s="13"/>
      <c r="G646" s="14"/>
      <c r="H646" s="14" t="str">
        <f ca="1">IFERROR(__xludf.DUMMYFUNCTION("IFERROR(
  AVERAGE(
    FILTER(
      $E$2:$E646,
      $A$2:$A646 &gt;= A646 - 30,
      $A$2:$A646 &lt;= A646,
      $E$2:$E646 &gt; 0
    )
  ),
"""")"),"")</f>
        <v/>
      </c>
      <c r="I646" s="14"/>
    </row>
    <row r="647" spans="1:9" ht="15.75" customHeight="1" x14ac:dyDescent="0.25">
      <c r="A647" s="9"/>
      <c r="B647" s="20"/>
      <c r="C647" s="20"/>
      <c r="D647" s="11"/>
      <c r="E647" s="11"/>
      <c r="F647" s="13"/>
      <c r="G647" s="14"/>
      <c r="H647" s="14" t="str">
        <f ca="1">IFERROR(__xludf.DUMMYFUNCTION("IFERROR(
  AVERAGE(
    FILTER(
      $E$2:$E647,
      $A$2:$A647 &gt;= A647 - 30,
      $A$2:$A647 &lt;= A647,
      $E$2:$E647 &gt; 0
    )
  ),
"""")"),"")</f>
        <v/>
      </c>
      <c r="I647" s="14"/>
    </row>
    <row r="648" spans="1:9" ht="15.75" customHeight="1" x14ac:dyDescent="0.25">
      <c r="A648" s="9"/>
      <c r="B648" s="20"/>
      <c r="C648" s="20"/>
      <c r="D648" s="11"/>
      <c r="E648" s="11"/>
      <c r="F648" s="13"/>
      <c r="G648" s="14"/>
      <c r="H648" s="14" t="str">
        <f ca="1">IFERROR(__xludf.DUMMYFUNCTION("IFERROR(
  AVERAGE(
    FILTER(
      $E$2:$E648,
      $A$2:$A648 &gt;= A648 - 30,
      $A$2:$A648 &lt;= A648,
      $E$2:$E648 &gt; 0
    )
  ),
"""")"),"")</f>
        <v/>
      </c>
      <c r="I648" s="14"/>
    </row>
    <row r="649" spans="1:9" ht="15.75" customHeight="1" x14ac:dyDescent="0.25">
      <c r="A649" s="9"/>
      <c r="B649" s="20"/>
      <c r="C649" s="20"/>
      <c r="D649" s="11"/>
      <c r="E649" s="11"/>
      <c r="F649" s="13"/>
      <c r="G649" s="14"/>
      <c r="H649" s="14" t="str">
        <f ca="1">IFERROR(__xludf.DUMMYFUNCTION("IFERROR(
  AVERAGE(
    FILTER(
      $E$2:$E649,
      $A$2:$A649 &gt;= A649 - 30,
      $A$2:$A649 &lt;= A649,
      $E$2:$E649 &gt; 0
    )
  ),
"""")"),"")</f>
        <v/>
      </c>
      <c r="I649" s="14"/>
    </row>
    <row r="650" spans="1:9" ht="15.75" customHeight="1" x14ac:dyDescent="0.25">
      <c r="A650" s="9"/>
      <c r="B650" s="20"/>
      <c r="C650" s="20"/>
      <c r="D650" s="11"/>
      <c r="E650" s="11"/>
      <c r="F650" s="13"/>
      <c r="G650" s="14"/>
      <c r="H650" s="14" t="str">
        <f ca="1">IFERROR(__xludf.DUMMYFUNCTION("IFERROR(
  AVERAGE(
    FILTER(
      $E$2:$E650,
      $A$2:$A650 &gt;= A650 - 30,
      $A$2:$A650 &lt;= A650,
      $E$2:$E650 &gt; 0
    )
  ),
"""")"),"")</f>
        <v/>
      </c>
      <c r="I650" s="14"/>
    </row>
    <row r="651" spans="1:9" ht="15.75" customHeight="1" x14ac:dyDescent="0.25">
      <c r="A651" s="9"/>
      <c r="B651" s="20"/>
      <c r="C651" s="20"/>
      <c r="D651" s="11"/>
      <c r="E651" s="11"/>
      <c r="F651" s="13"/>
      <c r="G651" s="14"/>
      <c r="H651" s="14" t="str">
        <f ca="1">IFERROR(__xludf.DUMMYFUNCTION("IFERROR(
  AVERAGE(
    FILTER(
      $E$2:$E651,
      $A$2:$A651 &gt;= A651 - 30,
      $A$2:$A651 &lt;= A651,
      $E$2:$E651 &gt; 0
    )
  ),
"""")"),"")</f>
        <v/>
      </c>
      <c r="I651" s="14"/>
    </row>
    <row r="652" spans="1:9" ht="15.75" customHeight="1" x14ac:dyDescent="0.25">
      <c r="A652" s="9"/>
      <c r="B652" s="20"/>
      <c r="C652" s="20"/>
      <c r="D652" s="11"/>
      <c r="E652" s="11"/>
      <c r="F652" s="13"/>
      <c r="G652" s="14"/>
      <c r="H652" s="14" t="str">
        <f ca="1">IFERROR(__xludf.DUMMYFUNCTION("IFERROR(
  AVERAGE(
    FILTER(
      $E$2:$E652,
      $A$2:$A652 &gt;= A652 - 30,
      $A$2:$A652 &lt;= A652,
      $E$2:$E652 &gt; 0
    )
  ),
"""")"),"")</f>
        <v/>
      </c>
      <c r="I652" s="14"/>
    </row>
    <row r="653" spans="1:9" ht="15.75" customHeight="1" x14ac:dyDescent="0.25">
      <c r="A653" s="9"/>
      <c r="B653" s="20"/>
      <c r="C653" s="20"/>
      <c r="D653" s="11"/>
      <c r="E653" s="11"/>
      <c r="F653" s="13"/>
      <c r="G653" s="14"/>
      <c r="H653" s="14" t="str">
        <f ca="1">IFERROR(__xludf.DUMMYFUNCTION("IFERROR(
  AVERAGE(
    FILTER(
      $E$2:$E653,
      $A$2:$A653 &gt;= A653 - 30,
      $A$2:$A653 &lt;= A653,
      $E$2:$E653 &gt; 0
    )
  ),
"""")"),"")</f>
        <v/>
      </c>
      <c r="I653" s="14"/>
    </row>
    <row r="654" spans="1:9" ht="15.75" customHeight="1" x14ac:dyDescent="0.25">
      <c r="A654" s="9"/>
      <c r="B654" s="20"/>
      <c r="C654" s="20"/>
      <c r="D654" s="11"/>
      <c r="E654" s="11"/>
      <c r="F654" s="13"/>
      <c r="G654" s="14"/>
      <c r="H654" s="14" t="str">
        <f ca="1">IFERROR(__xludf.DUMMYFUNCTION("IFERROR(
  AVERAGE(
    FILTER(
      $E$2:$E654,
      $A$2:$A654 &gt;= A654 - 30,
      $A$2:$A654 &lt;= A654,
      $E$2:$E654 &gt; 0
    )
  ),
"""")"),"")</f>
        <v/>
      </c>
      <c r="I654" s="14"/>
    </row>
    <row r="655" spans="1:9" ht="15.75" customHeight="1" x14ac:dyDescent="0.25">
      <c r="A655" s="9"/>
      <c r="B655" s="20"/>
      <c r="C655" s="20"/>
      <c r="D655" s="11"/>
      <c r="E655" s="11"/>
      <c r="F655" s="13"/>
      <c r="G655" s="14"/>
      <c r="H655" s="14" t="str">
        <f ca="1">IFERROR(__xludf.DUMMYFUNCTION("IFERROR(
  AVERAGE(
    FILTER(
      $E$2:$E655,
      $A$2:$A655 &gt;= A655 - 30,
      $A$2:$A655 &lt;= A655,
      $E$2:$E655 &gt; 0
    )
  ),
"""")"),"")</f>
        <v/>
      </c>
      <c r="I655" s="14"/>
    </row>
    <row r="656" spans="1:9" ht="15.75" customHeight="1" x14ac:dyDescent="0.25">
      <c r="A656" s="9"/>
      <c r="B656" s="20"/>
      <c r="C656" s="20"/>
      <c r="D656" s="11"/>
      <c r="E656" s="11"/>
      <c r="F656" s="13"/>
      <c r="G656" s="14"/>
      <c r="H656" s="14" t="str">
        <f ca="1">IFERROR(__xludf.DUMMYFUNCTION("IFERROR(
  AVERAGE(
    FILTER(
      $E$2:$E656,
      $A$2:$A656 &gt;= A656 - 30,
      $A$2:$A656 &lt;= A656,
      $E$2:$E656 &gt; 0
    )
  ),
"""")"),"")</f>
        <v/>
      </c>
      <c r="I656" s="14"/>
    </row>
    <row r="657" spans="1:9" ht="15.75" customHeight="1" x14ac:dyDescent="0.25">
      <c r="A657" s="9"/>
      <c r="B657" s="20"/>
      <c r="C657" s="20"/>
      <c r="D657" s="11"/>
      <c r="E657" s="11"/>
      <c r="F657" s="13"/>
      <c r="G657" s="14"/>
      <c r="H657" s="14" t="str">
        <f ca="1">IFERROR(__xludf.DUMMYFUNCTION("IFERROR(
  AVERAGE(
    FILTER(
      $E$2:$E657,
      $A$2:$A657 &gt;= A657 - 30,
      $A$2:$A657 &lt;= A657,
      $E$2:$E657 &gt; 0
    )
  ),
"""")"),"")</f>
        <v/>
      </c>
      <c r="I657" s="14"/>
    </row>
    <row r="658" spans="1:9" ht="15.75" customHeight="1" x14ac:dyDescent="0.25">
      <c r="A658" s="9"/>
      <c r="B658" s="20"/>
      <c r="C658" s="20"/>
      <c r="D658" s="11"/>
      <c r="E658" s="11"/>
      <c r="F658" s="13"/>
      <c r="G658" s="14"/>
      <c r="H658" s="14" t="str">
        <f ca="1">IFERROR(__xludf.DUMMYFUNCTION("IFERROR(
  AVERAGE(
    FILTER(
      $E$2:$E658,
      $A$2:$A658 &gt;= A658 - 30,
      $A$2:$A658 &lt;= A658,
      $E$2:$E658 &gt; 0
    )
  ),
"""")"),"")</f>
        <v/>
      </c>
      <c r="I658" s="14"/>
    </row>
    <row r="659" spans="1:9" ht="15.75" customHeight="1" x14ac:dyDescent="0.25">
      <c r="A659" s="9"/>
      <c r="B659" s="20"/>
      <c r="C659" s="20"/>
      <c r="D659" s="11"/>
      <c r="E659" s="11"/>
      <c r="F659" s="13"/>
      <c r="G659" s="14"/>
      <c r="H659" s="14" t="str">
        <f ca="1">IFERROR(__xludf.DUMMYFUNCTION("IFERROR(
  AVERAGE(
    FILTER(
      $E$2:$E659,
      $A$2:$A659 &gt;= A659 - 30,
      $A$2:$A659 &lt;= A659,
      $E$2:$E659 &gt; 0
    )
  ),
"""")"),"")</f>
        <v/>
      </c>
      <c r="I659" s="14"/>
    </row>
    <row r="660" spans="1:9" ht="15.75" customHeight="1" x14ac:dyDescent="0.25">
      <c r="A660" s="9"/>
      <c r="B660" s="20"/>
      <c r="C660" s="20"/>
      <c r="D660" s="11"/>
      <c r="E660" s="11"/>
      <c r="F660" s="13"/>
      <c r="G660" s="14"/>
      <c r="H660" s="14" t="str">
        <f ca="1">IFERROR(__xludf.DUMMYFUNCTION("IFERROR(
  AVERAGE(
    FILTER(
      $E$2:$E660,
      $A$2:$A660 &gt;= A660 - 30,
      $A$2:$A660 &lt;= A660,
      $E$2:$E660 &gt; 0
    )
  ),
"""")"),"")</f>
        <v/>
      </c>
      <c r="I660" s="14"/>
    </row>
    <row r="661" spans="1:9" ht="15.75" customHeight="1" x14ac:dyDescent="0.25">
      <c r="A661" s="9"/>
      <c r="B661" s="20"/>
      <c r="C661" s="20"/>
      <c r="D661" s="11"/>
      <c r="E661" s="11"/>
      <c r="F661" s="13"/>
      <c r="G661" s="14"/>
      <c r="H661" s="14" t="str">
        <f ca="1">IFERROR(__xludf.DUMMYFUNCTION("IFERROR(
  AVERAGE(
    FILTER(
      $E$2:$E661,
      $A$2:$A661 &gt;= A661 - 30,
      $A$2:$A661 &lt;= A661,
      $E$2:$E661 &gt; 0
    )
  ),
"""")"),"")</f>
        <v/>
      </c>
      <c r="I661" s="14"/>
    </row>
    <row r="662" spans="1:9" ht="15.75" customHeight="1" x14ac:dyDescent="0.25">
      <c r="A662" s="9"/>
      <c r="B662" s="20"/>
      <c r="C662" s="20"/>
      <c r="D662" s="11"/>
      <c r="E662" s="11"/>
      <c r="F662" s="13"/>
      <c r="G662" s="14"/>
      <c r="H662" s="14" t="str">
        <f ca="1">IFERROR(__xludf.DUMMYFUNCTION("IFERROR(
  AVERAGE(
    FILTER(
      $E$2:$E662,
      $A$2:$A662 &gt;= A662 - 30,
      $A$2:$A662 &lt;= A662,
      $E$2:$E662 &gt; 0
    )
  ),
"""")"),"")</f>
        <v/>
      </c>
      <c r="I662" s="14"/>
    </row>
    <row r="663" spans="1:9" ht="15.75" customHeight="1" x14ac:dyDescent="0.25">
      <c r="A663" s="9"/>
      <c r="B663" s="20"/>
      <c r="C663" s="20"/>
      <c r="D663" s="11"/>
      <c r="E663" s="11"/>
      <c r="F663" s="13"/>
      <c r="G663" s="14"/>
      <c r="H663" s="14" t="str">
        <f ca="1">IFERROR(__xludf.DUMMYFUNCTION("IFERROR(
  AVERAGE(
    FILTER(
      $E$2:$E663,
      $A$2:$A663 &gt;= A663 - 30,
      $A$2:$A663 &lt;= A663,
      $E$2:$E663 &gt; 0
    )
  ),
"""")"),"")</f>
        <v/>
      </c>
      <c r="I663" s="14"/>
    </row>
    <row r="664" spans="1:9" ht="15.75" customHeight="1" x14ac:dyDescent="0.25">
      <c r="A664" s="9"/>
      <c r="B664" s="20"/>
      <c r="C664" s="20"/>
      <c r="D664" s="11"/>
      <c r="E664" s="11"/>
      <c r="F664" s="13"/>
      <c r="G664" s="14"/>
      <c r="H664" s="14" t="str">
        <f ca="1">IFERROR(__xludf.DUMMYFUNCTION("IFERROR(
  AVERAGE(
    FILTER(
      $E$2:$E664,
      $A$2:$A664 &gt;= A664 - 30,
      $A$2:$A664 &lt;= A664,
      $E$2:$E664 &gt; 0
    )
  ),
"""")"),"")</f>
        <v/>
      </c>
      <c r="I664" s="14"/>
    </row>
    <row r="665" spans="1:9" ht="15.75" customHeight="1" x14ac:dyDescent="0.25">
      <c r="A665" s="9"/>
      <c r="B665" s="20"/>
      <c r="C665" s="20"/>
      <c r="D665" s="11"/>
      <c r="E665" s="11"/>
      <c r="F665" s="13"/>
      <c r="G665" s="14"/>
      <c r="H665" s="14" t="str">
        <f ca="1">IFERROR(__xludf.DUMMYFUNCTION("IFERROR(
  AVERAGE(
    FILTER(
      $E$2:$E665,
      $A$2:$A665 &gt;= A665 - 30,
      $A$2:$A665 &lt;= A665,
      $E$2:$E665 &gt; 0
    )
  ),
"""")"),"")</f>
        <v/>
      </c>
      <c r="I665" s="14"/>
    </row>
    <row r="666" spans="1:9" ht="15.75" customHeight="1" x14ac:dyDescent="0.25">
      <c r="A666" s="9"/>
      <c r="B666" s="20"/>
      <c r="C666" s="20"/>
      <c r="D666" s="11"/>
      <c r="E666" s="11"/>
      <c r="F666" s="13"/>
      <c r="G666" s="14"/>
      <c r="H666" s="14" t="str">
        <f ca="1">IFERROR(__xludf.DUMMYFUNCTION("IFERROR(
  AVERAGE(
    FILTER(
      $E$2:$E666,
      $A$2:$A666 &gt;= A666 - 30,
      $A$2:$A666 &lt;= A666,
      $E$2:$E666 &gt; 0
    )
  ),
"""")"),"")</f>
        <v/>
      </c>
      <c r="I666" s="14"/>
    </row>
    <row r="667" spans="1:9" ht="15.75" customHeight="1" x14ac:dyDescent="0.25">
      <c r="A667" s="9"/>
      <c r="B667" s="20"/>
      <c r="C667" s="20"/>
      <c r="D667" s="11"/>
      <c r="E667" s="11"/>
      <c r="F667" s="13"/>
      <c r="G667" s="14"/>
      <c r="H667" s="14" t="str">
        <f ca="1">IFERROR(__xludf.DUMMYFUNCTION("IFERROR(
  AVERAGE(
    FILTER(
      $E$2:$E667,
      $A$2:$A667 &gt;= A667 - 30,
      $A$2:$A667 &lt;= A667,
      $E$2:$E667 &gt; 0
    )
  ),
"""")"),"")</f>
        <v/>
      </c>
      <c r="I667" s="14"/>
    </row>
    <row r="668" spans="1:9" ht="15.75" customHeight="1" x14ac:dyDescent="0.25">
      <c r="A668" s="9"/>
      <c r="B668" s="20"/>
      <c r="C668" s="20"/>
      <c r="D668" s="11"/>
      <c r="E668" s="11"/>
      <c r="F668" s="13"/>
      <c r="G668" s="14"/>
      <c r="H668" s="14" t="str">
        <f ca="1">IFERROR(__xludf.DUMMYFUNCTION("IFERROR(
  AVERAGE(
    FILTER(
      $E$2:$E668,
      $A$2:$A668 &gt;= A668 - 30,
      $A$2:$A668 &lt;= A668,
      $E$2:$E668 &gt; 0
    )
  ),
"""")"),"")</f>
        <v/>
      </c>
      <c r="I668" s="14"/>
    </row>
    <row r="669" spans="1:9" ht="15.75" customHeight="1" x14ac:dyDescent="0.25">
      <c r="A669" s="9"/>
      <c r="B669" s="20"/>
      <c r="C669" s="20"/>
      <c r="D669" s="11"/>
      <c r="E669" s="11"/>
      <c r="F669" s="13"/>
      <c r="G669" s="14"/>
      <c r="H669" s="14" t="str">
        <f ca="1">IFERROR(__xludf.DUMMYFUNCTION("IFERROR(
  AVERAGE(
    FILTER(
      $E$2:$E669,
      $A$2:$A669 &gt;= A669 - 30,
      $A$2:$A669 &lt;= A669,
      $E$2:$E669 &gt; 0
    )
  ),
"""")"),"")</f>
        <v/>
      </c>
      <c r="I669" s="14"/>
    </row>
    <row r="670" spans="1:9" ht="15.75" customHeight="1" x14ac:dyDescent="0.25">
      <c r="A670" s="9"/>
      <c r="B670" s="20"/>
      <c r="C670" s="20"/>
      <c r="D670" s="11"/>
      <c r="E670" s="11"/>
      <c r="F670" s="13"/>
      <c r="G670" s="14"/>
      <c r="H670" s="14" t="str">
        <f ca="1">IFERROR(__xludf.DUMMYFUNCTION("IFERROR(
  AVERAGE(
    FILTER(
      $E$2:$E670,
      $A$2:$A670 &gt;= A670 - 30,
      $A$2:$A670 &lt;= A670,
      $E$2:$E670 &gt; 0
    )
  ),
"""")"),"")</f>
        <v/>
      </c>
      <c r="I670" s="14"/>
    </row>
    <row r="671" spans="1:9" ht="15.75" customHeight="1" x14ac:dyDescent="0.25">
      <c r="A671" s="9"/>
      <c r="B671" s="20"/>
      <c r="C671" s="20"/>
      <c r="D671" s="11"/>
      <c r="E671" s="11"/>
      <c r="F671" s="13"/>
      <c r="G671" s="14"/>
      <c r="H671" s="14" t="str">
        <f ca="1">IFERROR(__xludf.DUMMYFUNCTION("IFERROR(
  AVERAGE(
    FILTER(
      $E$2:$E671,
      $A$2:$A671 &gt;= A671 - 30,
      $A$2:$A671 &lt;= A671,
      $E$2:$E671 &gt; 0
    )
  ),
"""")"),"")</f>
        <v/>
      </c>
      <c r="I671" s="14"/>
    </row>
    <row r="672" spans="1:9" ht="15.75" customHeight="1" x14ac:dyDescent="0.25">
      <c r="A672" s="9"/>
      <c r="B672" s="20"/>
      <c r="C672" s="20"/>
      <c r="D672" s="11"/>
      <c r="E672" s="11"/>
      <c r="F672" s="13"/>
      <c r="G672" s="14"/>
      <c r="H672" s="14" t="str">
        <f ca="1">IFERROR(__xludf.DUMMYFUNCTION("IFERROR(
  AVERAGE(
    FILTER(
      $E$2:$E672,
      $A$2:$A672 &gt;= A672 - 30,
      $A$2:$A672 &lt;= A672,
      $E$2:$E672 &gt; 0
    )
  ),
"""")"),"")</f>
        <v/>
      </c>
      <c r="I672" s="14"/>
    </row>
    <row r="673" spans="1:9" ht="15.75" customHeight="1" x14ac:dyDescent="0.25">
      <c r="A673" s="9"/>
      <c r="B673" s="20"/>
      <c r="C673" s="20"/>
      <c r="D673" s="11"/>
      <c r="E673" s="11"/>
      <c r="F673" s="13"/>
      <c r="G673" s="14"/>
      <c r="H673" s="14" t="str">
        <f ca="1">IFERROR(__xludf.DUMMYFUNCTION("IFERROR(
  AVERAGE(
    FILTER(
      $E$2:$E673,
      $A$2:$A673 &gt;= A673 - 30,
      $A$2:$A673 &lt;= A673,
      $E$2:$E673 &gt; 0
    )
  ),
"""")"),"")</f>
        <v/>
      </c>
      <c r="I673" s="14"/>
    </row>
    <row r="674" spans="1:9" ht="15.75" customHeight="1" x14ac:dyDescent="0.25">
      <c r="A674" s="9"/>
      <c r="B674" s="20"/>
      <c r="C674" s="20"/>
      <c r="D674" s="11"/>
      <c r="E674" s="11"/>
      <c r="F674" s="13"/>
      <c r="G674" s="14"/>
      <c r="H674" s="14" t="str">
        <f ca="1">IFERROR(__xludf.DUMMYFUNCTION("IFERROR(
  AVERAGE(
    FILTER(
      $E$2:$E674,
      $A$2:$A674 &gt;= A674 - 30,
      $A$2:$A674 &lt;= A674,
      $E$2:$E674 &gt; 0
    )
  ),
"""")"),"")</f>
        <v/>
      </c>
      <c r="I674" s="14"/>
    </row>
    <row r="675" spans="1:9" ht="15.75" customHeight="1" x14ac:dyDescent="0.25">
      <c r="A675" s="9"/>
      <c r="B675" s="20"/>
      <c r="C675" s="20"/>
      <c r="D675" s="11"/>
      <c r="E675" s="11"/>
      <c r="F675" s="13"/>
      <c r="G675" s="14"/>
      <c r="H675" s="14" t="str">
        <f ca="1">IFERROR(__xludf.DUMMYFUNCTION("IFERROR(
  AVERAGE(
    FILTER(
      $E$2:$E675,
      $A$2:$A675 &gt;= A675 - 30,
      $A$2:$A675 &lt;= A675,
      $E$2:$E675 &gt; 0
    )
  ),
"""")"),"")</f>
        <v/>
      </c>
      <c r="I675" s="14"/>
    </row>
    <row r="676" spans="1:9" ht="15.75" customHeight="1" x14ac:dyDescent="0.25">
      <c r="A676" s="9"/>
      <c r="B676" s="20"/>
      <c r="C676" s="20"/>
      <c r="D676" s="11"/>
      <c r="E676" s="11"/>
      <c r="F676" s="13"/>
      <c r="G676" s="14"/>
      <c r="H676" s="14" t="str">
        <f ca="1">IFERROR(__xludf.DUMMYFUNCTION("IFERROR(
  AVERAGE(
    FILTER(
      $E$2:$E676,
      $A$2:$A676 &gt;= A676 - 30,
      $A$2:$A676 &lt;= A676,
      $E$2:$E676 &gt; 0
    )
  ),
"""")"),"")</f>
        <v/>
      </c>
      <c r="I676" s="14"/>
    </row>
    <row r="677" spans="1:9" ht="15.75" customHeight="1" x14ac:dyDescent="0.25">
      <c r="A677" s="9"/>
      <c r="B677" s="20"/>
      <c r="C677" s="20"/>
      <c r="D677" s="11"/>
      <c r="E677" s="11"/>
      <c r="F677" s="13"/>
      <c r="G677" s="14"/>
      <c r="H677" s="14" t="str">
        <f ca="1">IFERROR(__xludf.DUMMYFUNCTION("IFERROR(
  AVERAGE(
    FILTER(
      $E$2:$E677,
      $A$2:$A677 &gt;= A677 - 30,
      $A$2:$A677 &lt;= A677,
      $E$2:$E677 &gt; 0
    )
  ),
"""")"),"")</f>
        <v/>
      </c>
      <c r="I677" s="14"/>
    </row>
    <row r="678" spans="1:9" ht="15.75" customHeight="1" x14ac:dyDescent="0.25">
      <c r="A678" s="9"/>
      <c r="B678" s="20"/>
      <c r="C678" s="20"/>
      <c r="D678" s="11"/>
      <c r="E678" s="11"/>
      <c r="F678" s="13"/>
      <c r="G678" s="14"/>
      <c r="H678" s="14" t="str">
        <f ca="1">IFERROR(__xludf.DUMMYFUNCTION("IFERROR(
  AVERAGE(
    FILTER(
      $E$2:$E678,
      $A$2:$A678 &gt;= A678 - 30,
      $A$2:$A678 &lt;= A678,
      $E$2:$E678 &gt; 0
    )
  ),
"""")"),"")</f>
        <v/>
      </c>
      <c r="I678" s="14"/>
    </row>
    <row r="679" spans="1:9" ht="15.75" customHeight="1" x14ac:dyDescent="0.25">
      <c r="A679" s="9"/>
      <c r="B679" s="20"/>
      <c r="C679" s="20"/>
      <c r="D679" s="11"/>
      <c r="E679" s="11"/>
      <c r="F679" s="13"/>
      <c r="G679" s="14"/>
      <c r="H679" s="14" t="str">
        <f ca="1">IFERROR(__xludf.DUMMYFUNCTION("IFERROR(
  AVERAGE(
    FILTER(
      $E$2:$E679,
      $A$2:$A679 &gt;= A679 - 30,
      $A$2:$A679 &lt;= A679,
      $E$2:$E679 &gt; 0
    )
  ),
"""")"),"")</f>
        <v/>
      </c>
      <c r="I679" s="14"/>
    </row>
    <row r="680" spans="1:9" ht="15.75" customHeight="1" x14ac:dyDescent="0.25">
      <c r="A680" s="9"/>
      <c r="B680" s="20"/>
      <c r="C680" s="20"/>
      <c r="D680" s="11"/>
      <c r="E680" s="11"/>
      <c r="F680" s="13"/>
      <c r="G680" s="14"/>
      <c r="H680" s="14" t="str">
        <f ca="1">IFERROR(__xludf.DUMMYFUNCTION("IFERROR(
  AVERAGE(
    FILTER(
      $E$2:$E680,
      $A$2:$A680 &gt;= A680 - 30,
      $A$2:$A680 &lt;= A680,
      $E$2:$E680 &gt; 0
    )
  ),
"""")"),"")</f>
        <v/>
      </c>
      <c r="I680" s="14"/>
    </row>
    <row r="681" spans="1:9" ht="15.75" customHeight="1" x14ac:dyDescent="0.25">
      <c r="A681" s="9"/>
      <c r="B681" s="20"/>
      <c r="C681" s="20"/>
      <c r="D681" s="11"/>
      <c r="E681" s="11"/>
      <c r="F681" s="13"/>
      <c r="G681" s="14"/>
      <c r="H681" s="14" t="str">
        <f ca="1">IFERROR(__xludf.DUMMYFUNCTION("IFERROR(
  AVERAGE(
    FILTER(
      $E$2:$E681,
      $A$2:$A681 &gt;= A681 - 30,
      $A$2:$A681 &lt;= A681,
      $E$2:$E681 &gt; 0
    )
  ),
"""")"),"")</f>
        <v/>
      </c>
      <c r="I681" s="14"/>
    </row>
    <row r="682" spans="1:9" ht="15.75" customHeight="1" x14ac:dyDescent="0.25">
      <c r="A682" s="9"/>
      <c r="B682" s="20"/>
      <c r="C682" s="20"/>
      <c r="D682" s="11"/>
      <c r="E682" s="11"/>
      <c r="F682" s="13"/>
      <c r="G682" s="14"/>
      <c r="H682" s="14" t="str">
        <f ca="1">IFERROR(__xludf.DUMMYFUNCTION("IFERROR(
  AVERAGE(
    FILTER(
      $E$2:$E682,
      $A$2:$A682 &gt;= A682 - 30,
      $A$2:$A682 &lt;= A682,
      $E$2:$E682 &gt; 0
    )
  ),
"""")"),"")</f>
        <v/>
      </c>
      <c r="I682" s="14"/>
    </row>
    <row r="683" spans="1:9" ht="15.75" customHeight="1" x14ac:dyDescent="0.25">
      <c r="A683" s="9"/>
      <c r="B683" s="20"/>
      <c r="C683" s="20"/>
      <c r="D683" s="11"/>
      <c r="E683" s="11"/>
      <c r="F683" s="13"/>
      <c r="G683" s="14"/>
      <c r="H683" s="14" t="str">
        <f ca="1">IFERROR(__xludf.DUMMYFUNCTION("IFERROR(
  AVERAGE(
    FILTER(
      $E$2:$E683,
      $A$2:$A683 &gt;= A683 - 30,
      $A$2:$A683 &lt;= A683,
      $E$2:$E683 &gt; 0
    )
  ),
"""")"),"")</f>
        <v/>
      </c>
      <c r="I683" s="14"/>
    </row>
    <row r="684" spans="1:9" ht="15.75" customHeight="1" x14ac:dyDescent="0.25">
      <c r="A684" s="9"/>
      <c r="B684" s="20"/>
      <c r="C684" s="20"/>
      <c r="D684" s="11"/>
      <c r="E684" s="11"/>
      <c r="F684" s="13"/>
      <c r="G684" s="14"/>
      <c r="H684" s="14" t="str">
        <f ca="1">IFERROR(__xludf.DUMMYFUNCTION("IFERROR(
  AVERAGE(
    FILTER(
      $E$2:$E684,
      $A$2:$A684 &gt;= A684 - 30,
      $A$2:$A684 &lt;= A684,
      $E$2:$E684 &gt; 0
    )
  ),
"""")"),"")</f>
        <v/>
      </c>
      <c r="I684" s="14"/>
    </row>
    <row r="685" spans="1:9" ht="15.75" customHeight="1" x14ac:dyDescent="0.25">
      <c r="A685" s="9"/>
      <c r="B685" s="20"/>
      <c r="C685" s="20"/>
      <c r="D685" s="11"/>
      <c r="E685" s="11"/>
      <c r="F685" s="13"/>
      <c r="G685" s="14"/>
      <c r="H685" s="14" t="str">
        <f ca="1">IFERROR(__xludf.DUMMYFUNCTION("IFERROR(
  AVERAGE(
    FILTER(
      $E$2:$E685,
      $A$2:$A685 &gt;= A685 - 30,
      $A$2:$A685 &lt;= A685,
      $E$2:$E685 &gt; 0
    )
  ),
"""")"),"")</f>
        <v/>
      </c>
      <c r="I685" s="14"/>
    </row>
    <row r="686" spans="1:9" ht="15.75" customHeight="1" x14ac:dyDescent="0.25">
      <c r="A686" s="9"/>
      <c r="B686" s="20"/>
      <c r="C686" s="20"/>
      <c r="D686" s="11"/>
      <c r="E686" s="11"/>
      <c r="F686" s="13"/>
      <c r="G686" s="14"/>
      <c r="H686" s="14" t="str">
        <f ca="1">IFERROR(__xludf.DUMMYFUNCTION("IFERROR(
  AVERAGE(
    FILTER(
      $E$2:$E686,
      $A$2:$A686 &gt;= A686 - 30,
      $A$2:$A686 &lt;= A686,
      $E$2:$E686 &gt; 0
    )
  ),
"""")"),"")</f>
        <v/>
      </c>
      <c r="I686" s="14"/>
    </row>
    <row r="687" spans="1:9" ht="15.75" customHeight="1" x14ac:dyDescent="0.25">
      <c r="A687" s="9"/>
      <c r="B687" s="20"/>
      <c r="C687" s="20"/>
      <c r="D687" s="11"/>
      <c r="E687" s="11"/>
      <c r="F687" s="13"/>
      <c r="G687" s="14"/>
      <c r="H687" s="14" t="str">
        <f ca="1">IFERROR(__xludf.DUMMYFUNCTION("IFERROR(
  AVERAGE(
    FILTER(
      $E$2:$E687,
      $A$2:$A687 &gt;= A687 - 30,
      $A$2:$A687 &lt;= A687,
      $E$2:$E687 &gt; 0
    )
  ),
"""")"),"")</f>
        <v/>
      </c>
      <c r="I687" s="14"/>
    </row>
    <row r="688" spans="1:9" ht="15.75" customHeight="1" x14ac:dyDescent="0.25">
      <c r="A688" s="9"/>
      <c r="B688" s="20"/>
      <c r="C688" s="20"/>
      <c r="D688" s="11"/>
      <c r="E688" s="11"/>
      <c r="F688" s="13"/>
      <c r="G688" s="14"/>
      <c r="H688" s="14" t="str">
        <f ca="1">IFERROR(__xludf.DUMMYFUNCTION("IFERROR(
  AVERAGE(
    FILTER(
      $E$2:$E688,
      $A$2:$A688 &gt;= A688 - 30,
      $A$2:$A688 &lt;= A688,
      $E$2:$E688 &gt; 0
    )
  ),
"""")"),"")</f>
        <v/>
      </c>
      <c r="I688" s="14"/>
    </row>
    <row r="689" spans="1:9" ht="15.75" customHeight="1" x14ac:dyDescent="0.25">
      <c r="A689" s="9"/>
      <c r="B689" s="20"/>
      <c r="C689" s="20"/>
      <c r="D689" s="11"/>
      <c r="E689" s="11"/>
      <c r="F689" s="13"/>
      <c r="G689" s="14"/>
      <c r="H689" s="14" t="str">
        <f ca="1">IFERROR(__xludf.DUMMYFUNCTION("IFERROR(
  AVERAGE(
    FILTER(
      $E$2:$E689,
      $A$2:$A689 &gt;= A689 - 30,
      $A$2:$A689 &lt;= A689,
      $E$2:$E689 &gt; 0
    )
  ),
"""")"),"")</f>
        <v/>
      </c>
      <c r="I689" s="14"/>
    </row>
    <row r="690" spans="1:9" ht="15.75" customHeight="1" x14ac:dyDescent="0.25">
      <c r="A690" s="9"/>
      <c r="B690" s="20"/>
      <c r="C690" s="20"/>
      <c r="D690" s="11"/>
      <c r="E690" s="11"/>
      <c r="F690" s="13"/>
      <c r="G690" s="14"/>
      <c r="H690" s="14" t="str">
        <f ca="1">IFERROR(__xludf.DUMMYFUNCTION("IFERROR(
  AVERAGE(
    FILTER(
      $E$2:$E690,
      $A$2:$A690 &gt;= A690 - 30,
      $A$2:$A690 &lt;= A690,
      $E$2:$E690 &gt; 0
    )
  ),
"""")"),"")</f>
        <v/>
      </c>
      <c r="I690" s="14"/>
    </row>
    <row r="691" spans="1:9" ht="15.75" customHeight="1" x14ac:dyDescent="0.25">
      <c r="A691" s="9"/>
      <c r="B691" s="20"/>
      <c r="C691" s="20"/>
      <c r="D691" s="11"/>
      <c r="E691" s="11"/>
      <c r="F691" s="13"/>
      <c r="G691" s="14"/>
      <c r="H691" s="14" t="str">
        <f ca="1">IFERROR(__xludf.DUMMYFUNCTION("IFERROR(
  AVERAGE(
    FILTER(
      $E$2:$E691,
      $A$2:$A691 &gt;= A691 - 30,
      $A$2:$A691 &lt;= A691,
      $E$2:$E691 &gt; 0
    )
  ),
"""")"),"")</f>
        <v/>
      </c>
      <c r="I691" s="14"/>
    </row>
    <row r="692" spans="1:9" ht="15.75" customHeight="1" x14ac:dyDescent="0.25">
      <c r="A692" s="9"/>
      <c r="B692" s="20"/>
      <c r="C692" s="20"/>
      <c r="D692" s="11"/>
      <c r="E692" s="11"/>
      <c r="F692" s="13"/>
      <c r="G692" s="14"/>
      <c r="H692" s="14" t="str">
        <f ca="1">IFERROR(__xludf.DUMMYFUNCTION("IFERROR(
  AVERAGE(
    FILTER(
      $E$2:$E692,
      $A$2:$A692 &gt;= A692 - 30,
      $A$2:$A692 &lt;= A692,
      $E$2:$E692 &gt; 0
    )
  ),
"""")"),"")</f>
        <v/>
      </c>
      <c r="I692" s="14"/>
    </row>
    <row r="693" spans="1:9" ht="15.75" customHeight="1" x14ac:dyDescent="0.25">
      <c r="A693" s="9"/>
      <c r="B693" s="20"/>
      <c r="C693" s="20"/>
      <c r="D693" s="11"/>
      <c r="E693" s="11"/>
      <c r="F693" s="13"/>
      <c r="G693" s="14"/>
      <c r="H693" s="14" t="str">
        <f ca="1">IFERROR(__xludf.DUMMYFUNCTION("IFERROR(
  AVERAGE(
    FILTER(
      $E$2:$E693,
      $A$2:$A693 &gt;= A693 - 30,
      $A$2:$A693 &lt;= A693,
      $E$2:$E693 &gt; 0
    )
  ),
"""")"),"")</f>
        <v/>
      </c>
      <c r="I693" s="14"/>
    </row>
    <row r="694" spans="1:9" ht="15.75" customHeight="1" x14ac:dyDescent="0.25">
      <c r="A694" s="9"/>
      <c r="B694" s="20"/>
      <c r="C694" s="20"/>
      <c r="D694" s="11"/>
      <c r="E694" s="11"/>
      <c r="F694" s="13"/>
      <c r="G694" s="14"/>
      <c r="H694" s="14" t="str">
        <f ca="1">IFERROR(__xludf.DUMMYFUNCTION("IFERROR(
  AVERAGE(
    FILTER(
      $E$2:$E694,
      $A$2:$A694 &gt;= A694 - 30,
      $A$2:$A694 &lt;= A694,
      $E$2:$E694 &gt; 0
    )
  ),
"""")"),"")</f>
        <v/>
      </c>
      <c r="I694" s="14"/>
    </row>
    <row r="695" spans="1:9" ht="15.75" customHeight="1" x14ac:dyDescent="0.25">
      <c r="A695" s="9"/>
      <c r="B695" s="20"/>
      <c r="C695" s="20"/>
      <c r="D695" s="11"/>
      <c r="E695" s="11"/>
      <c r="F695" s="13"/>
      <c r="G695" s="14"/>
      <c r="H695" s="14" t="str">
        <f ca="1">IFERROR(__xludf.DUMMYFUNCTION("IFERROR(
  AVERAGE(
    FILTER(
      $E$2:$E695,
      $A$2:$A695 &gt;= A695 - 30,
      $A$2:$A695 &lt;= A695,
      $E$2:$E695 &gt; 0
    )
  ),
"""")"),"")</f>
        <v/>
      </c>
      <c r="I695" s="14"/>
    </row>
    <row r="696" spans="1:9" ht="15.75" customHeight="1" x14ac:dyDescent="0.25">
      <c r="A696" s="9"/>
      <c r="B696" s="20"/>
      <c r="C696" s="20"/>
      <c r="D696" s="11"/>
      <c r="E696" s="11"/>
      <c r="F696" s="13"/>
      <c r="G696" s="14"/>
      <c r="H696" s="14" t="str">
        <f ca="1">IFERROR(__xludf.DUMMYFUNCTION("IFERROR(
  AVERAGE(
    FILTER(
      $E$2:$E696,
      $A$2:$A696 &gt;= A696 - 30,
      $A$2:$A696 &lt;= A696,
      $E$2:$E696 &gt; 0
    )
  ),
"""")"),"")</f>
        <v/>
      </c>
      <c r="I696" s="14"/>
    </row>
    <row r="697" spans="1:9" ht="15.75" customHeight="1" x14ac:dyDescent="0.25">
      <c r="A697" s="9"/>
      <c r="B697" s="20"/>
      <c r="C697" s="20"/>
      <c r="D697" s="11"/>
      <c r="E697" s="11"/>
      <c r="F697" s="13"/>
      <c r="G697" s="14"/>
      <c r="H697" s="14" t="str">
        <f ca="1">IFERROR(__xludf.DUMMYFUNCTION("IFERROR(
  AVERAGE(
    FILTER(
      $E$2:$E697,
      $A$2:$A697 &gt;= A697 - 30,
      $A$2:$A697 &lt;= A697,
      $E$2:$E697 &gt; 0
    )
  ),
"""")"),"")</f>
        <v/>
      </c>
      <c r="I697" s="14"/>
    </row>
    <row r="698" spans="1:9" ht="15.75" customHeight="1" x14ac:dyDescent="0.25">
      <c r="A698" s="9"/>
      <c r="B698" s="20"/>
      <c r="C698" s="20"/>
      <c r="D698" s="11"/>
      <c r="E698" s="11"/>
      <c r="F698" s="13"/>
      <c r="G698" s="14"/>
      <c r="H698" s="14" t="str">
        <f ca="1">IFERROR(__xludf.DUMMYFUNCTION("IFERROR(
  AVERAGE(
    FILTER(
      $E$2:$E698,
      $A$2:$A698 &gt;= A698 - 30,
      $A$2:$A698 &lt;= A698,
      $E$2:$E698 &gt; 0
    )
  ),
"""")"),"")</f>
        <v/>
      </c>
      <c r="I698" s="14"/>
    </row>
    <row r="699" spans="1:9" ht="15.75" customHeight="1" x14ac:dyDescent="0.25">
      <c r="A699" s="9"/>
      <c r="B699" s="20"/>
      <c r="C699" s="20"/>
      <c r="D699" s="11"/>
      <c r="E699" s="11"/>
      <c r="F699" s="13"/>
      <c r="G699" s="14"/>
      <c r="H699" s="14" t="str">
        <f ca="1">IFERROR(__xludf.DUMMYFUNCTION("IFERROR(
  AVERAGE(
    FILTER(
      $E$2:$E699,
      $A$2:$A699 &gt;= A699 - 30,
      $A$2:$A699 &lt;= A699,
      $E$2:$E699 &gt; 0
    )
  ),
"""")"),"")</f>
        <v/>
      </c>
      <c r="I699" s="14"/>
    </row>
    <row r="700" spans="1:9" ht="15.75" customHeight="1" x14ac:dyDescent="0.25">
      <c r="A700" s="9"/>
      <c r="B700" s="20"/>
      <c r="C700" s="20"/>
      <c r="D700" s="11"/>
      <c r="E700" s="11"/>
      <c r="F700" s="13"/>
      <c r="G700" s="14"/>
      <c r="H700" s="14" t="str">
        <f ca="1">IFERROR(__xludf.DUMMYFUNCTION("IFERROR(
  AVERAGE(
    FILTER(
      $E$2:$E700,
      $A$2:$A700 &gt;= A700 - 30,
      $A$2:$A700 &lt;= A700,
      $E$2:$E700 &gt; 0
    )
  ),
"""")"),"")</f>
        <v/>
      </c>
      <c r="I700" s="14"/>
    </row>
    <row r="701" spans="1:9" ht="15.75" customHeight="1" x14ac:dyDescent="0.25">
      <c r="A701" s="9"/>
      <c r="B701" s="20"/>
      <c r="C701" s="20"/>
      <c r="D701" s="11"/>
      <c r="E701" s="11"/>
      <c r="F701" s="13"/>
      <c r="G701" s="14"/>
      <c r="H701" s="14" t="str">
        <f ca="1">IFERROR(__xludf.DUMMYFUNCTION("IFERROR(
  AVERAGE(
    FILTER(
      $E$2:$E701,
      $A$2:$A701 &gt;= A701 - 30,
      $A$2:$A701 &lt;= A701,
      $E$2:$E701 &gt; 0
    )
  ),
"""")"),"")</f>
        <v/>
      </c>
      <c r="I701" s="14"/>
    </row>
    <row r="702" spans="1:9" ht="15.75" customHeight="1" x14ac:dyDescent="0.25">
      <c r="A702" s="9"/>
      <c r="B702" s="20"/>
      <c r="C702" s="20"/>
      <c r="D702" s="11"/>
      <c r="E702" s="11"/>
      <c r="F702" s="13"/>
      <c r="G702" s="14"/>
      <c r="H702" s="14" t="str">
        <f ca="1">IFERROR(__xludf.DUMMYFUNCTION("IFERROR(
  AVERAGE(
    FILTER(
      $E$2:$E702,
      $A$2:$A702 &gt;= A702 - 30,
      $A$2:$A702 &lt;= A702,
      $E$2:$E702 &gt; 0
    )
  ),
"""")"),"")</f>
        <v/>
      </c>
      <c r="I702" s="14"/>
    </row>
    <row r="703" spans="1:9" ht="15.75" customHeight="1" x14ac:dyDescent="0.25">
      <c r="A703" s="9"/>
      <c r="B703" s="20"/>
      <c r="C703" s="20"/>
      <c r="D703" s="11"/>
      <c r="E703" s="11"/>
      <c r="F703" s="13"/>
      <c r="G703" s="14"/>
      <c r="H703" s="14" t="str">
        <f ca="1">IFERROR(__xludf.DUMMYFUNCTION("IFERROR(
  AVERAGE(
    FILTER(
      $E$2:$E703,
      $A$2:$A703 &gt;= A703 - 30,
      $A$2:$A703 &lt;= A703,
      $E$2:$E703 &gt; 0
    )
  ),
"""")"),"")</f>
        <v/>
      </c>
      <c r="I703" s="14"/>
    </row>
    <row r="704" spans="1:9" ht="15.75" customHeight="1" x14ac:dyDescent="0.25">
      <c r="A704" s="9"/>
      <c r="B704" s="20"/>
      <c r="C704" s="20"/>
      <c r="D704" s="11"/>
      <c r="E704" s="11"/>
      <c r="F704" s="13"/>
      <c r="G704" s="14"/>
      <c r="H704" s="14" t="str">
        <f ca="1">IFERROR(__xludf.DUMMYFUNCTION("IFERROR(
  AVERAGE(
    FILTER(
      $E$2:$E704,
      $A$2:$A704 &gt;= A704 - 30,
      $A$2:$A704 &lt;= A704,
      $E$2:$E704 &gt; 0
    )
  ),
"""")"),"")</f>
        <v/>
      </c>
      <c r="I704" s="14"/>
    </row>
    <row r="705" spans="1:9" ht="15.75" customHeight="1" x14ac:dyDescent="0.25">
      <c r="A705" s="9"/>
      <c r="B705" s="20"/>
      <c r="C705" s="20"/>
      <c r="D705" s="11"/>
      <c r="E705" s="11"/>
      <c r="F705" s="13"/>
      <c r="G705" s="14"/>
      <c r="H705" s="14" t="str">
        <f ca="1">IFERROR(__xludf.DUMMYFUNCTION("IFERROR(
  AVERAGE(
    FILTER(
      $E$2:$E705,
      $A$2:$A705 &gt;= A705 - 30,
      $A$2:$A705 &lt;= A705,
      $E$2:$E705 &gt; 0
    )
  ),
"""")"),"")</f>
        <v/>
      </c>
      <c r="I705" s="14"/>
    </row>
    <row r="706" spans="1:9" ht="15.75" customHeight="1" x14ac:dyDescent="0.25">
      <c r="A706" s="9"/>
      <c r="B706" s="20"/>
      <c r="C706" s="20"/>
      <c r="D706" s="11"/>
      <c r="E706" s="11"/>
      <c r="F706" s="13"/>
      <c r="G706" s="14"/>
      <c r="H706" s="14" t="str">
        <f ca="1">IFERROR(__xludf.DUMMYFUNCTION("IFERROR(
  AVERAGE(
    FILTER(
      $E$2:$E706,
      $A$2:$A706 &gt;= A706 - 30,
      $A$2:$A706 &lt;= A706,
      $E$2:$E706 &gt; 0
    )
  ),
"""")"),"")</f>
        <v/>
      </c>
      <c r="I706" s="14"/>
    </row>
    <row r="707" spans="1:9" ht="15.75" customHeight="1" x14ac:dyDescent="0.25">
      <c r="A707" s="9"/>
      <c r="B707" s="20"/>
      <c r="C707" s="20"/>
      <c r="D707" s="11"/>
      <c r="E707" s="11"/>
      <c r="F707" s="13"/>
      <c r="G707" s="14"/>
      <c r="H707" s="14" t="str">
        <f ca="1">IFERROR(__xludf.DUMMYFUNCTION("IFERROR(
  AVERAGE(
    FILTER(
      $E$2:$E707,
      $A$2:$A707 &gt;= A707 - 30,
      $A$2:$A707 &lt;= A707,
      $E$2:$E707 &gt; 0
    )
  ),
"""")"),"")</f>
        <v/>
      </c>
      <c r="I707" s="14"/>
    </row>
    <row r="708" spans="1:9" ht="15.75" customHeight="1" x14ac:dyDescent="0.25">
      <c r="A708" s="9"/>
      <c r="B708" s="20"/>
      <c r="C708" s="20"/>
      <c r="D708" s="11"/>
      <c r="E708" s="11"/>
      <c r="F708" s="13"/>
      <c r="G708" s="14"/>
      <c r="H708" s="14" t="str">
        <f ca="1">IFERROR(__xludf.DUMMYFUNCTION("IFERROR(
  AVERAGE(
    FILTER(
      $E$2:$E708,
      $A$2:$A708 &gt;= A708 - 30,
      $A$2:$A708 &lt;= A708,
      $E$2:$E708 &gt; 0
    )
  ),
"""")"),"")</f>
        <v/>
      </c>
      <c r="I708" s="14"/>
    </row>
    <row r="709" spans="1:9" ht="15.75" customHeight="1" x14ac:dyDescent="0.25">
      <c r="A709" s="9"/>
      <c r="B709" s="20"/>
      <c r="C709" s="20"/>
      <c r="D709" s="11"/>
      <c r="E709" s="11"/>
      <c r="F709" s="13"/>
      <c r="G709" s="14"/>
      <c r="H709" s="14" t="str">
        <f ca="1">IFERROR(__xludf.DUMMYFUNCTION("IFERROR(
  AVERAGE(
    FILTER(
      $E$2:$E709,
      $A$2:$A709 &gt;= A709 - 30,
      $A$2:$A709 &lt;= A709,
      $E$2:$E709 &gt; 0
    )
  ),
"""")"),"")</f>
        <v/>
      </c>
      <c r="I709" s="14"/>
    </row>
    <row r="710" spans="1:9" ht="15.75" customHeight="1" x14ac:dyDescent="0.25">
      <c r="A710" s="9"/>
      <c r="B710" s="20"/>
      <c r="C710" s="20"/>
      <c r="D710" s="11"/>
      <c r="E710" s="11"/>
      <c r="F710" s="13"/>
      <c r="G710" s="14"/>
      <c r="H710" s="14" t="str">
        <f ca="1">IFERROR(__xludf.DUMMYFUNCTION("IFERROR(
  AVERAGE(
    FILTER(
      $E$2:$E710,
      $A$2:$A710 &gt;= A710 - 30,
      $A$2:$A710 &lt;= A710,
      $E$2:$E710 &gt; 0
    )
  ),
"""")"),"")</f>
        <v/>
      </c>
      <c r="I710" s="14"/>
    </row>
    <row r="711" spans="1:9" ht="15.75" customHeight="1" x14ac:dyDescent="0.25">
      <c r="A711" s="9"/>
      <c r="B711" s="20"/>
      <c r="C711" s="20"/>
      <c r="D711" s="11"/>
      <c r="E711" s="11"/>
      <c r="F711" s="13"/>
      <c r="G711" s="14"/>
      <c r="H711" s="14" t="str">
        <f ca="1">IFERROR(__xludf.DUMMYFUNCTION("IFERROR(
  AVERAGE(
    FILTER(
      $E$2:$E711,
      $A$2:$A711 &gt;= A711 - 30,
      $A$2:$A711 &lt;= A711,
      $E$2:$E711 &gt; 0
    )
  ),
"""")"),"")</f>
        <v/>
      </c>
      <c r="I711" s="14"/>
    </row>
    <row r="712" spans="1:9" ht="15.75" customHeight="1" x14ac:dyDescent="0.25">
      <c r="A712" s="9"/>
      <c r="B712" s="20"/>
      <c r="C712" s="20"/>
      <c r="D712" s="11"/>
      <c r="E712" s="11"/>
      <c r="F712" s="13"/>
      <c r="G712" s="14"/>
      <c r="H712" s="14" t="str">
        <f ca="1">IFERROR(__xludf.DUMMYFUNCTION("IFERROR(
  AVERAGE(
    FILTER(
      $E$2:$E712,
      $A$2:$A712 &gt;= A712 - 30,
      $A$2:$A712 &lt;= A712,
      $E$2:$E712 &gt; 0
    )
  ),
"""")"),"")</f>
        <v/>
      </c>
      <c r="I712" s="14"/>
    </row>
    <row r="713" spans="1:9" ht="15.75" customHeight="1" x14ac:dyDescent="0.25">
      <c r="A713" s="9"/>
      <c r="B713" s="20"/>
      <c r="C713" s="20"/>
      <c r="D713" s="11"/>
      <c r="E713" s="11"/>
      <c r="F713" s="13"/>
      <c r="G713" s="14"/>
      <c r="H713" s="14" t="str">
        <f ca="1">IFERROR(__xludf.DUMMYFUNCTION("IFERROR(
  AVERAGE(
    FILTER(
      $E$2:$E713,
      $A$2:$A713 &gt;= A713 - 30,
      $A$2:$A713 &lt;= A713,
      $E$2:$E713 &gt; 0
    )
  ),
"""")"),"")</f>
        <v/>
      </c>
      <c r="I713" s="14"/>
    </row>
    <row r="714" spans="1:9" ht="15.75" customHeight="1" x14ac:dyDescent="0.25">
      <c r="A714" s="9"/>
      <c r="B714" s="20"/>
      <c r="C714" s="20"/>
      <c r="D714" s="11"/>
      <c r="E714" s="11"/>
      <c r="F714" s="13"/>
      <c r="G714" s="14"/>
      <c r="H714" s="14" t="str">
        <f ca="1">IFERROR(__xludf.DUMMYFUNCTION("IFERROR(
  AVERAGE(
    FILTER(
      $E$2:$E714,
      $A$2:$A714 &gt;= A714 - 30,
      $A$2:$A714 &lt;= A714,
      $E$2:$E714 &gt; 0
    )
  ),
"""")"),"")</f>
        <v/>
      </c>
      <c r="I714" s="14"/>
    </row>
    <row r="715" spans="1:9" ht="15.75" customHeight="1" x14ac:dyDescent="0.25">
      <c r="A715" s="9"/>
      <c r="B715" s="20"/>
      <c r="C715" s="20"/>
      <c r="D715" s="11"/>
      <c r="E715" s="11"/>
      <c r="F715" s="13"/>
      <c r="G715" s="14"/>
      <c r="H715" s="14" t="str">
        <f ca="1">IFERROR(__xludf.DUMMYFUNCTION("IFERROR(
  AVERAGE(
    FILTER(
      $E$2:$E715,
      $A$2:$A715 &gt;= A715 - 30,
      $A$2:$A715 &lt;= A715,
      $E$2:$E715 &gt; 0
    )
  ),
"""")"),"")</f>
        <v/>
      </c>
      <c r="I715" s="14"/>
    </row>
    <row r="716" spans="1:9" ht="15.75" customHeight="1" x14ac:dyDescent="0.25">
      <c r="A716" s="9"/>
      <c r="B716" s="20"/>
      <c r="C716" s="20"/>
      <c r="D716" s="11"/>
      <c r="E716" s="11"/>
      <c r="F716" s="13"/>
      <c r="G716" s="14"/>
      <c r="H716" s="14" t="str">
        <f ca="1">IFERROR(__xludf.DUMMYFUNCTION("IFERROR(
  AVERAGE(
    FILTER(
      $E$2:$E716,
      $A$2:$A716 &gt;= A716 - 30,
      $A$2:$A716 &lt;= A716,
      $E$2:$E716 &gt; 0
    )
  ),
"""")"),"")</f>
        <v/>
      </c>
      <c r="I716" s="14"/>
    </row>
    <row r="717" spans="1:9" ht="15.75" customHeight="1" x14ac:dyDescent="0.25">
      <c r="A717" s="9"/>
      <c r="B717" s="20"/>
      <c r="C717" s="20"/>
      <c r="D717" s="11"/>
      <c r="E717" s="11"/>
      <c r="F717" s="13"/>
      <c r="G717" s="14"/>
      <c r="H717" s="14" t="str">
        <f ca="1">IFERROR(__xludf.DUMMYFUNCTION("IFERROR(
  AVERAGE(
    FILTER(
      $E$2:$E717,
      $A$2:$A717 &gt;= A717 - 30,
      $A$2:$A717 &lt;= A717,
      $E$2:$E717 &gt; 0
    )
  ),
"""")"),"")</f>
        <v/>
      </c>
      <c r="I717" s="14"/>
    </row>
    <row r="718" spans="1:9" ht="15.75" customHeight="1" x14ac:dyDescent="0.25">
      <c r="A718" s="9"/>
      <c r="B718" s="20"/>
      <c r="C718" s="20"/>
      <c r="D718" s="11"/>
      <c r="E718" s="11"/>
      <c r="F718" s="13"/>
      <c r="G718" s="14"/>
      <c r="H718" s="14" t="str">
        <f ca="1">IFERROR(__xludf.DUMMYFUNCTION("IFERROR(
  AVERAGE(
    FILTER(
      $E$2:$E718,
      $A$2:$A718 &gt;= A718 - 30,
      $A$2:$A718 &lt;= A718,
      $E$2:$E718 &gt; 0
    )
  ),
"""")"),"")</f>
        <v/>
      </c>
      <c r="I718" s="14"/>
    </row>
    <row r="719" spans="1:9" ht="15.75" customHeight="1" x14ac:dyDescent="0.25">
      <c r="A719" s="9"/>
      <c r="B719" s="20"/>
      <c r="C719" s="20"/>
      <c r="D719" s="11"/>
      <c r="E719" s="11"/>
      <c r="F719" s="13"/>
      <c r="G719" s="14"/>
      <c r="H719" s="14" t="str">
        <f ca="1">IFERROR(__xludf.DUMMYFUNCTION("IFERROR(
  AVERAGE(
    FILTER(
      $E$2:$E719,
      $A$2:$A719 &gt;= A719 - 30,
      $A$2:$A719 &lt;= A719,
      $E$2:$E719 &gt; 0
    )
  ),
"""")"),"")</f>
        <v/>
      </c>
      <c r="I719" s="14"/>
    </row>
    <row r="720" spans="1:9" ht="15.75" customHeight="1" x14ac:dyDescent="0.25">
      <c r="A720" s="9"/>
      <c r="B720" s="20"/>
      <c r="C720" s="20"/>
      <c r="D720" s="11"/>
      <c r="E720" s="11"/>
      <c r="F720" s="13"/>
      <c r="G720" s="14"/>
      <c r="H720" s="14" t="str">
        <f ca="1">IFERROR(__xludf.DUMMYFUNCTION("IFERROR(
  AVERAGE(
    FILTER(
      $E$2:$E720,
      $A$2:$A720 &gt;= A720 - 30,
      $A$2:$A720 &lt;= A720,
      $E$2:$E720 &gt; 0
    )
  ),
"""")"),"")</f>
        <v/>
      </c>
      <c r="I720" s="14"/>
    </row>
    <row r="721" spans="1:9" ht="15.75" customHeight="1" x14ac:dyDescent="0.25">
      <c r="A721" s="9"/>
      <c r="B721" s="20"/>
      <c r="C721" s="20"/>
      <c r="D721" s="11"/>
      <c r="E721" s="11"/>
      <c r="F721" s="13"/>
      <c r="G721" s="14"/>
      <c r="H721" s="14" t="str">
        <f ca="1">IFERROR(__xludf.DUMMYFUNCTION("IFERROR(
  AVERAGE(
    FILTER(
      $E$2:$E721,
      $A$2:$A721 &gt;= A721 - 30,
      $A$2:$A721 &lt;= A721,
      $E$2:$E721 &gt; 0
    )
  ),
"""")"),"")</f>
        <v/>
      </c>
      <c r="I721" s="14"/>
    </row>
    <row r="722" spans="1:9" ht="15.75" customHeight="1" x14ac:dyDescent="0.25">
      <c r="A722" s="9"/>
      <c r="B722" s="20"/>
      <c r="C722" s="20"/>
      <c r="D722" s="11"/>
      <c r="E722" s="11"/>
      <c r="F722" s="13"/>
      <c r="G722" s="14"/>
      <c r="H722" s="14" t="str">
        <f ca="1">IFERROR(__xludf.DUMMYFUNCTION("IFERROR(
  AVERAGE(
    FILTER(
      $E$2:$E722,
      $A$2:$A722 &gt;= A722 - 30,
      $A$2:$A722 &lt;= A722,
      $E$2:$E722 &gt; 0
    )
  ),
"""")"),"")</f>
        <v/>
      </c>
      <c r="I722" s="14"/>
    </row>
    <row r="723" spans="1:9" ht="15.75" customHeight="1" x14ac:dyDescent="0.25">
      <c r="A723" s="9"/>
      <c r="B723" s="20"/>
      <c r="C723" s="20"/>
      <c r="D723" s="11"/>
      <c r="E723" s="11"/>
      <c r="F723" s="13"/>
      <c r="G723" s="14"/>
      <c r="H723" s="14" t="str">
        <f ca="1">IFERROR(__xludf.DUMMYFUNCTION("IFERROR(
  AVERAGE(
    FILTER(
      $E$2:$E723,
      $A$2:$A723 &gt;= A723 - 30,
      $A$2:$A723 &lt;= A723,
      $E$2:$E723 &gt; 0
    )
  ),
"""")"),"")</f>
        <v/>
      </c>
      <c r="I723" s="14"/>
    </row>
    <row r="724" spans="1:9" ht="15.75" customHeight="1" x14ac:dyDescent="0.25">
      <c r="A724" s="9"/>
      <c r="B724" s="20"/>
      <c r="C724" s="20"/>
      <c r="D724" s="11"/>
      <c r="E724" s="11"/>
      <c r="F724" s="13"/>
      <c r="G724" s="14"/>
      <c r="H724" s="14" t="str">
        <f ca="1">IFERROR(__xludf.DUMMYFUNCTION("IFERROR(
  AVERAGE(
    FILTER(
      $E$2:$E724,
      $A$2:$A724 &gt;= A724 - 30,
      $A$2:$A724 &lt;= A724,
      $E$2:$E724 &gt; 0
    )
  ),
"""")"),"")</f>
        <v/>
      </c>
      <c r="I724" s="14"/>
    </row>
    <row r="725" spans="1:9" ht="15.75" customHeight="1" x14ac:dyDescent="0.25">
      <c r="A725" s="9"/>
      <c r="B725" s="20"/>
      <c r="C725" s="20"/>
      <c r="D725" s="11"/>
      <c r="E725" s="11"/>
      <c r="F725" s="13"/>
      <c r="G725" s="14"/>
      <c r="H725" s="14" t="str">
        <f ca="1">IFERROR(__xludf.DUMMYFUNCTION("IFERROR(
  AVERAGE(
    FILTER(
      $E$2:$E725,
      $A$2:$A725 &gt;= A725 - 30,
      $A$2:$A725 &lt;= A725,
      $E$2:$E725 &gt; 0
    )
  ),
"""")"),"")</f>
        <v/>
      </c>
      <c r="I725" s="14"/>
    </row>
    <row r="726" spans="1:9" ht="15.75" customHeight="1" x14ac:dyDescent="0.25">
      <c r="A726" s="9"/>
      <c r="B726" s="20"/>
      <c r="C726" s="20"/>
      <c r="D726" s="11"/>
      <c r="E726" s="11"/>
      <c r="F726" s="13"/>
      <c r="G726" s="14"/>
      <c r="H726" s="14" t="str">
        <f ca="1">IFERROR(__xludf.DUMMYFUNCTION("IFERROR(
  AVERAGE(
    FILTER(
      $E$2:$E726,
      $A$2:$A726 &gt;= A726 - 30,
      $A$2:$A726 &lt;= A726,
      $E$2:$E726 &gt; 0
    )
  ),
"""")"),"")</f>
        <v/>
      </c>
      <c r="I726" s="14"/>
    </row>
    <row r="727" spans="1:9" ht="15.75" customHeight="1" x14ac:dyDescent="0.25">
      <c r="A727" s="9"/>
      <c r="B727" s="20"/>
      <c r="C727" s="20"/>
      <c r="D727" s="11"/>
      <c r="E727" s="11"/>
      <c r="F727" s="13"/>
      <c r="G727" s="14"/>
      <c r="H727" s="14" t="str">
        <f ca="1">IFERROR(__xludf.DUMMYFUNCTION("IFERROR(
  AVERAGE(
    FILTER(
      $E$2:$E727,
      $A$2:$A727 &gt;= A727 - 30,
      $A$2:$A727 &lt;= A727,
      $E$2:$E727 &gt; 0
    )
  ),
"""")"),"")</f>
        <v/>
      </c>
      <c r="I727" s="14"/>
    </row>
    <row r="728" spans="1:9" ht="15.75" customHeight="1" x14ac:dyDescent="0.25">
      <c r="A728" s="9"/>
      <c r="B728" s="20"/>
      <c r="C728" s="20"/>
      <c r="D728" s="11"/>
      <c r="E728" s="11"/>
      <c r="F728" s="13"/>
      <c r="G728" s="14"/>
      <c r="H728" s="14" t="str">
        <f ca="1">IFERROR(__xludf.DUMMYFUNCTION("IFERROR(
  AVERAGE(
    FILTER(
      $E$2:$E728,
      $A$2:$A728 &gt;= A728 - 30,
      $A$2:$A728 &lt;= A728,
      $E$2:$E728 &gt; 0
    )
  ),
"""")"),"")</f>
        <v/>
      </c>
      <c r="I728" s="14"/>
    </row>
    <row r="729" spans="1:9" ht="15.75" customHeight="1" x14ac:dyDescent="0.25">
      <c r="A729" s="9"/>
      <c r="B729" s="20"/>
      <c r="C729" s="20"/>
      <c r="D729" s="11"/>
      <c r="E729" s="11"/>
      <c r="F729" s="13"/>
      <c r="G729" s="14"/>
      <c r="H729" s="14" t="str">
        <f ca="1">IFERROR(__xludf.DUMMYFUNCTION("IFERROR(
  AVERAGE(
    FILTER(
      $E$2:$E729,
      $A$2:$A729 &gt;= A729 - 30,
      $A$2:$A729 &lt;= A729,
      $E$2:$E729 &gt; 0
    )
  ),
"""")"),"")</f>
        <v/>
      </c>
      <c r="I729" s="14"/>
    </row>
    <row r="730" spans="1:9" ht="15.75" customHeight="1" x14ac:dyDescent="0.25">
      <c r="A730" s="9"/>
      <c r="B730" s="20"/>
      <c r="C730" s="20"/>
      <c r="D730" s="11"/>
      <c r="E730" s="11"/>
      <c r="F730" s="13"/>
      <c r="G730" s="14"/>
      <c r="H730" s="14" t="str">
        <f ca="1">IFERROR(__xludf.DUMMYFUNCTION("IFERROR(
  AVERAGE(
    FILTER(
      $E$2:$E730,
      $A$2:$A730 &gt;= A730 - 30,
      $A$2:$A730 &lt;= A730,
      $E$2:$E730 &gt; 0
    )
  ),
"""")"),"")</f>
        <v/>
      </c>
      <c r="I730" s="14"/>
    </row>
    <row r="731" spans="1:9" ht="15.75" customHeight="1" x14ac:dyDescent="0.25">
      <c r="A731" s="9"/>
      <c r="B731" s="20"/>
      <c r="C731" s="20"/>
      <c r="D731" s="11"/>
      <c r="E731" s="11"/>
      <c r="F731" s="13"/>
      <c r="G731" s="14"/>
      <c r="H731" s="14" t="str">
        <f ca="1">IFERROR(__xludf.DUMMYFUNCTION("IFERROR(
  AVERAGE(
    FILTER(
      $E$2:$E731,
      $A$2:$A731 &gt;= A731 - 30,
      $A$2:$A731 &lt;= A731,
      $E$2:$E731 &gt; 0
    )
  ),
"""")"),"")</f>
        <v/>
      </c>
      <c r="I731" s="14"/>
    </row>
    <row r="732" spans="1:9" ht="15.75" customHeight="1" x14ac:dyDescent="0.25">
      <c r="A732" s="9"/>
      <c r="B732" s="20"/>
      <c r="C732" s="20"/>
      <c r="D732" s="11"/>
      <c r="E732" s="11"/>
      <c r="F732" s="13"/>
      <c r="G732" s="14"/>
      <c r="H732" s="14" t="str">
        <f ca="1">IFERROR(__xludf.DUMMYFUNCTION("IFERROR(
  AVERAGE(
    FILTER(
      $E$2:$E732,
      $A$2:$A732 &gt;= A732 - 30,
      $A$2:$A732 &lt;= A732,
      $E$2:$E732 &gt; 0
    )
  ),
"""")"),"")</f>
        <v/>
      </c>
      <c r="I732" s="14"/>
    </row>
    <row r="733" spans="1:9" ht="15.75" customHeight="1" x14ac:dyDescent="0.25">
      <c r="A733" s="9"/>
      <c r="B733" s="20"/>
      <c r="C733" s="20"/>
      <c r="D733" s="11"/>
      <c r="E733" s="11"/>
      <c r="F733" s="13"/>
      <c r="G733" s="14"/>
      <c r="H733" s="14" t="str">
        <f ca="1">IFERROR(__xludf.DUMMYFUNCTION("IFERROR(
  AVERAGE(
    FILTER(
      $E$2:$E733,
      $A$2:$A733 &gt;= A733 - 30,
      $A$2:$A733 &lt;= A733,
      $E$2:$E733 &gt; 0
    )
  ),
"""")"),"")</f>
        <v/>
      </c>
      <c r="I733" s="14"/>
    </row>
    <row r="734" spans="1:9" ht="15.75" customHeight="1" x14ac:dyDescent="0.25">
      <c r="A734" s="9"/>
      <c r="B734" s="20"/>
      <c r="C734" s="20"/>
      <c r="D734" s="11"/>
      <c r="E734" s="11"/>
      <c r="F734" s="13"/>
      <c r="G734" s="14"/>
      <c r="H734" s="14" t="str">
        <f ca="1">IFERROR(__xludf.DUMMYFUNCTION("IFERROR(
  AVERAGE(
    FILTER(
      $E$2:$E734,
      $A$2:$A734 &gt;= A734 - 30,
      $A$2:$A734 &lt;= A734,
      $E$2:$E734 &gt; 0
    )
  ),
"""")"),"")</f>
        <v/>
      </c>
      <c r="I734" s="14"/>
    </row>
    <row r="735" spans="1:9" ht="15.75" customHeight="1" x14ac:dyDescent="0.25">
      <c r="A735" s="9"/>
      <c r="B735" s="20"/>
      <c r="C735" s="20"/>
      <c r="D735" s="11"/>
      <c r="E735" s="11"/>
      <c r="F735" s="13"/>
      <c r="G735" s="14"/>
      <c r="H735" s="14" t="str">
        <f ca="1">IFERROR(__xludf.DUMMYFUNCTION("IFERROR(
  AVERAGE(
    FILTER(
      $E$2:$E735,
      $A$2:$A735 &gt;= A735 - 30,
      $A$2:$A735 &lt;= A735,
      $E$2:$E735 &gt; 0
    )
  ),
"""")"),"")</f>
        <v/>
      </c>
      <c r="I735" s="14"/>
    </row>
    <row r="736" spans="1:9" ht="15.75" customHeight="1" x14ac:dyDescent="0.25">
      <c r="A736" s="9"/>
      <c r="B736" s="20"/>
      <c r="C736" s="20"/>
      <c r="D736" s="11"/>
      <c r="E736" s="11"/>
      <c r="F736" s="13"/>
      <c r="G736" s="14"/>
      <c r="H736" s="14" t="str">
        <f ca="1">IFERROR(__xludf.DUMMYFUNCTION("IFERROR(
  AVERAGE(
    FILTER(
      $E$2:$E736,
      $A$2:$A736 &gt;= A736 - 30,
      $A$2:$A736 &lt;= A736,
      $E$2:$E736 &gt; 0
    )
  ),
"""")"),"")</f>
        <v/>
      </c>
      <c r="I736" s="14"/>
    </row>
    <row r="737" spans="1:9" ht="15.75" customHeight="1" x14ac:dyDescent="0.25">
      <c r="A737" s="9"/>
      <c r="B737" s="20"/>
      <c r="C737" s="20"/>
      <c r="D737" s="11"/>
      <c r="E737" s="11"/>
      <c r="F737" s="13"/>
      <c r="G737" s="14"/>
      <c r="H737" s="14" t="str">
        <f ca="1">IFERROR(__xludf.DUMMYFUNCTION("IFERROR(
  AVERAGE(
    FILTER(
      $E$2:$E737,
      $A$2:$A737 &gt;= A737 - 30,
      $A$2:$A737 &lt;= A737,
      $E$2:$E737 &gt; 0
    )
  ),
"""")"),"")</f>
        <v/>
      </c>
      <c r="I737" s="14"/>
    </row>
    <row r="738" spans="1:9" ht="15.75" customHeight="1" x14ac:dyDescent="0.25">
      <c r="A738" s="9"/>
      <c r="B738" s="20"/>
      <c r="C738" s="20"/>
      <c r="D738" s="11"/>
      <c r="E738" s="11"/>
      <c r="F738" s="13"/>
      <c r="G738" s="14"/>
      <c r="H738" s="14" t="str">
        <f ca="1">IFERROR(__xludf.DUMMYFUNCTION("IFERROR(
  AVERAGE(
    FILTER(
      $E$2:$E738,
      $A$2:$A738 &gt;= A738 - 30,
      $A$2:$A738 &lt;= A738,
      $E$2:$E738 &gt; 0
    )
  ),
"""")"),"")</f>
        <v/>
      </c>
      <c r="I738" s="14"/>
    </row>
    <row r="739" spans="1:9" ht="15.75" customHeight="1" x14ac:dyDescent="0.25">
      <c r="A739" s="9"/>
      <c r="B739" s="20"/>
      <c r="C739" s="20"/>
      <c r="D739" s="11"/>
      <c r="E739" s="11"/>
      <c r="F739" s="13"/>
      <c r="G739" s="14"/>
      <c r="H739" s="14" t="str">
        <f ca="1">IFERROR(__xludf.DUMMYFUNCTION("IFERROR(
  AVERAGE(
    FILTER(
      $E$2:$E739,
      $A$2:$A739 &gt;= A739 - 30,
      $A$2:$A739 &lt;= A739,
      $E$2:$E739 &gt; 0
    )
  ),
"""")"),"")</f>
        <v/>
      </c>
      <c r="I739" s="14"/>
    </row>
    <row r="740" spans="1:9" ht="15.75" customHeight="1" x14ac:dyDescent="0.25">
      <c r="A740" s="9"/>
      <c r="B740" s="20"/>
      <c r="C740" s="20"/>
      <c r="D740" s="11"/>
      <c r="E740" s="11"/>
      <c r="F740" s="13"/>
      <c r="G740" s="14"/>
      <c r="H740" s="14" t="str">
        <f ca="1">IFERROR(__xludf.DUMMYFUNCTION("IFERROR(
  AVERAGE(
    FILTER(
      $E$2:$E740,
      $A$2:$A740 &gt;= A740 - 30,
      $A$2:$A740 &lt;= A740,
      $E$2:$E740 &gt; 0
    )
  ),
"""")"),"")</f>
        <v/>
      </c>
      <c r="I740" s="14"/>
    </row>
    <row r="741" spans="1:9" ht="15.75" customHeight="1" x14ac:dyDescent="0.25">
      <c r="A741" s="9"/>
      <c r="B741" s="20"/>
      <c r="C741" s="20"/>
      <c r="D741" s="11"/>
      <c r="E741" s="11"/>
      <c r="F741" s="13"/>
      <c r="G741" s="14"/>
      <c r="H741" s="14" t="str">
        <f ca="1">IFERROR(__xludf.DUMMYFUNCTION("IFERROR(
  AVERAGE(
    FILTER(
      $E$2:$E741,
      $A$2:$A741 &gt;= A741 - 30,
      $A$2:$A741 &lt;= A741,
      $E$2:$E741 &gt; 0
    )
  ),
"""")"),"")</f>
        <v/>
      </c>
      <c r="I741" s="14"/>
    </row>
    <row r="742" spans="1:9" ht="15.75" customHeight="1" x14ac:dyDescent="0.25">
      <c r="A742" s="9"/>
      <c r="B742" s="20"/>
      <c r="C742" s="20"/>
      <c r="D742" s="11"/>
      <c r="E742" s="11"/>
      <c r="F742" s="13"/>
      <c r="G742" s="14"/>
      <c r="H742" s="14" t="str">
        <f ca="1">IFERROR(__xludf.DUMMYFUNCTION("IFERROR(
  AVERAGE(
    FILTER(
      $E$2:$E742,
      $A$2:$A742 &gt;= A742 - 30,
      $A$2:$A742 &lt;= A742,
      $E$2:$E742 &gt; 0
    )
  ),
"""")"),"")</f>
        <v/>
      </c>
      <c r="I742" s="14"/>
    </row>
    <row r="743" spans="1:9" ht="15.75" customHeight="1" x14ac:dyDescent="0.25">
      <c r="A743" s="9"/>
      <c r="B743" s="20"/>
      <c r="C743" s="20"/>
      <c r="D743" s="11"/>
      <c r="E743" s="11"/>
      <c r="F743" s="13"/>
      <c r="G743" s="14"/>
      <c r="H743" s="14" t="str">
        <f ca="1">IFERROR(__xludf.DUMMYFUNCTION("IFERROR(
  AVERAGE(
    FILTER(
      $E$2:$E743,
      $A$2:$A743 &gt;= A743 - 30,
      $A$2:$A743 &lt;= A743,
      $E$2:$E743 &gt; 0
    )
  ),
"""")"),"")</f>
        <v/>
      </c>
      <c r="I743" s="14"/>
    </row>
    <row r="744" spans="1:9" ht="15.75" customHeight="1" x14ac:dyDescent="0.25">
      <c r="A744" s="9"/>
      <c r="B744" s="20"/>
      <c r="C744" s="20"/>
      <c r="D744" s="11"/>
      <c r="E744" s="11"/>
      <c r="F744" s="13"/>
      <c r="G744" s="14"/>
      <c r="H744" s="14" t="str">
        <f ca="1">IFERROR(__xludf.DUMMYFUNCTION("IFERROR(
  AVERAGE(
    FILTER(
      $E$2:$E744,
      $A$2:$A744 &gt;= A744 - 30,
      $A$2:$A744 &lt;= A744,
      $E$2:$E744 &gt; 0
    )
  ),
"""")"),"")</f>
        <v/>
      </c>
      <c r="I744" s="14"/>
    </row>
    <row r="745" spans="1:9" ht="15.75" customHeight="1" x14ac:dyDescent="0.25">
      <c r="A745" s="9"/>
      <c r="B745" s="20"/>
      <c r="C745" s="20"/>
      <c r="D745" s="11"/>
      <c r="E745" s="11"/>
      <c r="F745" s="13"/>
      <c r="G745" s="14"/>
      <c r="H745" s="14" t="str">
        <f ca="1">IFERROR(__xludf.DUMMYFUNCTION("IFERROR(
  AVERAGE(
    FILTER(
      $E$2:$E745,
      $A$2:$A745 &gt;= A745 - 30,
      $A$2:$A745 &lt;= A745,
      $E$2:$E745 &gt; 0
    )
  ),
"""")"),"")</f>
        <v/>
      </c>
      <c r="I745" s="14"/>
    </row>
    <row r="746" spans="1:9" ht="15.75" customHeight="1" x14ac:dyDescent="0.25">
      <c r="A746" s="9"/>
      <c r="B746" s="20"/>
      <c r="C746" s="20"/>
      <c r="D746" s="11"/>
      <c r="E746" s="11"/>
      <c r="F746" s="13"/>
      <c r="G746" s="14"/>
      <c r="H746" s="14" t="str">
        <f ca="1">IFERROR(__xludf.DUMMYFUNCTION("IFERROR(
  AVERAGE(
    FILTER(
      $E$2:$E746,
      $A$2:$A746 &gt;= A746 - 30,
      $A$2:$A746 &lt;= A746,
      $E$2:$E746 &gt; 0
    )
  ),
"""")"),"")</f>
        <v/>
      </c>
      <c r="I746" s="14"/>
    </row>
    <row r="747" spans="1:9" ht="15.75" customHeight="1" x14ac:dyDescent="0.25">
      <c r="A747" s="9"/>
      <c r="B747" s="20"/>
      <c r="C747" s="20"/>
      <c r="D747" s="11"/>
      <c r="E747" s="11"/>
      <c r="F747" s="13"/>
      <c r="G747" s="14"/>
      <c r="H747" s="14" t="str">
        <f ca="1">IFERROR(__xludf.DUMMYFUNCTION("IFERROR(
  AVERAGE(
    FILTER(
      $E$2:$E747,
      $A$2:$A747 &gt;= A747 - 30,
      $A$2:$A747 &lt;= A747,
      $E$2:$E747 &gt; 0
    )
  ),
"""")"),"")</f>
        <v/>
      </c>
      <c r="I747" s="14"/>
    </row>
    <row r="748" spans="1:9" ht="15.75" customHeight="1" x14ac:dyDescent="0.25">
      <c r="A748" s="9"/>
      <c r="B748" s="20"/>
      <c r="C748" s="20"/>
      <c r="D748" s="11"/>
      <c r="E748" s="11"/>
      <c r="F748" s="13"/>
      <c r="G748" s="14"/>
      <c r="H748" s="14" t="str">
        <f ca="1">IFERROR(__xludf.DUMMYFUNCTION("IFERROR(
  AVERAGE(
    FILTER(
      $E$2:$E748,
      $A$2:$A748 &gt;= A748 - 30,
      $A$2:$A748 &lt;= A748,
      $E$2:$E748 &gt; 0
    )
  ),
"""")"),"")</f>
        <v/>
      </c>
      <c r="I748" s="14"/>
    </row>
    <row r="749" spans="1:9" ht="15.75" customHeight="1" x14ac:dyDescent="0.25">
      <c r="A749" s="9"/>
      <c r="B749" s="20"/>
      <c r="C749" s="20"/>
      <c r="D749" s="11"/>
      <c r="E749" s="11"/>
      <c r="F749" s="13"/>
      <c r="G749" s="14"/>
      <c r="H749" s="14" t="str">
        <f ca="1">IFERROR(__xludf.DUMMYFUNCTION("IFERROR(
  AVERAGE(
    FILTER(
      $E$2:$E749,
      $A$2:$A749 &gt;= A749 - 30,
      $A$2:$A749 &lt;= A749,
      $E$2:$E749 &gt; 0
    )
  ),
"""")"),"")</f>
        <v/>
      </c>
      <c r="I749" s="14"/>
    </row>
    <row r="750" spans="1:9" ht="15.75" customHeight="1" x14ac:dyDescent="0.25">
      <c r="A750" s="9"/>
      <c r="B750" s="20"/>
      <c r="C750" s="20"/>
      <c r="D750" s="11"/>
      <c r="E750" s="11"/>
      <c r="F750" s="13"/>
      <c r="G750" s="14"/>
      <c r="H750" s="14" t="str">
        <f ca="1">IFERROR(__xludf.DUMMYFUNCTION("IFERROR(
  AVERAGE(
    FILTER(
      $E$2:$E750,
      $A$2:$A750 &gt;= A750 - 30,
      $A$2:$A750 &lt;= A750,
      $E$2:$E750 &gt; 0
    )
  ),
"""")"),"")</f>
        <v/>
      </c>
      <c r="I750" s="14"/>
    </row>
    <row r="751" spans="1:9" ht="15.75" customHeight="1" x14ac:dyDescent="0.25">
      <c r="A751" s="9"/>
      <c r="B751" s="20"/>
      <c r="C751" s="20"/>
      <c r="D751" s="11"/>
      <c r="E751" s="11"/>
      <c r="F751" s="13"/>
      <c r="G751" s="14"/>
      <c r="H751" s="14" t="str">
        <f ca="1">IFERROR(__xludf.DUMMYFUNCTION("IFERROR(
  AVERAGE(
    FILTER(
      $E$2:$E751,
      $A$2:$A751 &gt;= A751 - 30,
      $A$2:$A751 &lt;= A751,
      $E$2:$E751 &gt; 0
    )
  ),
"""")"),"")</f>
        <v/>
      </c>
      <c r="I751" s="14"/>
    </row>
    <row r="752" spans="1:9" ht="15.75" customHeight="1" x14ac:dyDescent="0.25">
      <c r="A752" s="9"/>
      <c r="B752" s="20"/>
      <c r="C752" s="20"/>
      <c r="D752" s="11"/>
      <c r="E752" s="11"/>
      <c r="F752" s="13"/>
      <c r="G752" s="14"/>
      <c r="H752" s="14" t="str">
        <f ca="1">IFERROR(__xludf.DUMMYFUNCTION("IFERROR(
  AVERAGE(
    FILTER(
      $E$2:$E752,
      $A$2:$A752 &gt;= A752 - 30,
      $A$2:$A752 &lt;= A752,
      $E$2:$E752 &gt; 0
    )
  ),
"""")"),"")</f>
        <v/>
      </c>
      <c r="I752" s="14"/>
    </row>
    <row r="753" spans="1:9" ht="15.75" customHeight="1" x14ac:dyDescent="0.25">
      <c r="A753" s="9"/>
      <c r="B753" s="20"/>
      <c r="C753" s="20"/>
      <c r="D753" s="11"/>
      <c r="E753" s="11"/>
      <c r="F753" s="13"/>
      <c r="G753" s="14"/>
      <c r="H753" s="14" t="str">
        <f ca="1">IFERROR(__xludf.DUMMYFUNCTION("IFERROR(
  AVERAGE(
    FILTER(
      $E$2:$E753,
      $A$2:$A753 &gt;= A753 - 30,
      $A$2:$A753 &lt;= A753,
      $E$2:$E753 &gt; 0
    )
  ),
"""")"),"")</f>
        <v/>
      </c>
      <c r="I753" s="14"/>
    </row>
    <row r="754" spans="1:9" ht="15.75" customHeight="1" x14ac:dyDescent="0.25">
      <c r="A754" s="9"/>
      <c r="B754" s="20"/>
      <c r="C754" s="20"/>
      <c r="D754" s="11"/>
      <c r="E754" s="11"/>
      <c r="F754" s="13"/>
      <c r="G754" s="14"/>
      <c r="H754" s="14" t="str">
        <f ca="1">IFERROR(__xludf.DUMMYFUNCTION("IFERROR(
  AVERAGE(
    FILTER(
      $E$2:$E754,
      $A$2:$A754 &gt;= A754 - 30,
      $A$2:$A754 &lt;= A754,
      $E$2:$E754 &gt; 0
    )
  ),
"""")"),"")</f>
        <v/>
      </c>
      <c r="I754" s="14"/>
    </row>
    <row r="755" spans="1:9" ht="15.75" customHeight="1" x14ac:dyDescent="0.25">
      <c r="A755" s="9"/>
      <c r="B755" s="20"/>
      <c r="C755" s="20"/>
      <c r="D755" s="11"/>
      <c r="E755" s="11"/>
      <c r="F755" s="13"/>
      <c r="G755" s="14"/>
      <c r="H755" s="14" t="str">
        <f ca="1">IFERROR(__xludf.DUMMYFUNCTION("IFERROR(
  AVERAGE(
    FILTER(
      $E$2:$E755,
      $A$2:$A755 &gt;= A755 - 30,
      $A$2:$A755 &lt;= A755,
      $E$2:$E755 &gt; 0
    )
  ),
"""")"),"")</f>
        <v/>
      </c>
      <c r="I755" s="14"/>
    </row>
    <row r="756" spans="1:9" ht="15.75" customHeight="1" x14ac:dyDescent="0.25">
      <c r="A756" s="9"/>
      <c r="B756" s="20"/>
      <c r="C756" s="20"/>
      <c r="D756" s="11"/>
      <c r="E756" s="11"/>
      <c r="F756" s="13"/>
      <c r="G756" s="14"/>
      <c r="H756" s="14" t="str">
        <f ca="1">IFERROR(__xludf.DUMMYFUNCTION("IFERROR(
  AVERAGE(
    FILTER(
      $E$2:$E756,
      $A$2:$A756 &gt;= A756 - 30,
      $A$2:$A756 &lt;= A756,
      $E$2:$E756 &gt; 0
    )
  ),
"""")"),"")</f>
        <v/>
      </c>
      <c r="I756" s="14"/>
    </row>
    <row r="757" spans="1:9" ht="15.75" customHeight="1" x14ac:dyDescent="0.25">
      <c r="A757" s="9"/>
      <c r="B757" s="20"/>
      <c r="C757" s="20"/>
      <c r="D757" s="11"/>
      <c r="E757" s="11"/>
      <c r="F757" s="13"/>
      <c r="G757" s="14"/>
      <c r="H757" s="14" t="str">
        <f ca="1">IFERROR(__xludf.DUMMYFUNCTION("IFERROR(
  AVERAGE(
    FILTER(
      $E$2:$E757,
      $A$2:$A757 &gt;= A757 - 30,
      $A$2:$A757 &lt;= A757,
      $E$2:$E757 &gt; 0
    )
  ),
"""")"),"")</f>
        <v/>
      </c>
      <c r="I757" s="14"/>
    </row>
    <row r="758" spans="1:9" ht="15.75" customHeight="1" x14ac:dyDescent="0.25">
      <c r="A758" s="9"/>
      <c r="B758" s="20"/>
      <c r="C758" s="20"/>
      <c r="D758" s="11"/>
      <c r="E758" s="11"/>
      <c r="F758" s="13"/>
      <c r="G758" s="14"/>
      <c r="H758" s="14" t="str">
        <f ca="1">IFERROR(__xludf.DUMMYFUNCTION("IFERROR(
  AVERAGE(
    FILTER(
      $E$2:$E758,
      $A$2:$A758 &gt;= A758 - 30,
      $A$2:$A758 &lt;= A758,
      $E$2:$E758 &gt; 0
    )
  ),
"""")"),"")</f>
        <v/>
      </c>
      <c r="I758" s="14"/>
    </row>
    <row r="759" spans="1:9" ht="15.75" customHeight="1" x14ac:dyDescent="0.25">
      <c r="A759" s="9"/>
      <c r="B759" s="20"/>
      <c r="C759" s="20"/>
      <c r="D759" s="11"/>
      <c r="E759" s="11"/>
      <c r="F759" s="13"/>
      <c r="G759" s="14"/>
      <c r="H759" s="14" t="str">
        <f ca="1">IFERROR(__xludf.DUMMYFUNCTION("IFERROR(
  AVERAGE(
    FILTER(
      $E$2:$E759,
      $A$2:$A759 &gt;= A759 - 30,
      $A$2:$A759 &lt;= A759,
      $E$2:$E759 &gt; 0
    )
  ),
"""")"),"")</f>
        <v/>
      </c>
      <c r="I759" s="14"/>
    </row>
    <row r="760" spans="1:9" ht="15.75" customHeight="1" x14ac:dyDescent="0.25">
      <c r="A760" s="9"/>
      <c r="B760" s="20"/>
      <c r="C760" s="20"/>
      <c r="D760" s="11"/>
      <c r="E760" s="11"/>
      <c r="F760" s="13"/>
      <c r="G760" s="14"/>
      <c r="H760" s="14" t="str">
        <f ca="1">IFERROR(__xludf.DUMMYFUNCTION("IFERROR(
  AVERAGE(
    FILTER(
      $E$2:$E760,
      $A$2:$A760 &gt;= A760 - 30,
      $A$2:$A760 &lt;= A760,
      $E$2:$E760 &gt; 0
    )
  ),
"""")"),"")</f>
        <v/>
      </c>
      <c r="I760" s="14"/>
    </row>
    <row r="761" spans="1:9" ht="15.75" customHeight="1" x14ac:dyDescent="0.25">
      <c r="A761" s="9"/>
      <c r="B761" s="20"/>
      <c r="C761" s="20"/>
      <c r="D761" s="11"/>
      <c r="E761" s="11"/>
      <c r="F761" s="13"/>
      <c r="G761" s="14"/>
      <c r="H761" s="14" t="str">
        <f ca="1">IFERROR(__xludf.DUMMYFUNCTION("IFERROR(
  AVERAGE(
    FILTER(
      $E$2:$E761,
      $A$2:$A761 &gt;= A761 - 30,
      $A$2:$A761 &lt;= A761,
      $E$2:$E761 &gt; 0
    )
  ),
"""")"),"")</f>
        <v/>
      </c>
      <c r="I761" s="14"/>
    </row>
    <row r="762" spans="1:9" ht="15.75" customHeight="1" x14ac:dyDescent="0.25">
      <c r="A762" s="9"/>
      <c r="B762" s="20"/>
      <c r="C762" s="20"/>
      <c r="D762" s="11"/>
      <c r="E762" s="11"/>
      <c r="F762" s="13"/>
      <c r="G762" s="14"/>
      <c r="H762" s="14" t="str">
        <f ca="1">IFERROR(__xludf.DUMMYFUNCTION("IFERROR(
  AVERAGE(
    FILTER(
      $E$2:$E762,
      $A$2:$A762 &gt;= A762 - 30,
      $A$2:$A762 &lt;= A762,
      $E$2:$E762 &gt; 0
    )
  ),
"""")"),"")</f>
        <v/>
      </c>
      <c r="I762" s="14"/>
    </row>
    <row r="763" spans="1:9" ht="15.75" customHeight="1" x14ac:dyDescent="0.25">
      <c r="A763" s="9"/>
      <c r="B763" s="20"/>
      <c r="C763" s="20"/>
      <c r="D763" s="11"/>
      <c r="E763" s="11"/>
      <c r="F763" s="13"/>
      <c r="G763" s="14"/>
      <c r="H763" s="14" t="str">
        <f ca="1">IFERROR(__xludf.DUMMYFUNCTION("IFERROR(
  AVERAGE(
    FILTER(
      $E$2:$E763,
      $A$2:$A763 &gt;= A763 - 30,
      $A$2:$A763 &lt;= A763,
      $E$2:$E763 &gt; 0
    )
  ),
"""")"),"")</f>
        <v/>
      </c>
      <c r="I763" s="14"/>
    </row>
    <row r="764" spans="1:9" ht="15.75" customHeight="1" x14ac:dyDescent="0.25">
      <c r="A764" s="9"/>
      <c r="B764" s="20"/>
      <c r="C764" s="20"/>
      <c r="D764" s="11"/>
      <c r="E764" s="11"/>
      <c r="F764" s="13"/>
      <c r="G764" s="14"/>
      <c r="H764" s="14" t="str">
        <f ca="1">IFERROR(__xludf.DUMMYFUNCTION("IFERROR(
  AVERAGE(
    FILTER(
      $E$2:$E764,
      $A$2:$A764 &gt;= A764 - 30,
      $A$2:$A764 &lt;= A764,
      $E$2:$E764 &gt; 0
    )
  ),
"""")"),"")</f>
        <v/>
      </c>
      <c r="I764" s="14"/>
    </row>
    <row r="765" spans="1:9" ht="15.75" customHeight="1" x14ac:dyDescent="0.25">
      <c r="A765" s="9"/>
      <c r="B765" s="20"/>
      <c r="C765" s="20"/>
      <c r="D765" s="11"/>
      <c r="E765" s="11"/>
      <c r="F765" s="13"/>
      <c r="G765" s="14"/>
      <c r="H765" s="14" t="str">
        <f ca="1">IFERROR(__xludf.DUMMYFUNCTION("IFERROR(
  AVERAGE(
    FILTER(
      $E$2:$E765,
      $A$2:$A765 &gt;= A765 - 30,
      $A$2:$A765 &lt;= A765,
      $E$2:$E765 &gt; 0
    )
  ),
"""")"),"")</f>
        <v/>
      </c>
      <c r="I765" s="14"/>
    </row>
    <row r="766" spans="1:9" ht="15.75" customHeight="1" x14ac:dyDescent="0.25">
      <c r="A766" s="9"/>
      <c r="B766" s="20"/>
      <c r="C766" s="20"/>
      <c r="D766" s="11"/>
      <c r="E766" s="11"/>
      <c r="F766" s="13"/>
      <c r="G766" s="14"/>
      <c r="H766" s="14" t="str">
        <f ca="1">IFERROR(__xludf.DUMMYFUNCTION("IFERROR(
  AVERAGE(
    FILTER(
      $E$2:$E766,
      $A$2:$A766 &gt;= A766 - 30,
      $A$2:$A766 &lt;= A766,
      $E$2:$E766 &gt; 0
    )
  ),
"""")"),"")</f>
        <v/>
      </c>
      <c r="I766" s="14"/>
    </row>
    <row r="767" spans="1:9" ht="15.75" customHeight="1" x14ac:dyDescent="0.25">
      <c r="A767" s="9"/>
      <c r="B767" s="20"/>
      <c r="C767" s="20"/>
      <c r="D767" s="11"/>
      <c r="E767" s="11"/>
      <c r="F767" s="13"/>
      <c r="G767" s="14"/>
      <c r="H767" s="14" t="str">
        <f ca="1">IFERROR(__xludf.DUMMYFUNCTION("IFERROR(
  AVERAGE(
    FILTER(
      $E$2:$E767,
      $A$2:$A767 &gt;= A767 - 30,
      $A$2:$A767 &lt;= A767,
      $E$2:$E767 &gt; 0
    )
  ),
"""")"),"")</f>
        <v/>
      </c>
      <c r="I767" s="14"/>
    </row>
    <row r="768" spans="1:9" ht="15.75" customHeight="1" x14ac:dyDescent="0.25">
      <c r="A768" s="9"/>
      <c r="B768" s="20"/>
      <c r="C768" s="20"/>
      <c r="D768" s="11"/>
      <c r="E768" s="11"/>
      <c r="F768" s="13"/>
      <c r="G768" s="14"/>
      <c r="H768" s="14" t="str">
        <f ca="1">IFERROR(__xludf.DUMMYFUNCTION("IFERROR(
  AVERAGE(
    FILTER(
      $E$2:$E768,
      $A$2:$A768 &gt;= A768 - 30,
      $A$2:$A768 &lt;= A768,
      $E$2:$E768 &gt; 0
    )
  ),
"""")"),"")</f>
        <v/>
      </c>
      <c r="I768" s="14"/>
    </row>
    <row r="769" spans="1:9" ht="15.75" customHeight="1" x14ac:dyDescent="0.25">
      <c r="A769" s="9"/>
      <c r="B769" s="20"/>
      <c r="C769" s="20"/>
      <c r="D769" s="11"/>
      <c r="E769" s="11"/>
      <c r="F769" s="13"/>
      <c r="G769" s="14"/>
      <c r="H769" s="14" t="str">
        <f ca="1">IFERROR(__xludf.DUMMYFUNCTION("IFERROR(
  AVERAGE(
    FILTER(
      $E$2:$E769,
      $A$2:$A769 &gt;= A769 - 30,
      $A$2:$A769 &lt;= A769,
      $E$2:$E769 &gt; 0
    )
  ),
"""")"),"")</f>
        <v/>
      </c>
      <c r="I769" s="14"/>
    </row>
    <row r="770" spans="1:9" ht="15.75" customHeight="1" x14ac:dyDescent="0.25">
      <c r="A770" s="9"/>
      <c r="B770" s="20"/>
      <c r="C770" s="20"/>
      <c r="D770" s="11"/>
      <c r="E770" s="11"/>
      <c r="F770" s="13"/>
      <c r="G770" s="14"/>
      <c r="H770" s="14" t="str">
        <f ca="1">IFERROR(__xludf.DUMMYFUNCTION("IFERROR(
  AVERAGE(
    FILTER(
      $E$2:$E770,
      $A$2:$A770 &gt;= A770 - 30,
      $A$2:$A770 &lt;= A770,
      $E$2:$E770 &gt; 0
    )
  ),
"""")"),"")</f>
        <v/>
      </c>
      <c r="I770" s="14"/>
    </row>
    <row r="771" spans="1:9" ht="15.75" customHeight="1" x14ac:dyDescent="0.25">
      <c r="A771" s="9"/>
      <c r="B771" s="20"/>
      <c r="C771" s="20"/>
      <c r="D771" s="11"/>
      <c r="E771" s="11"/>
      <c r="F771" s="13"/>
      <c r="G771" s="14"/>
      <c r="H771" s="14" t="str">
        <f ca="1">IFERROR(__xludf.DUMMYFUNCTION("IFERROR(
  AVERAGE(
    FILTER(
      $E$2:$E771,
      $A$2:$A771 &gt;= A771 - 30,
      $A$2:$A771 &lt;= A771,
      $E$2:$E771 &gt; 0
    )
  ),
"""")"),"")</f>
        <v/>
      </c>
      <c r="I771" s="14"/>
    </row>
    <row r="772" spans="1:9" ht="15.75" customHeight="1" x14ac:dyDescent="0.25">
      <c r="A772" s="9"/>
      <c r="B772" s="20"/>
      <c r="C772" s="20"/>
      <c r="D772" s="11"/>
      <c r="E772" s="11"/>
      <c r="F772" s="13"/>
      <c r="G772" s="14"/>
      <c r="H772" s="14" t="str">
        <f ca="1">IFERROR(__xludf.DUMMYFUNCTION("IFERROR(
  AVERAGE(
    FILTER(
      $E$2:$E772,
      $A$2:$A772 &gt;= A772 - 30,
      $A$2:$A772 &lt;= A772,
      $E$2:$E772 &gt; 0
    )
  ),
"""")"),"")</f>
        <v/>
      </c>
      <c r="I772" s="14"/>
    </row>
    <row r="773" spans="1:9" ht="15.75" customHeight="1" x14ac:dyDescent="0.25">
      <c r="A773" s="9"/>
      <c r="B773" s="20"/>
      <c r="C773" s="20"/>
      <c r="D773" s="11"/>
      <c r="E773" s="11"/>
      <c r="F773" s="13"/>
      <c r="G773" s="14"/>
      <c r="H773" s="14" t="str">
        <f ca="1">IFERROR(__xludf.DUMMYFUNCTION("IFERROR(
  AVERAGE(
    FILTER(
      $E$2:$E773,
      $A$2:$A773 &gt;= A773 - 30,
      $A$2:$A773 &lt;= A773,
      $E$2:$E773 &gt; 0
    )
  ),
"""")"),"")</f>
        <v/>
      </c>
      <c r="I773" s="14"/>
    </row>
    <row r="774" spans="1:9" ht="15.75" customHeight="1" x14ac:dyDescent="0.25">
      <c r="A774" s="9"/>
      <c r="B774" s="20"/>
      <c r="C774" s="20"/>
      <c r="D774" s="11"/>
      <c r="E774" s="11"/>
      <c r="F774" s="13"/>
      <c r="G774" s="14"/>
      <c r="H774" s="14" t="str">
        <f ca="1">IFERROR(__xludf.DUMMYFUNCTION("IFERROR(
  AVERAGE(
    FILTER(
      $E$2:$E774,
      $A$2:$A774 &gt;= A774 - 30,
      $A$2:$A774 &lt;= A774,
      $E$2:$E774 &gt; 0
    )
  ),
"""")"),"")</f>
        <v/>
      </c>
      <c r="I774" s="14"/>
    </row>
    <row r="775" spans="1:9" ht="15.75" customHeight="1" x14ac:dyDescent="0.25">
      <c r="A775" s="9"/>
      <c r="B775" s="20"/>
      <c r="C775" s="20"/>
      <c r="D775" s="11"/>
      <c r="E775" s="11"/>
      <c r="F775" s="13"/>
      <c r="G775" s="14"/>
      <c r="H775" s="14" t="str">
        <f ca="1">IFERROR(__xludf.DUMMYFUNCTION("IFERROR(
  AVERAGE(
    FILTER(
      $E$2:$E775,
      $A$2:$A775 &gt;= A775 - 30,
      $A$2:$A775 &lt;= A775,
      $E$2:$E775 &gt; 0
    )
  ),
"""")"),"")</f>
        <v/>
      </c>
      <c r="I775" s="14"/>
    </row>
    <row r="776" spans="1:9" ht="15.75" customHeight="1" x14ac:dyDescent="0.25">
      <c r="A776" s="9"/>
      <c r="B776" s="20"/>
      <c r="C776" s="20"/>
      <c r="D776" s="11"/>
      <c r="E776" s="11"/>
      <c r="F776" s="13"/>
      <c r="G776" s="14"/>
      <c r="H776" s="14" t="str">
        <f ca="1">IFERROR(__xludf.DUMMYFUNCTION("IFERROR(
  AVERAGE(
    FILTER(
      $E$2:$E776,
      $A$2:$A776 &gt;= A776 - 30,
      $A$2:$A776 &lt;= A776,
      $E$2:$E776 &gt; 0
    )
  ),
"""")"),"")</f>
        <v/>
      </c>
      <c r="I776" s="14"/>
    </row>
    <row r="777" spans="1:9" ht="15.75" customHeight="1" x14ac:dyDescent="0.25">
      <c r="A777" s="9"/>
      <c r="B777" s="20"/>
      <c r="C777" s="20"/>
      <c r="D777" s="11"/>
      <c r="E777" s="11"/>
      <c r="F777" s="13"/>
      <c r="G777" s="14"/>
      <c r="H777" s="14" t="str">
        <f ca="1">IFERROR(__xludf.DUMMYFUNCTION("IFERROR(
  AVERAGE(
    FILTER(
      $E$2:$E777,
      $A$2:$A777 &gt;= A777 - 30,
      $A$2:$A777 &lt;= A777,
      $E$2:$E777 &gt; 0
    )
  ),
"""")"),"")</f>
        <v/>
      </c>
      <c r="I777" s="14"/>
    </row>
    <row r="778" spans="1:9" ht="15.75" customHeight="1" x14ac:dyDescent="0.25">
      <c r="A778" s="9"/>
      <c r="B778" s="20"/>
      <c r="C778" s="20"/>
      <c r="D778" s="11"/>
      <c r="E778" s="11"/>
      <c r="F778" s="13"/>
      <c r="G778" s="14"/>
      <c r="H778" s="14" t="str">
        <f ca="1">IFERROR(__xludf.DUMMYFUNCTION("IFERROR(
  AVERAGE(
    FILTER(
      $E$2:$E778,
      $A$2:$A778 &gt;= A778 - 30,
      $A$2:$A778 &lt;= A778,
      $E$2:$E778 &gt; 0
    )
  ),
"""")"),"")</f>
        <v/>
      </c>
      <c r="I778" s="14"/>
    </row>
    <row r="779" spans="1:9" ht="15.75" customHeight="1" x14ac:dyDescent="0.25">
      <c r="A779" s="9"/>
      <c r="B779" s="20"/>
      <c r="C779" s="20"/>
      <c r="D779" s="11"/>
      <c r="E779" s="11"/>
      <c r="F779" s="13"/>
      <c r="G779" s="14"/>
      <c r="H779" s="14" t="str">
        <f ca="1">IFERROR(__xludf.DUMMYFUNCTION("IFERROR(
  AVERAGE(
    FILTER(
      $E$2:$E779,
      $A$2:$A779 &gt;= A779 - 30,
      $A$2:$A779 &lt;= A779,
      $E$2:$E779 &gt; 0
    )
  ),
"""")"),"")</f>
        <v/>
      </c>
      <c r="I779" s="14"/>
    </row>
    <row r="780" spans="1:9" ht="15.75" customHeight="1" x14ac:dyDescent="0.25">
      <c r="A780" s="9"/>
      <c r="B780" s="20"/>
      <c r="C780" s="20"/>
      <c r="D780" s="11"/>
      <c r="E780" s="11"/>
      <c r="F780" s="13"/>
      <c r="G780" s="14"/>
      <c r="H780" s="14" t="str">
        <f ca="1">IFERROR(__xludf.DUMMYFUNCTION("IFERROR(
  AVERAGE(
    FILTER(
      $E$2:$E780,
      $A$2:$A780 &gt;= A780 - 30,
      $A$2:$A780 &lt;= A780,
      $E$2:$E780 &gt; 0
    )
  ),
"""")"),"")</f>
        <v/>
      </c>
      <c r="I780" s="14"/>
    </row>
    <row r="781" spans="1:9" ht="15.75" customHeight="1" x14ac:dyDescent="0.25">
      <c r="A781" s="9"/>
      <c r="B781" s="20"/>
      <c r="C781" s="20"/>
      <c r="D781" s="11"/>
      <c r="E781" s="11"/>
      <c r="F781" s="13"/>
      <c r="G781" s="14"/>
      <c r="H781" s="14" t="str">
        <f ca="1">IFERROR(__xludf.DUMMYFUNCTION("IFERROR(
  AVERAGE(
    FILTER(
      $E$2:$E781,
      $A$2:$A781 &gt;= A781 - 30,
      $A$2:$A781 &lt;= A781,
      $E$2:$E781 &gt; 0
    )
  ),
"""")"),"")</f>
        <v/>
      </c>
      <c r="I781" s="14"/>
    </row>
    <row r="782" spans="1:9" ht="15.75" customHeight="1" x14ac:dyDescent="0.25">
      <c r="A782" s="9"/>
      <c r="B782" s="20"/>
      <c r="C782" s="20"/>
      <c r="D782" s="11"/>
      <c r="E782" s="11"/>
      <c r="F782" s="13"/>
      <c r="G782" s="14"/>
      <c r="H782" s="14" t="str">
        <f ca="1">IFERROR(__xludf.DUMMYFUNCTION("IFERROR(
  AVERAGE(
    FILTER(
      $E$2:$E782,
      $A$2:$A782 &gt;= A782 - 30,
      $A$2:$A782 &lt;= A782,
      $E$2:$E782 &gt; 0
    )
  ),
"""")"),"")</f>
        <v/>
      </c>
      <c r="I782" s="14"/>
    </row>
    <row r="783" spans="1:9" ht="15.75" customHeight="1" x14ac:dyDescent="0.25">
      <c r="A783" s="9"/>
      <c r="B783" s="20"/>
      <c r="C783" s="20"/>
      <c r="D783" s="11"/>
      <c r="E783" s="11"/>
      <c r="F783" s="13"/>
      <c r="G783" s="14"/>
      <c r="H783" s="14" t="str">
        <f ca="1">IFERROR(__xludf.DUMMYFUNCTION("IFERROR(
  AVERAGE(
    FILTER(
      $E$2:$E783,
      $A$2:$A783 &gt;= A783 - 30,
      $A$2:$A783 &lt;= A783,
      $E$2:$E783 &gt; 0
    )
  ),
"""")"),"")</f>
        <v/>
      </c>
      <c r="I783" s="14"/>
    </row>
    <row r="784" spans="1:9" ht="15.75" customHeight="1" x14ac:dyDescent="0.25">
      <c r="A784" s="9"/>
      <c r="B784" s="20"/>
      <c r="C784" s="20"/>
      <c r="D784" s="11"/>
      <c r="E784" s="11"/>
      <c r="F784" s="13"/>
      <c r="G784" s="14"/>
      <c r="H784" s="14" t="str">
        <f ca="1">IFERROR(__xludf.DUMMYFUNCTION("IFERROR(
  AVERAGE(
    FILTER(
      $E$2:$E784,
      $A$2:$A784 &gt;= A784 - 30,
      $A$2:$A784 &lt;= A784,
      $E$2:$E784 &gt; 0
    )
  ),
"""")"),"")</f>
        <v/>
      </c>
      <c r="I784" s="14"/>
    </row>
    <row r="785" spans="1:9" ht="15.75" customHeight="1" x14ac:dyDescent="0.25">
      <c r="A785" s="9"/>
      <c r="B785" s="20"/>
      <c r="C785" s="20"/>
      <c r="D785" s="11"/>
      <c r="E785" s="11"/>
      <c r="F785" s="13"/>
      <c r="G785" s="14"/>
      <c r="H785" s="14" t="str">
        <f ca="1">IFERROR(__xludf.DUMMYFUNCTION("IFERROR(
  AVERAGE(
    FILTER(
      $E$2:$E785,
      $A$2:$A785 &gt;= A785 - 30,
      $A$2:$A785 &lt;= A785,
      $E$2:$E785 &gt; 0
    )
  ),
"""")"),"")</f>
        <v/>
      </c>
      <c r="I785" s="14"/>
    </row>
    <row r="786" spans="1:9" ht="15.75" customHeight="1" x14ac:dyDescent="0.25">
      <c r="A786" s="9"/>
      <c r="B786" s="20"/>
      <c r="C786" s="20"/>
      <c r="D786" s="11"/>
      <c r="E786" s="11"/>
      <c r="F786" s="13"/>
      <c r="G786" s="14"/>
      <c r="H786" s="14" t="str">
        <f ca="1">IFERROR(__xludf.DUMMYFUNCTION("IFERROR(
  AVERAGE(
    FILTER(
      $E$2:$E786,
      $A$2:$A786 &gt;= A786 - 30,
      $A$2:$A786 &lt;= A786,
      $E$2:$E786 &gt; 0
    )
  ),
"""")"),"")</f>
        <v/>
      </c>
      <c r="I786" s="14"/>
    </row>
    <row r="787" spans="1:9" ht="15.75" customHeight="1" x14ac:dyDescent="0.25">
      <c r="A787" s="9"/>
      <c r="B787" s="20"/>
      <c r="C787" s="20"/>
      <c r="D787" s="11"/>
      <c r="E787" s="11"/>
      <c r="F787" s="13"/>
      <c r="G787" s="14"/>
      <c r="H787" s="14" t="str">
        <f ca="1">IFERROR(__xludf.DUMMYFUNCTION("IFERROR(
  AVERAGE(
    FILTER(
      $E$2:$E787,
      $A$2:$A787 &gt;= A787 - 30,
      $A$2:$A787 &lt;= A787,
      $E$2:$E787 &gt; 0
    )
  ),
"""")"),"")</f>
        <v/>
      </c>
      <c r="I787" s="14"/>
    </row>
    <row r="788" spans="1:9" ht="15.75" customHeight="1" x14ac:dyDescent="0.25">
      <c r="A788" s="9"/>
      <c r="B788" s="20"/>
      <c r="C788" s="20"/>
      <c r="D788" s="11"/>
      <c r="E788" s="11"/>
      <c r="F788" s="13"/>
      <c r="G788" s="14"/>
      <c r="H788" s="14" t="str">
        <f ca="1">IFERROR(__xludf.DUMMYFUNCTION("IFERROR(
  AVERAGE(
    FILTER(
      $E$2:$E788,
      $A$2:$A788 &gt;= A788 - 30,
      $A$2:$A788 &lt;= A788,
      $E$2:$E788 &gt; 0
    )
  ),
"""")"),"")</f>
        <v/>
      </c>
      <c r="I788" s="14"/>
    </row>
    <row r="789" spans="1:9" ht="15.75" customHeight="1" x14ac:dyDescent="0.25">
      <c r="A789" s="9"/>
      <c r="B789" s="20"/>
      <c r="C789" s="20"/>
      <c r="D789" s="11"/>
      <c r="E789" s="11"/>
      <c r="F789" s="13"/>
      <c r="G789" s="14"/>
      <c r="H789" s="14" t="str">
        <f ca="1">IFERROR(__xludf.DUMMYFUNCTION("IFERROR(
  AVERAGE(
    FILTER(
      $E$2:$E789,
      $A$2:$A789 &gt;= A789 - 30,
      $A$2:$A789 &lt;= A789,
      $E$2:$E789 &gt; 0
    )
  ),
"""")"),"")</f>
        <v/>
      </c>
      <c r="I789" s="14"/>
    </row>
    <row r="790" spans="1:9" ht="15.75" customHeight="1" x14ac:dyDescent="0.25">
      <c r="A790" s="9"/>
      <c r="B790" s="20"/>
      <c r="C790" s="20"/>
      <c r="D790" s="11"/>
      <c r="E790" s="11"/>
      <c r="F790" s="13"/>
      <c r="G790" s="14"/>
      <c r="H790" s="14" t="str">
        <f ca="1">IFERROR(__xludf.DUMMYFUNCTION("IFERROR(
  AVERAGE(
    FILTER(
      $E$2:$E790,
      $A$2:$A790 &gt;= A790 - 30,
      $A$2:$A790 &lt;= A790,
      $E$2:$E790 &gt; 0
    )
  ),
"""")"),"")</f>
        <v/>
      </c>
      <c r="I790" s="14"/>
    </row>
    <row r="791" spans="1:9" ht="15.75" customHeight="1" x14ac:dyDescent="0.25">
      <c r="A791" s="9"/>
      <c r="B791" s="20"/>
      <c r="C791" s="20"/>
      <c r="D791" s="11"/>
      <c r="E791" s="11"/>
      <c r="F791" s="13"/>
      <c r="G791" s="14"/>
      <c r="H791" s="14" t="str">
        <f ca="1">IFERROR(__xludf.DUMMYFUNCTION("IFERROR(
  AVERAGE(
    FILTER(
      $E$2:$E791,
      $A$2:$A791 &gt;= A791 - 30,
      $A$2:$A791 &lt;= A791,
      $E$2:$E791 &gt; 0
    )
  ),
"""")"),"")</f>
        <v/>
      </c>
      <c r="I791" s="14"/>
    </row>
    <row r="792" spans="1:9" ht="15.75" customHeight="1" x14ac:dyDescent="0.25">
      <c r="A792" s="9"/>
      <c r="B792" s="20"/>
      <c r="C792" s="20"/>
      <c r="D792" s="11"/>
      <c r="E792" s="11"/>
      <c r="F792" s="13"/>
      <c r="G792" s="14"/>
      <c r="H792" s="14" t="str">
        <f ca="1">IFERROR(__xludf.DUMMYFUNCTION("IFERROR(
  AVERAGE(
    FILTER(
      $E$2:$E792,
      $A$2:$A792 &gt;= A792 - 30,
      $A$2:$A792 &lt;= A792,
      $E$2:$E792 &gt; 0
    )
  ),
"""")"),"")</f>
        <v/>
      </c>
      <c r="I792" s="14"/>
    </row>
    <row r="793" spans="1:9" ht="15.75" customHeight="1" x14ac:dyDescent="0.25">
      <c r="A793" s="9"/>
      <c r="B793" s="20"/>
      <c r="C793" s="20"/>
      <c r="D793" s="11"/>
      <c r="E793" s="11"/>
      <c r="F793" s="13"/>
      <c r="G793" s="14"/>
      <c r="H793" s="14" t="str">
        <f ca="1">IFERROR(__xludf.DUMMYFUNCTION("IFERROR(
  AVERAGE(
    FILTER(
      $E$2:$E793,
      $A$2:$A793 &gt;= A793 - 30,
      $A$2:$A793 &lt;= A793,
      $E$2:$E793 &gt; 0
    )
  ),
"""")"),"")</f>
        <v/>
      </c>
      <c r="I793" s="14"/>
    </row>
    <row r="794" spans="1:9" ht="15.75" customHeight="1" x14ac:dyDescent="0.25">
      <c r="A794" s="9"/>
      <c r="B794" s="20"/>
      <c r="C794" s="20"/>
      <c r="D794" s="11"/>
      <c r="E794" s="11"/>
      <c r="F794" s="13"/>
      <c r="G794" s="14"/>
      <c r="H794" s="14" t="str">
        <f ca="1">IFERROR(__xludf.DUMMYFUNCTION("IFERROR(
  AVERAGE(
    FILTER(
      $E$2:$E794,
      $A$2:$A794 &gt;= A794 - 30,
      $A$2:$A794 &lt;= A794,
      $E$2:$E794 &gt; 0
    )
  ),
"""")"),"")</f>
        <v/>
      </c>
      <c r="I794" s="14"/>
    </row>
    <row r="795" spans="1:9" ht="15.75" customHeight="1" x14ac:dyDescent="0.25">
      <c r="A795" s="9"/>
      <c r="B795" s="20"/>
      <c r="C795" s="20"/>
      <c r="D795" s="11"/>
      <c r="E795" s="11"/>
      <c r="F795" s="13"/>
      <c r="G795" s="14"/>
      <c r="H795" s="14" t="str">
        <f ca="1">IFERROR(__xludf.DUMMYFUNCTION("IFERROR(
  AVERAGE(
    FILTER(
      $E$2:$E795,
      $A$2:$A795 &gt;= A795 - 30,
      $A$2:$A795 &lt;= A795,
      $E$2:$E795 &gt; 0
    )
  ),
"""")"),"")</f>
        <v/>
      </c>
      <c r="I795" s="14"/>
    </row>
    <row r="796" spans="1:9" ht="15.75" customHeight="1" x14ac:dyDescent="0.25">
      <c r="A796" s="9"/>
      <c r="B796" s="20"/>
      <c r="C796" s="20"/>
      <c r="D796" s="11"/>
      <c r="E796" s="11"/>
      <c r="F796" s="13"/>
      <c r="G796" s="14"/>
      <c r="H796" s="14" t="str">
        <f ca="1">IFERROR(__xludf.DUMMYFUNCTION("IFERROR(
  AVERAGE(
    FILTER(
      $E$2:$E796,
      $A$2:$A796 &gt;= A796 - 30,
      $A$2:$A796 &lt;= A796,
      $E$2:$E796 &gt; 0
    )
  ),
"""")"),"")</f>
        <v/>
      </c>
      <c r="I796" s="14"/>
    </row>
    <row r="797" spans="1:9" ht="15.75" customHeight="1" x14ac:dyDescent="0.25">
      <c r="A797" s="9"/>
      <c r="B797" s="20"/>
      <c r="C797" s="20"/>
      <c r="D797" s="11"/>
      <c r="E797" s="11"/>
      <c r="F797" s="13"/>
      <c r="G797" s="14"/>
      <c r="H797" s="14" t="str">
        <f ca="1">IFERROR(__xludf.DUMMYFUNCTION("IFERROR(
  AVERAGE(
    FILTER(
      $E$2:$E797,
      $A$2:$A797 &gt;= A797 - 30,
      $A$2:$A797 &lt;= A797,
      $E$2:$E797 &gt; 0
    )
  ),
"""")"),"")</f>
        <v/>
      </c>
      <c r="I797" s="14"/>
    </row>
    <row r="798" spans="1:9" ht="15.75" customHeight="1" x14ac:dyDescent="0.25">
      <c r="A798" s="9"/>
      <c r="B798" s="20"/>
      <c r="C798" s="20"/>
      <c r="D798" s="11"/>
      <c r="E798" s="11"/>
      <c r="F798" s="13"/>
      <c r="G798" s="14"/>
      <c r="H798" s="14" t="str">
        <f ca="1">IFERROR(__xludf.DUMMYFUNCTION("IFERROR(
  AVERAGE(
    FILTER(
      $E$2:$E798,
      $A$2:$A798 &gt;= A798 - 30,
      $A$2:$A798 &lt;= A798,
      $E$2:$E798 &gt; 0
    )
  ),
"""")"),"")</f>
        <v/>
      </c>
      <c r="I798" s="14"/>
    </row>
    <row r="799" spans="1:9" ht="15.75" customHeight="1" x14ac:dyDescent="0.25">
      <c r="A799" s="9"/>
      <c r="B799" s="20"/>
      <c r="C799" s="20"/>
      <c r="D799" s="11"/>
      <c r="E799" s="11"/>
      <c r="F799" s="13"/>
      <c r="G799" s="14"/>
      <c r="H799" s="14" t="str">
        <f ca="1">IFERROR(__xludf.DUMMYFUNCTION("IFERROR(
  AVERAGE(
    FILTER(
      $E$2:$E799,
      $A$2:$A799 &gt;= A799 - 30,
      $A$2:$A799 &lt;= A799,
      $E$2:$E799 &gt; 0
    )
  ),
"""")"),"")</f>
        <v/>
      </c>
      <c r="I799" s="14"/>
    </row>
    <row r="800" spans="1:9" ht="15.75" customHeight="1" x14ac:dyDescent="0.25">
      <c r="A800" s="9"/>
      <c r="B800" s="20"/>
      <c r="C800" s="20"/>
      <c r="D800" s="11"/>
      <c r="E800" s="11"/>
      <c r="F800" s="13"/>
      <c r="G800" s="14"/>
      <c r="H800" s="14" t="str">
        <f ca="1">IFERROR(__xludf.DUMMYFUNCTION("IFERROR(
  AVERAGE(
    FILTER(
      $E$2:$E800,
      $A$2:$A800 &gt;= A800 - 30,
      $A$2:$A800 &lt;= A800,
      $E$2:$E800 &gt; 0
    )
  ),
"""")"),"")</f>
        <v/>
      </c>
      <c r="I800" s="14"/>
    </row>
    <row r="801" spans="1:9" ht="15.75" customHeight="1" x14ac:dyDescent="0.25">
      <c r="A801" s="9"/>
      <c r="B801" s="20"/>
      <c r="C801" s="20"/>
      <c r="D801" s="11"/>
      <c r="E801" s="11"/>
      <c r="F801" s="13"/>
      <c r="G801" s="14"/>
      <c r="H801" s="14" t="str">
        <f ca="1">IFERROR(__xludf.DUMMYFUNCTION("IFERROR(
  AVERAGE(
    FILTER(
      $E$2:$E801,
      $A$2:$A801 &gt;= A801 - 30,
      $A$2:$A801 &lt;= A801,
      $E$2:$E801 &gt; 0
    )
  ),
"""")"),"")</f>
        <v/>
      </c>
      <c r="I801" s="14"/>
    </row>
    <row r="802" spans="1:9" ht="15.75" customHeight="1" x14ac:dyDescent="0.25">
      <c r="A802" s="9"/>
      <c r="B802" s="20"/>
      <c r="C802" s="20"/>
      <c r="D802" s="11"/>
      <c r="E802" s="11"/>
      <c r="F802" s="13"/>
      <c r="G802" s="14"/>
      <c r="H802" s="14" t="str">
        <f ca="1">IFERROR(__xludf.DUMMYFUNCTION("IFERROR(
  AVERAGE(
    FILTER(
      $E$2:$E802,
      $A$2:$A802 &gt;= A802 - 30,
      $A$2:$A802 &lt;= A802,
      $E$2:$E802 &gt; 0
    )
  ),
"""")"),"")</f>
        <v/>
      </c>
      <c r="I802" s="14"/>
    </row>
    <row r="803" spans="1:9" ht="15.75" customHeight="1" x14ac:dyDescent="0.25">
      <c r="A803" s="9"/>
      <c r="B803" s="20"/>
      <c r="C803" s="20"/>
      <c r="D803" s="11"/>
      <c r="E803" s="11"/>
      <c r="F803" s="13"/>
      <c r="G803" s="14"/>
      <c r="H803" s="14" t="str">
        <f ca="1">IFERROR(__xludf.DUMMYFUNCTION("IFERROR(
  AVERAGE(
    FILTER(
      $E$2:$E803,
      $A$2:$A803 &gt;= A803 - 30,
      $A$2:$A803 &lt;= A803,
      $E$2:$E803 &gt; 0
    )
  ),
"""")"),"")</f>
        <v/>
      </c>
      <c r="I803" s="14"/>
    </row>
    <row r="804" spans="1:9" ht="15.75" customHeight="1" x14ac:dyDescent="0.25">
      <c r="A804" s="9"/>
      <c r="B804" s="20"/>
      <c r="C804" s="20"/>
      <c r="D804" s="11"/>
      <c r="E804" s="11"/>
      <c r="F804" s="13"/>
      <c r="G804" s="14"/>
      <c r="H804" s="14" t="str">
        <f ca="1">IFERROR(__xludf.DUMMYFUNCTION("IFERROR(
  AVERAGE(
    FILTER(
      $E$2:$E804,
      $A$2:$A804 &gt;= A804 - 30,
      $A$2:$A804 &lt;= A804,
      $E$2:$E804 &gt; 0
    )
  ),
"""")"),"")</f>
        <v/>
      </c>
      <c r="I804" s="14"/>
    </row>
    <row r="805" spans="1:9" ht="15.75" customHeight="1" x14ac:dyDescent="0.25">
      <c r="A805" s="9"/>
      <c r="B805" s="20"/>
      <c r="C805" s="20"/>
      <c r="D805" s="11"/>
      <c r="E805" s="11"/>
      <c r="F805" s="13"/>
      <c r="G805" s="14"/>
      <c r="H805" s="14" t="str">
        <f ca="1">IFERROR(__xludf.DUMMYFUNCTION("IFERROR(
  AVERAGE(
    FILTER(
      $E$2:$E805,
      $A$2:$A805 &gt;= A805 - 30,
      $A$2:$A805 &lt;= A805,
      $E$2:$E805 &gt; 0
    )
  ),
"""")"),"")</f>
        <v/>
      </c>
      <c r="I805" s="14"/>
    </row>
    <row r="806" spans="1:9" ht="15.75" customHeight="1" x14ac:dyDescent="0.25">
      <c r="A806" s="9"/>
      <c r="B806" s="20"/>
      <c r="C806" s="20"/>
      <c r="D806" s="11"/>
      <c r="E806" s="11"/>
      <c r="F806" s="13"/>
      <c r="G806" s="14"/>
      <c r="H806" s="14" t="str">
        <f ca="1">IFERROR(__xludf.DUMMYFUNCTION("IFERROR(
  AVERAGE(
    FILTER(
      $E$2:$E806,
      $A$2:$A806 &gt;= A806 - 30,
      $A$2:$A806 &lt;= A806,
      $E$2:$E806 &gt; 0
    )
  ),
"""")"),"")</f>
        <v/>
      </c>
      <c r="I806" s="14"/>
    </row>
    <row r="807" spans="1:9" ht="15.75" customHeight="1" x14ac:dyDescent="0.25">
      <c r="A807" s="9"/>
      <c r="B807" s="20"/>
      <c r="C807" s="20"/>
      <c r="D807" s="11"/>
      <c r="E807" s="11"/>
      <c r="F807" s="13"/>
      <c r="G807" s="14"/>
      <c r="H807" s="14" t="str">
        <f ca="1">IFERROR(__xludf.DUMMYFUNCTION("IFERROR(
  AVERAGE(
    FILTER(
      $E$2:$E807,
      $A$2:$A807 &gt;= A807 - 30,
      $A$2:$A807 &lt;= A807,
      $E$2:$E807 &gt; 0
    )
  ),
"""")"),"")</f>
        <v/>
      </c>
      <c r="I807" s="14"/>
    </row>
    <row r="808" spans="1:9" ht="15.75" customHeight="1" x14ac:dyDescent="0.25">
      <c r="A808" s="9"/>
      <c r="B808" s="20"/>
      <c r="C808" s="20"/>
      <c r="D808" s="11"/>
      <c r="E808" s="11"/>
      <c r="F808" s="13"/>
      <c r="G808" s="14"/>
      <c r="H808" s="14" t="str">
        <f ca="1">IFERROR(__xludf.DUMMYFUNCTION("IFERROR(
  AVERAGE(
    FILTER(
      $E$2:$E808,
      $A$2:$A808 &gt;= A808 - 30,
      $A$2:$A808 &lt;= A808,
      $E$2:$E808 &gt; 0
    )
  ),
"""")"),"")</f>
        <v/>
      </c>
      <c r="I808" s="14"/>
    </row>
    <row r="809" spans="1:9" ht="15.75" customHeight="1" x14ac:dyDescent="0.25">
      <c r="A809" s="9"/>
      <c r="B809" s="20"/>
      <c r="C809" s="20"/>
      <c r="D809" s="11"/>
      <c r="E809" s="11"/>
      <c r="F809" s="13"/>
      <c r="G809" s="14"/>
      <c r="H809" s="14" t="str">
        <f ca="1">IFERROR(__xludf.DUMMYFUNCTION("IFERROR(
  AVERAGE(
    FILTER(
      $E$2:$E809,
      $A$2:$A809 &gt;= A809 - 30,
      $A$2:$A809 &lt;= A809,
      $E$2:$E809 &gt; 0
    )
  ),
"""")"),"")</f>
        <v/>
      </c>
      <c r="I809" s="14"/>
    </row>
    <row r="810" spans="1:9" ht="15.75" customHeight="1" x14ac:dyDescent="0.25">
      <c r="A810" s="9"/>
      <c r="B810" s="20"/>
      <c r="C810" s="20"/>
      <c r="D810" s="11"/>
      <c r="E810" s="11"/>
      <c r="F810" s="13"/>
      <c r="G810" s="14"/>
      <c r="H810" s="14" t="str">
        <f ca="1">IFERROR(__xludf.DUMMYFUNCTION("IFERROR(
  AVERAGE(
    FILTER(
      $E$2:$E810,
      $A$2:$A810 &gt;= A810 - 30,
      $A$2:$A810 &lt;= A810,
      $E$2:$E810 &gt; 0
    )
  ),
"""")"),"")</f>
        <v/>
      </c>
      <c r="I810" s="14"/>
    </row>
    <row r="811" spans="1:9" ht="15.75" customHeight="1" x14ac:dyDescent="0.25">
      <c r="A811" s="9"/>
      <c r="B811" s="20"/>
      <c r="C811" s="20"/>
      <c r="D811" s="11"/>
      <c r="E811" s="11"/>
      <c r="F811" s="13"/>
      <c r="G811" s="14"/>
      <c r="H811" s="14" t="str">
        <f ca="1">IFERROR(__xludf.DUMMYFUNCTION("IFERROR(
  AVERAGE(
    FILTER(
      $E$2:$E811,
      $A$2:$A811 &gt;= A811 - 30,
      $A$2:$A811 &lt;= A811,
      $E$2:$E811 &gt; 0
    )
  ),
"""")"),"")</f>
        <v/>
      </c>
      <c r="I811" s="14"/>
    </row>
    <row r="812" spans="1:9" ht="15.75" customHeight="1" x14ac:dyDescent="0.25">
      <c r="A812" s="9"/>
      <c r="B812" s="20"/>
      <c r="C812" s="20"/>
      <c r="D812" s="11"/>
      <c r="E812" s="11"/>
      <c r="F812" s="13"/>
      <c r="G812" s="14"/>
      <c r="H812" s="14" t="str">
        <f ca="1">IFERROR(__xludf.DUMMYFUNCTION("IFERROR(
  AVERAGE(
    FILTER(
      $E$2:$E812,
      $A$2:$A812 &gt;= A812 - 30,
      $A$2:$A812 &lt;= A812,
      $E$2:$E812 &gt; 0
    )
  ),
"""")"),"")</f>
        <v/>
      </c>
      <c r="I812" s="14"/>
    </row>
    <row r="813" spans="1:9" ht="15.75" customHeight="1" x14ac:dyDescent="0.25">
      <c r="A813" s="9"/>
      <c r="B813" s="20"/>
      <c r="C813" s="20"/>
      <c r="D813" s="11"/>
      <c r="E813" s="11"/>
      <c r="F813" s="13"/>
      <c r="G813" s="14"/>
      <c r="H813" s="14" t="str">
        <f ca="1">IFERROR(__xludf.DUMMYFUNCTION("IFERROR(
  AVERAGE(
    FILTER(
      $E$2:$E813,
      $A$2:$A813 &gt;= A813 - 30,
      $A$2:$A813 &lt;= A813,
      $E$2:$E813 &gt; 0
    )
  ),
"""")"),"")</f>
        <v/>
      </c>
      <c r="I813" s="14"/>
    </row>
    <row r="814" spans="1:9" ht="15.75" customHeight="1" x14ac:dyDescent="0.25">
      <c r="A814" s="9"/>
      <c r="B814" s="20"/>
      <c r="C814" s="20"/>
      <c r="D814" s="11"/>
      <c r="E814" s="11"/>
      <c r="F814" s="13"/>
      <c r="G814" s="14"/>
      <c r="H814" s="14" t="str">
        <f ca="1">IFERROR(__xludf.DUMMYFUNCTION("IFERROR(
  AVERAGE(
    FILTER(
      $E$2:$E814,
      $A$2:$A814 &gt;= A814 - 30,
      $A$2:$A814 &lt;= A814,
      $E$2:$E814 &gt; 0
    )
  ),
"""")"),"")</f>
        <v/>
      </c>
      <c r="I814" s="14"/>
    </row>
    <row r="815" spans="1:9" ht="15.75" customHeight="1" x14ac:dyDescent="0.25">
      <c r="A815" s="9"/>
      <c r="B815" s="20"/>
      <c r="C815" s="20"/>
      <c r="D815" s="11"/>
      <c r="E815" s="11"/>
      <c r="F815" s="13"/>
      <c r="G815" s="14"/>
      <c r="H815" s="14" t="str">
        <f ca="1">IFERROR(__xludf.DUMMYFUNCTION("IFERROR(
  AVERAGE(
    FILTER(
      $E$2:$E815,
      $A$2:$A815 &gt;= A815 - 30,
      $A$2:$A815 &lt;= A815,
      $E$2:$E815 &gt; 0
    )
  ),
"""")"),"")</f>
        <v/>
      </c>
      <c r="I815" s="14"/>
    </row>
    <row r="816" spans="1:9" ht="15.75" customHeight="1" x14ac:dyDescent="0.25">
      <c r="A816" s="9"/>
      <c r="B816" s="20"/>
      <c r="C816" s="20"/>
      <c r="D816" s="11"/>
      <c r="E816" s="11"/>
      <c r="F816" s="13"/>
      <c r="G816" s="14"/>
      <c r="H816" s="14" t="str">
        <f ca="1">IFERROR(__xludf.DUMMYFUNCTION("IFERROR(
  AVERAGE(
    FILTER(
      $E$2:$E816,
      $A$2:$A816 &gt;= A816 - 30,
      $A$2:$A816 &lt;= A816,
      $E$2:$E816 &gt; 0
    )
  ),
"""")"),"")</f>
        <v/>
      </c>
      <c r="I816" s="14"/>
    </row>
    <row r="817" spans="1:9" ht="15.75" customHeight="1" x14ac:dyDescent="0.25">
      <c r="A817" s="9"/>
      <c r="B817" s="20"/>
      <c r="C817" s="20"/>
      <c r="D817" s="11"/>
      <c r="E817" s="11"/>
      <c r="F817" s="13"/>
      <c r="G817" s="14"/>
      <c r="H817" s="14" t="str">
        <f ca="1">IFERROR(__xludf.DUMMYFUNCTION("IFERROR(
  AVERAGE(
    FILTER(
      $E$2:$E817,
      $A$2:$A817 &gt;= A817 - 30,
      $A$2:$A817 &lt;= A817,
      $E$2:$E817 &gt; 0
    )
  ),
"""")"),"")</f>
        <v/>
      </c>
      <c r="I817" s="14"/>
    </row>
    <row r="818" spans="1:9" ht="15.75" customHeight="1" x14ac:dyDescent="0.25">
      <c r="A818" s="9"/>
      <c r="B818" s="20"/>
      <c r="C818" s="20"/>
      <c r="D818" s="11"/>
      <c r="E818" s="11"/>
      <c r="F818" s="13"/>
      <c r="G818" s="14"/>
      <c r="H818" s="14" t="str">
        <f ca="1">IFERROR(__xludf.DUMMYFUNCTION("IFERROR(
  AVERAGE(
    FILTER(
      $E$2:$E818,
      $A$2:$A818 &gt;= A818 - 30,
      $A$2:$A818 &lt;= A818,
      $E$2:$E818 &gt; 0
    )
  ),
"""")"),"")</f>
        <v/>
      </c>
      <c r="I818" s="14"/>
    </row>
    <row r="819" spans="1:9" ht="15.75" customHeight="1" x14ac:dyDescent="0.25">
      <c r="A819" s="9"/>
      <c r="B819" s="20"/>
      <c r="C819" s="20"/>
      <c r="D819" s="11"/>
      <c r="E819" s="11"/>
      <c r="F819" s="13"/>
      <c r="G819" s="14"/>
      <c r="H819" s="14" t="str">
        <f ca="1">IFERROR(__xludf.DUMMYFUNCTION("IFERROR(
  AVERAGE(
    FILTER(
      $E$2:$E819,
      $A$2:$A819 &gt;= A819 - 30,
      $A$2:$A819 &lt;= A819,
      $E$2:$E819 &gt; 0
    )
  ),
"""")"),"")</f>
        <v/>
      </c>
      <c r="I819" s="14"/>
    </row>
    <row r="820" spans="1:9" ht="15.75" customHeight="1" x14ac:dyDescent="0.25">
      <c r="A820" s="9"/>
      <c r="B820" s="20"/>
      <c r="C820" s="20"/>
      <c r="D820" s="11"/>
      <c r="E820" s="11"/>
      <c r="F820" s="13"/>
      <c r="G820" s="14"/>
      <c r="H820" s="14" t="str">
        <f ca="1">IFERROR(__xludf.DUMMYFUNCTION("IFERROR(
  AVERAGE(
    FILTER(
      $E$2:$E820,
      $A$2:$A820 &gt;= A820 - 30,
      $A$2:$A820 &lt;= A820,
      $E$2:$E820 &gt; 0
    )
  ),
"""")"),"")</f>
        <v/>
      </c>
      <c r="I820" s="14"/>
    </row>
    <row r="821" spans="1:9" ht="15.75" customHeight="1" x14ac:dyDescent="0.25">
      <c r="A821" s="9"/>
      <c r="B821" s="20"/>
      <c r="C821" s="20"/>
      <c r="D821" s="11"/>
      <c r="E821" s="11"/>
      <c r="F821" s="13"/>
      <c r="G821" s="14"/>
      <c r="H821" s="14" t="str">
        <f ca="1">IFERROR(__xludf.DUMMYFUNCTION("IFERROR(
  AVERAGE(
    FILTER(
      $E$2:$E821,
      $A$2:$A821 &gt;= A821 - 30,
      $A$2:$A821 &lt;= A821,
      $E$2:$E821 &gt; 0
    )
  ),
"""")"),"")</f>
        <v/>
      </c>
      <c r="I821" s="14"/>
    </row>
    <row r="822" spans="1:9" ht="15.75" customHeight="1" x14ac:dyDescent="0.25">
      <c r="A822" s="9"/>
      <c r="B822" s="20"/>
      <c r="C822" s="20"/>
      <c r="D822" s="11"/>
      <c r="E822" s="11"/>
      <c r="F822" s="13"/>
      <c r="G822" s="14"/>
      <c r="H822" s="14" t="str">
        <f ca="1">IFERROR(__xludf.DUMMYFUNCTION("IFERROR(
  AVERAGE(
    FILTER(
      $E$2:$E822,
      $A$2:$A822 &gt;= A822 - 30,
      $A$2:$A822 &lt;= A822,
      $E$2:$E822 &gt; 0
    )
  ),
"""")"),"")</f>
        <v/>
      </c>
      <c r="I822" s="14"/>
    </row>
    <row r="823" spans="1:9" ht="15.75" customHeight="1" x14ac:dyDescent="0.25">
      <c r="A823" s="9"/>
      <c r="B823" s="20"/>
      <c r="C823" s="20"/>
      <c r="D823" s="11"/>
      <c r="E823" s="11"/>
      <c r="F823" s="13"/>
      <c r="G823" s="14"/>
      <c r="H823" s="14" t="str">
        <f ca="1">IFERROR(__xludf.DUMMYFUNCTION("IFERROR(
  AVERAGE(
    FILTER(
      $E$2:$E823,
      $A$2:$A823 &gt;= A823 - 30,
      $A$2:$A823 &lt;= A823,
      $E$2:$E823 &gt; 0
    )
  ),
"""")"),"")</f>
        <v/>
      </c>
      <c r="I823" s="14"/>
    </row>
    <row r="824" spans="1:9" ht="15.75" customHeight="1" x14ac:dyDescent="0.25">
      <c r="A824" s="9"/>
      <c r="B824" s="20"/>
      <c r="C824" s="20"/>
      <c r="D824" s="11"/>
      <c r="E824" s="11"/>
      <c r="F824" s="13"/>
      <c r="G824" s="14"/>
      <c r="H824" s="14" t="str">
        <f ca="1">IFERROR(__xludf.DUMMYFUNCTION("IFERROR(
  AVERAGE(
    FILTER(
      $E$2:$E824,
      $A$2:$A824 &gt;= A824 - 30,
      $A$2:$A824 &lt;= A824,
      $E$2:$E824 &gt; 0
    )
  ),
"""")"),"")</f>
        <v/>
      </c>
      <c r="I824" s="14"/>
    </row>
    <row r="825" spans="1:9" ht="15.75" customHeight="1" x14ac:dyDescent="0.25">
      <c r="A825" s="9"/>
      <c r="B825" s="20"/>
      <c r="C825" s="20"/>
      <c r="D825" s="11"/>
      <c r="E825" s="11"/>
      <c r="F825" s="13"/>
      <c r="G825" s="14"/>
      <c r="H825" s="14" t="str">
        <f ca="1">IFERROR(__xludf.DUMMYFUNCTION("IFERROR(
  AVERAGE(
    FILTER(
      $E$2:$E825,
      $A$2:$A825 &gt;= A825 - 30,
      $A$2:$A825 &lt;= A825,
      $E$2:$E825 &gt; 0
    )
  ),
"""")"),"")</f>
        <v/>
      </c>
      <c r="I825" s="14"/>
    </row>
    <row r="826" spans="1:9" ht="15.75" customHeight="1" x14ac:dyDescent="0.25">
      <c r="A826" s="9"/>
      <c r="B826" s="20"/>
      <c r="C826" s="20"/>
      <c r="D826" s="11"/>
      <c r="E826" s="11"/>
      <c r="F826" s="13"/>
      <c r="G826" s="14"/>
      <c r="H826" s="14" t="str">
        <f ca="1">IFERROR(__xludf.DUMMYFUNCTION("IFERROR(
  AVERAGE(
    FILTER(
      $E$2:$E826,
      $A$2:$A826 &gt;= A826 - 30,
      $A$2:$A826 &lt;= A826,
      $E$2:$E826 &gt; 0
    )
  ),
"""")"),"")</f>
        <v/>
      </c>
      <c r="I826" s="14"/>
    </row>
    <row r="827" spans="1:9" ht="15.75" customHeight="1" x14ac:dyDescent="0.25">
      <c r="A827" s="9"/>
      <c r="B827" s="20"/>
      <c r="C827" s="20"/>
      <c r="D827" s="11"/>
      <c r="E827" s="11"/>
      <c r="F827" s="13"/>
      <c r="G827" s="14"/>
      <c r="H827" s="14" t="str">
        <f ca="1">IFERROR(__xludf.DUMMYFUNCTION("IFERROR(
  AVERAGE(
    FILTER(
      $E$2:$E827,
      $A$2:$A827 &gt;= A827 - 30,
      $A$2:$A827 &lt;= A827,
      $E$2:$E827 &gt; 0
    )
  ),
"""")"),"")</f>
        <v/>
      </c>
      <c r="I827" s="14"/>
    </row>
    <row r="828" spans="1:9" ht="15.75" customHeight="1" x14ac:dyDescent="0.25">
      <c r="A828" s="9"/>
      <c r="B828" s="20"/>
      <c r="C828" s="20"/>
      <c r="D828" s="11"/>
      <c r="E828" s="11"/>
      <c r="F828" s="13"/>
      <c r="G828" s="14"/>
      <c r="H828" s="14" t="str">
        <f ca="1">IFERROR(__xludf.DUMMYFUNCTION("IFERROR(
  AVERAGE(
    FILTER(
      $E$2:$E828,
      $A$2:$A828 &gt;= A828 - 30,
      $A$2:$A828 &lt;= A828,
      $E$2:$E828 &gt; 0
    )
  ),
"""")"),"")</f>
        <v/>
      </c>
      <c r="I828" s="14"/>
    </row>
    <row r="829" spans="1:9" ht="15.75" customHeight="1" x14ac:dyDescent="0.25">
      <c r="A829" s="9"/>
      <c r="B829" s="20"/>
      <c r="C829" s="20"/>
      <c r="D829" s="11"/>
      <c r="E829" s="11"/>
      <c r="F829" s="13"/>
      <c r="G829" s="14"/>
      <c r="H829" s="14" t="str">
        <f ca="1">IFERROR(__xludf.DUMMYFUNCTION("IFERROR(
  AVERAGE(
    FILTER(
      $E$2:$E829,
      $A$2:$A829 &gt;= A829 - 30,
      $A$2:$A829 &lt;= A829,
      $E$2:$E829 &gt; 0
    )
  ),
"""")"),"")</f>
        <v/>
      </c>
      <c r="I829" s="14"/>
    </row>
    <row r="830" spans="1:9" ht="15.75" customHeight="1" x14ac:dyDescent="0.25">
      <c r="A830" s="9"/>
      <c r="B830" s="20"/>
      <c r="C830" s="20"/>
      <c r="D830" s="11"/>
      <c r="E830" s="11"/>
      <c r="F830" s="13"/>
      <c r="G830" s="14"/>
      <c r="H830" s="14" t="str">
        <f ca="1">IFERROR(__xludf.DUMMYFUNCTION("IFERROR(
  AVERAGE(
    FILTER(
      $E$2:$E830,
      $A$2:$A830 &gt;= A830 - 30,
      $A$2:$A830 &lt;= A830,
      $E$2:$E830 &gt; 0
    )
  ),
"""")"),"")</f>
        <v/>
      </c>
      <c r="I830" s="14"/>
    </row>
    <row r="831" spans="1:9" ht="15.75" customHeight="1" x14ac:dyDescent="0.25">
      <c r="A831" s="9"/>
      <c r="B831" s="20"/>
      <c r="C831" s="20"/>
      <c r="D831" s="11"/>
      <c r="E831" s="11"/>
      <c r="F831" s="13"/>
      <c r="G831" s="14"/>
      <c r="H831" s="14" t="str">
        <f ca="1">IFERROR(__xludf.DUMMYFUNCTION("IFERROR(
  AVERAGE(
    FILTER(
      $E$2:$E831,
      $A$2:$A831 &gt;= A831 - 30,
      $A$2:$A831 &lt;= A831,
      $E$2:$E831 &gt; 0
    )
  ),
"""")"),"")</f>
        <v/>
      </c>
      <c r="I831" s="14"/>
    </row>
    <row r="832" spans="1:9" ht="15.75" customHeight="1" x14ac:dyDescent="0.25">
      <c r="A832" s="9"/>
      <c r="B832" s="20"/>
      <c r="C832" s="20"/>
      <c r="D832" s="11"/>
      <c r="E832" s="11"/>
      <c r="F832" s="13"/>
      <c r="G832" s="14"/>
      <c r="H832" s="14" t="str">
        <f ca="1">IFERROR(__xludf.DUMMYFUNCTION("IFERROR(
  AVERAGE(
    FILTER(
      $E$2:$E832,
      $A$2:$A832 &gt;= A832 - 30,
      $A$2:$A832 &lt;= A832,
      $E$2:$E832 &gt; 0
    )
  ),
"""")"),"")</f>
        <v/>
      </c>
      <c r="I832" s="14"/>
    </row>
    <row r="833" spans="1:9" ht="15.75" customHeight="1" x14ac:dyDescent="0.25">
      <c r="A833" s="9"/>
      <c r="B833" s="20"/>
      <c r="C833" s="20"/>
      <c r="D833" s="11"/>
      <c r="E833" s="11"/>
      <c r="F833" s="13"/>
      <c r="G833" s="14"/>
      <c r="H833" s="14" t="str">
        <f ca="1">IFERROR(__xludf.DUMMYFUNCTION("IFERROR(
  AVERAGE(
    FILTER(
      $E$2:$E833,
      $A$2:$A833 &gt;= A833 - 30,
      $A$2:$A833 &lt;= A833,
      $E$2:$E833 &gt; 0
    )
  ),
"""")"),"")</f>
        <v/>
      </c>
      <c r="I833" s="14"/>
    </row>
    <row r="834" spans="1:9" ht="15.75" customHeight="1" x14ac:dyDescent="0.25">
      <c r="A834" s="9"/>
      <c r="B834" s="20"/>
      <c r="C834" s="20"/>
      <c r="D834" s="11"/>
      <c r="E834" s="11"/>
      <c r="F834" s="13"/>
      <c r="G834" s="14"/>
      <c r="H834" s="14" t="str">
        <f ca="1">IFERROR(__xludf.DUMMYFUNCTION("IFERROR(
  AVERAGE(
    FILTER(
      $E$2:$E834,
      $A$2:$A834 &gt;= A834 - 30,
      $A$2:$A834 &lt;= A834,
      $E$2:$E834 &gt; 0
    )
  ),
"""")"),"")</f>
        <v/>
      </c>
      <c r="I834" s="14"/>
    </row>
    <row r="835" spans="1:9" ht="15.75" customHeight="1" x14ac:dyDescent="0.25">
      <c r="A835" s="9"/>
      <c r="B835" s="20"/>
      <c r="C835" s="20"/>
      <c r="D835" s="11"/>
      <c r="E835" s="11"/>
      <c r="F835" s="13"/>
      <c r="G835" s="14"/>
      <c r="H835" s="14" t="str">
        <f ca="1">IFERROR(__xludf.DUMMYFUNCTION("IFERROR(
  AVERAGE(
    FILTER(
      $E$2:$E835,
      $A$2:$A835 &gt;= A835 - 30,
      $A$2:$A835 &lt;= A835,
      $E$2:$E835 &gt; 0
    )
  ),
"""")"),"")</f>
        <v/>
      </c>
      <c r="I835" s="14"/>
    </row>
    <row r="836" spans="1:9" ht="15.75" customHeight="1" x14ac:dyDescent="0.25">
      <c r="A836" s="9"/>
      <c r="B836" s="20"/>
      <c r="C836" s="20"/>
      <c r="D836" s="11"/>
      <c r="E836" s="11"/>
      <c r="F836" s="13"/>
      <c r="G836" s="14"/>
      <c r="H836" s="14" t="str">
        <f ca="1">IFERROR(__xludf.DUMMYFUNCTION("IFERROR(
  AVERAGE(
    FILTER(
      $E$2:$E836,
      $A$2:$A836 &gt;= A836 - 30,
      $A$2:$A836 &lt;= A836,
      $E$2:$E836 &gt; 0
    )
  ),
"""")"),"")</f>
        <v/>
      </c>
      <c r="I836" s="14"/>
    </row>
    <row r="837" spans="1:9" ht="15.75" customHeight="1" x14ac:dyDescent="0.25">
      <c r="A837" s="9"/>
      <c r="B837" s="20"/>
      <c r="C837" s="20"/>
      <c r="D837" s="11"/>
      <c r="E837" s="11"/>
      <c r="F837" s="13"/>
      <c r="G837" s="14"/>
      <c r="H837" s="14" t="str">
        <f ca="1">IFERROR(__xludf.DUMMYFUNCTION("IFERROR(
  AVERAGE(
    FILTER(
      $E$2:$E837,
      $A$2:$A837 &gt;= A837 - 30,
      $A$2:$A837 &lt;= A837,
      $E$2:$E837 &gt; 0
    )
  ),
"""")"),"")</f>
        <v/>
      </c>
      <c r="I837" s="14"/>
    </row>
    <row r="838" spans="1:9" ht="15.75" customHeight="1" x14ac:dyDescent="0.25">
      <c r="A838" s="9"/>
      <c r="B838" s="20"/>
      <c r="C838" s="20"/>
      <c r="D838" s="11"/>
      <c r="E838" s="11"/>
      <c r="F838" s="13"/>
      <c r="G838" s="14"/>
      <c r="H838" s="14" t="str">
        <f ca="1">IFERROR(__xludf.DUMMYFUNCTION("IFERROR(
  AVERAGE(
    FILTER(
      $E$2:$E838,
      $A$2:$A838 &gt;= A838 - 30,
      $A$2:$A838 &lt;= A838,
      $E$2:$E838 &gt; 0
    )
  ),
"""")"),"")</f>
        <v/>
      </c>
      <c r="I838" s="14"/>
    </row>
    <row r="839" spans="1:9" ht="15.75" customHeight="1" x14ac:dyDescent="0.25">
      <c r="A839" s="9"/>
      <c r="B839" s="20"/>
      <c r="C839" s="20"/>
      <c r="D839" s="11"/>
      <c r="E839" s="11"/>
      <c r="F839" s="13"/>
      <c r="G839" s="14"/>
      <c r="H839" s="14" t="str">
        <f ca="1">IFERROR(__xludf.DUMMYFUNCTION("IFERROR(
  AVERAGE(
    FILTER(
      $E$2:$E839,
      $A$2:$A839 &gt;= A839 - 30,
      $A$2:$A839 &lt;= A839,
      $E$2:$E839 &gt; 0
    )
  ),
"""")"),"")</f>
        <v/>
      </c>
      <c r="I839" s="14"/>
    </row>
    <row r="840" spans="1:9" ht="15.75" customHeight="1" x14ac:dyDescent="0.25">
      <c r="A840" s="9"/>
      <c r="B840" s="20"/>
      <c r="C840" s="20"/>
      <c r="D840" s="11"/>
      <c r="E840" s="11"/>
      <c r="F840" s="13"/>
      <c r="G840" s="14"/>
      <c r="H840" s="14" t="str">
        <f ca="1">IFERROR(__xludf.DUMMYFUNCTION("IFERROR(
  AVERAGE(
    FILTER(
      $E$2:$E840,
      $A$2:$A840 &gt;= A840 - 30,
      $A$2:$A840 &lt;= A840,
      $E$2:$E840 &gt; 0
    )
  ),
"""")"),"")</f>
        <v/>
      </c>
      <c r="I840" s="14"/>
    </row>
    <row r="841" spans="1:9" ht="15.75" customHeight="1" x14ac:dyDescent="0.25">
      <c r="A841" s="9"/>
      <c r="B841" s="20"/>
      <c r="C841" s="20"/>
      <c r="D841" s="11"/>
      <c r="E841" s="11"/>
      <c r="F841" s="13"/>
      <c r="G841" s="14"/>
      <c r="H841" s="14" t="str">
        <f ca="1">IFERROR(__xludf.DUMMYFUNCTION("IFERROR(
  AVERAGE(
    FILTER(
      $E$2:$E841,
      $A$2:$A841 &gt;= A841 - 30,
      $A$2:$A841 &lt;= A841,
      $E$2:$E841 &gt; 0
    )
  ),
"""")"),"")</f>
        <v/>
      </c>
      <c r="I841" s="14"/>
    </row>
    <row r="842" spans="1:9" ht="15.75" customHeight="1" x14ac:dyDescent="0.25">
      <c r="A842" s="9"/>
      <c r="B842" s="20"/>
      <c r="C842" s="20"/>
      <c r="D842" s="11"/>
      <c r="E842" s="11"/>
      <c r="F842" s="13"/>
      <c r="G842" s="14"/>
      <c r="H842" s="14" t="str">
        <f ca="1">IFERROR(__xludf.DUMMYFUNCTION("IFERROR(
  AVERAGE(
    FILTER(
      $E$2:$E842,
      $A$2:$A842 &gt;= A842 - 30,
      $A$2:$A842 &lt;= A842,
      $E$2:$E842 &gt; 0
    )
  ),
"""")"),"")</f>
        <v/>
      </c>
      <c r="I842" s="14"/>
    </row>
    <row r="843" spans="1:9" ht="15.75" customHeight="1" x14ac:dyDescent="0.25">
      <c r="A843" s="9"/>
      <c r="B843" s="20"/>
      <c r="C843" s="20"/>
      <c r="D843" s="11"/>
      <c r="E843" s="11"/>
      <c r="F843" s="13"/>
      <c r="G843" s="14"/>
      <c r="H843" s="14" t="str">
        <f ca="1">IFERROR(__xludf.DUMMYFUNCTION("IFERROR(
  AVERAGE(
    FILTER(
      $E$2:$E843,
      $A$2:$A843 &gt;= A843 - 30,
      $A$2:$A843 &lt;= A843,
      $E$2:$E843 &gt; 0
    )
  ),
"""")"),"")</f>
        <v/>
      </c>
      <c r="I843" s="14"/>
    </row>
    <row r="844" spans="1:9" ht="15.75" customHeight="1" x14ac:dyDescent="0.25">
      <c r="A844" s="9"/>
      <c r="B844" s="20"/>
      <c r="C844" s="20"/>
      <c r="D844" s="11"/>
      <c r="E844" s="11"/>
      <c r="F844" s="13"/>
      <c r="G844" s="14"/>
      <c r="H844" s="14" t="str">
        <f ca="1">IFERROR(__xludf.DUMMYFUNCTION("IFERROR(
  AVERAGE(
    FILTER(
      $E$2:$E844,
      $A$2:$A844 &gt;= A844 - 30,
      $A$2:$A844 &lt;= A844,
      $E$2:$E844 &gt; 0
    )
  ),
"""")"),"")</f>
        <v/>
      </c>
      <c r="I844" s="14"/>
    </row>
    <row r="845" spans="1:9" ht="15.75" customHeight="1" x14ac:dyDescent="0.25">
      <c r="A845" s="9"/>
      <c r="B845" s="20"/>
      <c r="C845" s="20"/>
      <c r="D845" s="11"/>
      <c r="E845" s="11"/>
      <c r="F845" s="13"/>
      <c r="G845" s="14"/>
      <c r="H845" s="14" t="str">
        <f ca="1">IFERROR(__xludf.DUMMYFUNCTION("IFERROR(
  AVERAGE(
    FILTER(
      $E$2:$E845,
      $A$2:$A845 &gt;= A845 - 30,
      $A$2:$A845 &lt;= A845,
      $E$2:$E845 &gt; 0
    )
  ),
"""")"),"")</f>
        <v/>
      </c>
      <c r="I845" s="14"/>
    </row>
    <row r="846" spans="1:9" ht="15.75" customHeight="1" x14ac:dyDescent="0.25">
      <c r="A846" s="9"/>
      <c r="B846" s="20"/>
      <c r="C846" s="20"/>
      <c r="D846" s="11"/>
      <c r="E846" s="11"/>
      <c r="F846" s="13"/>
      <c r="G846" s="14"/>
      <c r="H846" s="14" t="str">
        <f ca="1">IFERROR(__xludf.DUMMYFUNCTION("IFERROR(
  AVERAGE(
    FILTER(
      $E$2:$E846,
      $A$2:$A846 &gt;= A846 - 30,
      $A$2:$A846 &lt;= A846,
      $E$2:$E846 &gt; 0
    )
  ),
"""")"),"")</f>
        <v/>
      </c>
      <c r="I846" s="14"/>
    </row>
    <row r="847" spans="1:9" ht="15.75" customHeight="1" x14ac:dyDescent="0.25">
      <c r="A847" s="9"/>
      <c r="B847" s="20"/>
      <c r="C847" s="20"/>
      <c r="D847" s="11"/>
      <c r="E847" s="11"/>
      <c r="F847" s="13"/>
      <c r="G847" s="14"/>
      <c r="H847" s="14" t="str">
        <f ca="1">IFERROR(__xludf.DUMMYFUNCTION("IFERROR(
  AVERAGE(
    FILTER(
      $E$2:$E847,
      $A$2:$A847 &gt;= A847 - 30,
      $A$2:$A847 &lt;= A847,
      $E$2:$E847 &gt; 0
    )
  ),
"""")"),"")</f>
        <v/>
      </c>
      <c r="I847" s="14"/>
    </row>
    <row r="848" spans="1:9" ht="15.75" customHeight="1" x14ac:dyDescent="0.25">
      <c r="A848" s="9"/>
      <c r="B848" s="20"/>
      <c r="C848" s="20"/>
      <c r="D848" s="11"/>
      <c r="E848" s="11"/>
      <c r="F848" s="13"/>
      <c r="G848" s="14"/>
      <c r="H848" s="14" t="str">
        <f ca="1">IFERROR(__xludf.DUMMYFUNCTION("IFERROR(
  AVERAGE(
    FILTER(
      $E$2:$E848,
      $A$2:$A848 &gt;= A848 - 30,
      $A$2:$A848 &lt;= A848,
      $E$2:$E848 &gt; 0
    )
  ),
"""")"),"")</f>
        <v/>
      </c>
      <c r="I848" s="14"/>
    </row>
    <row r="849" spans="1:9" ht="15.75" customHeight="1" x14ac:dyDescent="0.25">
      <c r="A849" s="9"/>
      <c r="B849" s="20"/>
      <c r="C849" s="20"/>
      <c r="D849" s="11"/>
      <c r="E849" s="11"/>
      <c r="F849" s="13"/>
      <c r="G849" s="14"/>
      <c r="H849" s="14" t="str">
        <f ca="1">IFERROR(__xludf.DUMMYFUNCTION("IFERROR(
  AVERAGE(
    FILTER(
      $E$2:$E849,
      $A$2:$A849 &gt;= A849 - 30,
      $A$2:$A849 &lt;= A849,
      $E$2:$E849 &gt; 0
    )
  ),
"""")"),"")</f>
        <v/>
      </c>
      <c r="I849" s="14"/>
    </row>
    <row r="850" spans="1:9" ht="15.75" customHeight="1" x14ac:dyDescent="0.25">
      <c r="A850" s="9"/>
      <c r="B850" s="20"/>
      <c r="C850" s="20"/>
      <c r="D850" s="11"/>
      <c r="E850" s="11"/>
      <c r="F850" s="13"/>
      <c r="G850" s="14"/>
      <c r="H850" s="14" t="str">
        <f ca="1">IFERROR(__xludf.DUMMYFUNCTION("IFERROR(
  AVERAGE(
    FILTER(
      $E$2:$E850,
      $A$2:$A850 &gt;= A850 - 30,
      $A$2:$A850 &lt;= A850,
      $E$2:$E850 &gt; 0
    )
  ),
"""")"),"")</f>
        <v/>
      </c>
      <c r="I850" s="14"/>
    </row>
    <row r="851" spans="1:9" ht="15.75" customHeight="1" x14ac:dyDescent="0.25">
      <c r="A851" s="9"/>
      <c r="B851" s="20"/>
      <c r="C851" s="20"/>
      <c r="D851" s="11"/>
      <c r="E851" s="11"/>
      <c r="F851" s="13"/>
      <c r="G851" s="14"/>
      <c r="H851" s="14" t="str">
        <f ca="1">IFERROR(__xludf.DUMMYFUNCTION("IFERROR(
  AVERAGE(
    FILTER(
      $E$2:$E851,
      $A$2:$A851 &gt;= A851 - 30,
      $A$2:$A851 &lt;= A851,
      $E$2:$E851 &gt; 0
    )
  ),
"""")"),"")</f>
        <v/>
      </c>
      <c r="I851" s="14"/>
    </row>
    <row r="852" spans="1:9" ht="15.75" customHeight="1" x14ac:dyDescent="0.25">
      <c r="A852" s="9"/>
      <c r="B852" s="20"/>
      <c r="C852" s="20"/>
      <c r="D852" s="11"/>
      <c r="E852" s="11"/>
      <c r="F852" s="13"/>
      <c r="G852" s="14"/>
      <c r="H852" s="14" t="str">
        <f ca="1">IFERROR(__xludf.DUMMYFUNCTION("IFERROR(
  AVERAGE(
    FILTER(
      $E$2:$E852,
      $A$2:$A852 &gt;= A852 - 30,
      $A$2:$A852 &lt;= A852,
      $E$2:$E852 &gt; 0
    )
  ),
"""")"),"")</f>
        <v/>
      </c>
      <c r="I852" s="14"/>
    </row>
    <row r="853" spans="1:9" ht="15.75" customHeight="1" x14ac:dyDescent="0.25">
      <c r="A853" s="9"/>
      <c r="B853" s="20"/>
      <c r="C853" s="20"/>
      <c r="D853" s="11"/>
      <c r="E853" s="11"/>
      <c r="F853" s="13"/>
      <c r="G853" s="14"/>
      <c r="H853" s="14" t="str">
        <f ca="1">IFERROR(__xludf.DUMMYFUNCTION("IFERROR(
  AVERAGE(
    FILTER(
      $E$2:$E853,
      $A$2:$A853 &gt;= A853 - 30,
      $A$2:$A853 &lt;= A853,
      $E$2:$E853 &gt; 0
    )
  ),
"""")"),"")</f>
        <v/>
      </c>
      <c r="I853" s="14"/>
    </row>
    <row r="854" spans="1:9" ht="15.75" customHeight="1" x14ac:dyDescent="0.25">
      <c r="A854" s="9"/>
      <c r="B854" s="20"/>
      <c r="C854" s="20"/>
      <c r="D854" s="11"/>
      <c r="E854" s="11"/>
      <c r="F854" s="13"/>
      <c r="G854" s="14"/>
      <c r="H854" s="14" t="str">
        <f ca="1">IFERROR(__xludf.DUMMYFUNCTION("IFERROR(
  AVERAGE(
    FILTER(
      $E$2:$E854,
      $A$2:$A854 &gt;= A854 - 30,
      $A$2:$A854 &lt;= A854,
      $E$2:$E854 &gt; 0
    )
  ),
"""")"),"")</f>
        <v/>
      </c>
      <c r="I854" s="14"/>
    </row>
    <row r="855" spans="1:9" ht="15.75" customHeight="1" x14ac:dyDescent="0.25">
      <c r="A855" s="9"/>
      <c r="B855" s="20"/>
      <c r="C855" s="20"/>
      <c r="D855" s="11"/>
      <c r="E855" s="11"/>
      <c r="F855" s="13"/>
      <c r="G855" s="14"/>
      <c r="H855" s="14" t="str">
        <f ca="1">IFERROR(__xludf.DUMMYFUNCTION("IFERROR(
  AVERAGE(
    FILTER(
      $E$2:$E855,
      $A$2:$A855 &gt;= A855 - 30,
      $A$2:$A855 &lt;= A855,
      $E$2:$E855 &gt; 0
    )
  ),
"""")"),"")</f>
        <v/>
      </c>
      <c r="I855" s="14"/>
    </row>
    <row r="856" spans="1:9" ht="15.75" customHeight="1" x14ac:dyDescent="0.25">
      <c r="A856" s="9"/>
      <c r="B856" s="20"/>
      <c r="C856" s="20"/>
      <c r="D856" s="11"/>
      <c r="E856" s="11"/>
      <c r="F856" s="13"/>
      <c r="G856" s="14"/>
      <c r="H856" s="14" t="str">
        <f ca="1">IFERROR(__xludf.DUMMYFUNCTION("IFERROR(
  AVERAGE(
    FILTER(
      $E$2:$E856,
      $A$2:$A856 &gt;= A856 - 30,
      $A$2:$A856 &lt;= A856,
      $E$2:$E856 &gt; 0
    )
  ),
"""")"),"")</f>
        <v/>
      </c>
      <c r="I856" s="14"/>
    </row>
    <row r="857" spans="1:9" ht="15.75" customHeight="1" x14ac:dyDescent="0.25">
      <c r="A857" s="9"/>
      <c r="B857" s="20"/>
      <c r="C857" s="20"/>
      <c r="D857" s="11"/>
      <c r="E857" s="11"/>
      <c r="F857" s="13"/>
      <c r="G857" s="14"/>
      <c r="H857" s="14" t="str">
        <f ca="1">IFERROR(__xludf.DUMMYFUNCTION("IFERROR(
  AVERAGE(
    FILTER(
      $E$2:$E857,
      $A$2:$A857 &gt;= A857 - 30,
      $A$2:$A857 &lt;= A857,
      $E$2:$E857 &gt; 0
    )
  ),
"""")"),"")</f>
        <v/>
      </c>
      <c r="I857" s="14"/>
    </row>
    <row r="858" spans="1:9" ht="15.75" customHeight="1" x14ac:dyDescent="0.25">
      <c r="A858" s="9"/>
      <c r="B858" s="20"/>
      <c r="C858" s="20"/>
      <c r="D858" s="11"/>
      <c r="E858" s="11"/>
      <c r="F858" s="13"/>
      <c r="G858" s="14"/>
      <c r="H858" s="14" t="str">
        <f ca="1">IFERROR(__xludf.DUMMYFUNCTION("IFERROR(
  AVERAGE(
    FILTER(
      $E$2:$E858,
      $A$2:$A858 &gt;= A858 - 30,
      $A$2:$A858 &lt;= A858,
      $E$2:$E858 &gt; 0
    )
  ),
"""")"),"")</f>
        <v/>
      </c>
      <c r="I858" s="14"/>
    </row>
    <row r="859" spans="1:9" ht="15.75" customHeight="1" x14ac:dyDescent="0.25">
      <c r="A859" s="9"/>
      <c r="B859" s="20"/>
      <c r="C859" s="20"/>
      <c r="D859" s="11"/>
      <c r="E859" s="11"/>
      <c r="F859" s="13"/>
      <c r="G859" s="14"/>
      <c r="H859" s="14" t="str">
        <f ca="1">IFERROR(__xludf.DUMMYFUNCTION("IFERROR(
  AVERAGE(
    FILTER(
      $E$2:$E859,
      $A$2:$A859 &gt;= A859 - 30,
      $A$2:$A859 &lt;= A859,
      $E$2:$E859 &gt; 0
    )
  ),
"""")"),"")</f>
        <v/>
      </c>
      <c r="I859" s="14"/>
    </row>
    <row r="860" spans="1:9" ht="15.75" customHeight="1" x14ac:dyDescent="0.25">
      <c r="A860" s="9"/>
      <c r="B860" s="20"/>
      <c r="C860" s="20"/>
      <c r="D860" s="11"/>
      <c r="E860" s="11"/>
      <c r="F860" s="13"/>
      <c r="G860" s="14"/>
      <c r="H860" s="14" t="str">
        <f ca="1">IFERROR(__xludf.DUMMYFUNCTION("IFERROR(
  AVERAGE(
    FILTER(
      $E$2:$E860,
      $A$2:$A860 &gt;= A860 - 30,
      $A$2:$A860 &lt;= A860,
      $E$2:$E860 &gt; 0
    )
  ),
"""")"),"")</f>
        <v/>
      </c>
      <c r="I860" s="14"/>
    </row>
    <row r="861" spans="1:9" ht="15.75" customHeight="1" x14ac:dyDescent="0.25">
      <c r="A861" s="9"/>
      <c r="B861" s="20"/>
      <c r="C861" s="20"/>
      <c r="D861" s="11"/>
      <c r="E861" s="11"/>
      <c r="F861" s="13"/>
      <c r="G861" s="14"/>
      <c r="H861" s="14" t="str">
        <f ca="1">IFERROR(__xludf.DUMMYFUNCTION("IFERROR(
  AVERAGE(
    FILTER(
      $E$2:$E861,
      $A$2:$A861 &gt;= A861 - 30,
      $A$2:$A861 &lt;= A861,
      $E$2:$E861 &gt; 0
    )
  ),
"""")"),"")</f>
        <v/>
      </c>
      <c r="I861" s="14"/>
    </row>
    <row r="862" spans="1:9" ht="15.75" customHeight="1" x14ac:dyDescent="0.25">
      <c r="A862" s="9"/>
      <c r="B862" s="20"/>
      <c r="C862" s="20"/>
      <c r="D862" s="11"/>
      <c r="E862" s="11"/>
      <c r="F862" s="13"/>
      <c r="G862" s="14"/>
      <c r="H862" s="14" t="str">
        <f ca="1">IFERROR(__xludf.DUMMYFUNCTION("IFERROR(
  AVERAGE(
    FILTER(
      $E$2:$E862,
      $A$2:$A862 &gt;= A862 - 30,
      $A$2:$A862 &lt;= A862,
      $E$2:$E862 &gt; 0
    )
  ),
"""")"),"")</f>
        <v/>
      </c>
      <c r="I862" s="14"/>
    </row>
    <row r="863" spans="1:9" ht="15.75" customHeight="1" x14ac:dyDescent="0.25">
      <c r="A863" s="9"/>
      <c r="B863" s="20"/>
      <c r="C863" s="20"/>
      <c r="D863" s="11"/>
      <c r="E863" s="11"/>
      <c r="F863" s="13"/>
      <c r="G863" s="14"/>
      <c r="H863" s="14" t="str">
        <f ca="1">IFERROR(__xludf.DUMMYFUNCTION("IFERROR(
  AVERAGE(
    FILTER(
      $E$2:$E863,
      $A$2:$A863 &gt;= A863 - 30,
      $A$2:$A863 &lt;= A863,
      $E$2:$E863 &gt; 0
    )
  ),
"""")"),"")</f>
        <v/>
      </c>
      <c r="I863" s="14"/>
    </row>
    <row r="864" spans="1:9" ht="15.75" customHeight="1" x14ac:dyDescent="0.25">
      <c r="A864" s="9"/>
      <c r="B864" s="20"/>
      <c r="C864" s="20"/>
      <c r="D864" s="11"/>
      <c r="E864" s="11"/>
      <c r="F864" s="13"/>
      <c r="G864" s="14"/>
      <c r="H864" s="14" t="str">
        <f ca="1">IFERROR(__xludf.DUMMYFUNCTION("IFERROR(
  AVERAGE(
    FILTER(
      $E$2:$E864,
      $A$2:$A864 &gt;= A864 - 30,
      $A$2:$A864 &lt;= A864,
      $E$2:$E864 &gt; 0
    )
  ),
"""")"),"")</f>
        <v/>
      </c>
      <c r="I864" s="14"/>
    </row>
    <row r="865" spans="1:9" ht="15.75" customHeight="1" x14ac:dyDescent="0.25">
      <c r="A865" s="9"/>
      <c r="B865" s="20"/>
      <c r="C865" s="20"/>
      <c r="D865" s="11"/>
      <c r="E865" s="11"/>
      <c r="F865" s="13"/>
      <c r="G865" s="14"/>
      <c r="H865" s="14" t="str">
        <f ca="1">IFERROR(__xludf.DUMMYFUNCTION("IFERROR(
  AVERAGE(
    FILTER(
      $E$2:$E865,
      $A$2:$A865 &gt;= A865 - 30,
      $A$2:$A865 &lt;= A865,
      $E$2:$E865 &gt; 0
    )
  ),
"""")"),"")</f>
        <v/>
      </c>
      <c r="I865" s="14"/>
    </row>
    <row r="866" spans="1:9" ht="15.75" customHeight="1" x14ac:dyDescent="0.25">
      <c r="A866" s="9"/>
      <c r="B866" s="20"/>
      <c r="C866" s="20"/>
      <c r="D866" s="11"/>
      <c r="E866" s="11"/>
      <c r="F866" s="13"/>
      <c r="G866" s="14"/>
      <c r="H866" s="14" t="str">
        <f ca="1">IFERROR(__xludf.DUMMYFUNCTION("IFERROR(
  AVERAGE(
    FILTER(
      $E$2:$E866,
      $A$2:$A866 &gt;= A866 - 30,
      $A$2:$A866 &lt;= A866,
      $E$2:$E866 &gt; 0
    )
  ),
"""")"),"")</f>
        <v/>
      </c>
      <c r="I866" s="14"/>
    </row>
    <row r="867" spans="1:9" ht="15.75" customHeight="1" x14ac:dyDescent="0.25">
      <c r="A867" s="9"/>
      <c r="B867" s="20"/>
      <c r="C867" s="20"/>
      <c r="D867" s="11"/>
      <c r="E867" s="11"/>
      <c r="F867" s="13"/>
      <c r="G867" s="14"/>
      <c r="H867" s="14" t="str">
        <f ca="1">IFERROR(__xludf.DUMMYFUNCTION("IFERROR(
  AVERAGE(
    FILTER(
      $E$2:$E867,
      $A$2:$A867 &gt;= A867 - 30,
      $A$2:$A867 &lt;= A867,
      $E$2:$E867 &gt; 0
    )
  ),
"""")"),"")</f>
        <v/>
      </c>
      <c r="I867" s="14"/>
    </row>
    <row r="868" spans="1:9" ht="15.75" customHeight="1" x14ac:dyDescent="0.25">
      <c r="A868" s="9"/>
      <c r="B868" s="20"/>
      <c r="C868" s="20"/>
      <c r="D868" s="11"/>
      <c r="E868" s="11"/>
      <c r="F868" s="13"/>
      <c r="G868" s="14"/>
      <c r="H868" s="14" t="str">
        <f ca="1">IFERROR(__xludf.DUMMYFUNCTION("IFERROR(
  AVERAGE(
    FILTER(
      $E$2:$E868,
      $A$2:$A868 &gt;= A868 - 30,
      $A$2:$A868 &lt;= A868,
      $E$2:$E868 &gt; 0
    )
  ),
"""")"),"")</f>
        <v/>
      </c>
      <c r="I868" s="14"/>
    </row>
    <row r="869" spans="1:9" ht="15.75" customHeight="1" x14ac:dyDescent="0.25">
      <c r="A869" s="9"/>
      <c r="B869" s="20"/>
      <c r="C869" s="20"/>
      <c r="D869" s="11"/>
      <c r="E869" s="11"/>
      <c r="F869" s="13"/>
      <c r="G869" s="14"/>
      <c r="H869" s="14" t="str">
        <f ca="1">IFERROR(__xludf.DUMMYFUNCTION("IFERROR(
  AVERAGE(
    FILTER(
      $E$2:$E869,
      $A$2:$A869 &gt;= A869 - 30,
      $A$2:$A869 &lt;= A869,
      $E$2:$E869 &gt; 0
    )
  ),
"""")"),"")</f>
        <v/>
      </c>
      <c r="I869" s="14"/>
    </row>
    <row r="870" spans="1:9" ht="15.75" customHeight="1" x14ac:dyDescent="0.25">
      <c r="A870" s="9"/>
      <c r="B870" s="20"/>
      <c r="C870" s="20"/>
      <c r="D870" s="11"/>
      <c r="E870" s="11"/>
      <c r="F870" s="13"/>
      <c r="G870" s="14"/>
      <c r="H870" s="14" t="str">
        <f ca="1">IFERROR(__xludf.DUMMYFUNCTION("IFERROR(
  AVERAGE(
    FILTER(
      $E$2:$E870,
      $A$2:$A870 &gt;= A870 - 30,
      $A$2:$A870 &lt;= A870,
      $E$2:$E870 &gt; 0
    )
  ),
"""")"),"")</f>
        <v/>
      </c>
      <c r="I870" s="14"/>
    </row>
    <row r="871" spans="1:9" ht="15.75" customHeight="1" x14ac:dyDescent="0.25">
      <c r="A871" s="9"/>
      <c r="B871" s="20"/>
      <c r="C871" s="20"/>
      <c r="D871" s="11"/>
      <c r="E871" s="11"/>
      <c r="F871" s="13"/>
      <c r="G871" s="14"/>
      <c r="H871" s="14" t="str">
        <f ca="1">IFERROR(__xludf.DUMMYFUNCTION("IFERROR(
  AVERAGE(
    FILTER(
      $E$2:$E871,
      $A$2:$A871 &gt;= A871 - 30,
      $A$2:$A871 &lt;= A871,
      $E$2:$E871 &gt; 0
    )
  ),
"""")"),"")</f>
        <v/>
      </c>
      <c r="I871" s="14"/>
    </row>
    <row r="872" spans="1:9" ht="15.75" customHeight="1" x14ac:dyDescent="0.25">
      <c r="A872" s="9"/>
      <c r="B872" s="20"/>
      <c r="C872" s="20"/>
      <c r="D872" s="11"/>
      <c r="E872" s="11"/>
      <c r="F872" s="13"/>
      <c r="G872" s="14"/>
      <c r="H872" s="14" t="str">
        <f ca="1">IFERROR(__xludf.DUMMYFUNCTION("IFERROR(
  AVERAGE(
    FILTER(
      $E$2:$E872,
      $A$2:$A872 &gt;= A872 - 30,
      $A$2:$A872 &lt;= A872,
      $E$2:$E872 &gt; 0
    )
  ),
"""")"),"")</f>
        <v/>
      </c>
      <c r="I872" s="14"/>
    </row>
    <row r="873" spans="1:9" ht="15.75" customHeight="1" x14ac:dyDescent="0.25">
      <c r="A873" s="9"/>
      <c r="B873" s="20"/>
      <c r="C873" s="20"/>
      <c r="D873" s="11"/>
      <c r="E873" s="11"/>
      <c r="F873" s="13"/>
      <c r="G873" s="14"/>
      <c r="H873" s="14" t="str">
        <f ca="1">IFERROR(__xludf.DUMMYFUNCTION("IFERROR(
  AVERAGE(
    FILTER(
      $E$2:$E873,
      $A$2:$A873 &gt;= A873 - 30,
      $A$2:$A873 &lt;= A873,
      $E$2:$E873 &gt; 0
    )
  ),
"""")"),"")</f>
        <v/>
      </c>
      <c r="I873" s="14"/>
    </row>
    <row r="874" spans="1:9" ht="15.75" customHeight="1" x14ac:dyDescent="0.25">
      <c r="A874" s="9"/>
      <c r="B874" s="20"/>
      <c r="C874" s="20"/>
      <c r="D874" s="11"/>
      <c r="E874" s="11"/>
      <c r="F874" s="13"/>
      <c r="G874" s="14"/>
      <c r="H874" s="14" t="str">
        <f ca="1">IFERROR(__xludf.DUMMYFUNCTION("IFERROR(
  AVERAGE(
    FILTER(
      $E$2:$E874,
      $A$2:$A874 &gt;= A874 - 30,
      $A$2:$A874 &lt;= A874,
      $E$2:$E874 &gt; 0
    )
  ),
"""")"),"")</f>
        <v/>
      </c>
      <c r="I874" s="14"/>
    </row>
    <row r="875" spans="1:9" ht="15.75" customHeight="1" x14ac:dyDescent="0.25">
      <c r="A875" s="9"/>
      <c r="B875" s="20"/>
      <c r="C875" s="20"/>
      <c r="D875" s="11"/>
      <c r="E875" s="11"/>
      <c r="F875" s="13"/>
      <c r="G875" s="14"/>
      <c r="H875" s="14" t="str">
        <f ca="1">IFERROR(__xludf.DUMMYFUNCTION("IFERROR(
  AVERAGE(
    FILTER(
      $E$2:$E875,
      $A$2:$A875 &gt;= A875 - 30,
      $A$2:$A875 &lt;= A875,
      $E$2:$E875 &gt; 0
    )
  ),
"""")"),"")</f>
        <v/>
      </c>
      <c r="I875" s="14"/>
    </row>
    <row r="876" spans="1:9" ht="15.75" customHeight="1" x14ac:dyDescent="0.25">
      <c r="A876" s="9"/>
      <c r="B876" s="20"/>
      <c r="C876" s="20"/>
      <c r="D876" s="11"/>
      <c r="E876" s="11"/>
      <c r="F876" s="13"/>
      <c r="G876" s="14"/>
      <c r="H876" s="14" t="str">
        <f ca="1">IFERROR(__xludf.DUMMYFUNCTION("IFERROR(
  AVERAGE(
    FILTER(
      $E$2:$E876,
      $A$2:$A876 &gt;= A876 - 30,
      $A$2:$A876 &lt;= A876,
      $E$2:$E876 &gt; 0
    )
  ),
"""")"),"")</f>
        <v/>
      </c>
      <c r="I876" s="14"/>
    </row>
    <row r="877" spans="1:9" ht="15.75" customHeight="1" x14ac:dyDescent="0.25">
      <c r="A877" s="9"/>
      <c r="B877" s="20"/>
      <c r="C877" s="20"/>
      <c r="D877" s="11"/>
      <c r="E877" s="11"/>
      <c r="F877" s="13"/>
      <c r="G877" s="14"/>
      <c r="H877" s="14" t="str">
        <f ca="1">IFERROR(__xludf.DUMMYFUNCTION("IFERROR(
  AVERAGE(
    FILTER(
      $E$2:$E877,
      $A$2:$A877 &gt;= A877 - 30,
      $A$2:$A877 &lt;= A877,
      $E$2:$E877 &gt; 0
    )
  ),
"""")"),"")</f>
        <v/>
      </c>
      <c r="I877" s="14"/>
    </row>
    <row r="878" spans="1:9" ht="15.75" customHeight="1" x14ac:dyDescent="0.25">
      <c r="A878" s="9"/>
      <c r="B878" s="20"/>
      <c r="C878" s="20"/>
      <c r="D878" s="11"/>
      <c r="E878" s="11"/>
      <c r="F878" s="13"/>
      <c r="G878" s="14"/>
      <c r="H878" s="14" t="str">
        <f ca="1">IFERROR(__xludf.DUMMYFUNCTION("IFERROR(
  AVERAGE(
    FILTER(
      $E$2:$E878,
      $A$2:$A878 &gt;= A878 - 30,
      $A$2:$A878 &lt;= A878,
      $E$2:$E878 &gt; 0
    )
  ),
"""")"),"")</f>
        <v/>
      </c>
      <c r="I878" s="14"/>
    </row>
    <row r="879" spans="1:9" ht="15.75" customHeight="1" x14ac:dyDescent="0.25">
      <c r="A879" s="9"/>
      <c r="B879" s="20"/>
      <c r="C879" s="20"/>
      <c r="D879" s="11"/>
      <c r="E879" s="11"/>
      <c r="F879" s="13"/>
      <c r="G879" s="14"/>
      <c r="H879" s="14" t="str">
        <f ca="1">IFERROR(__xludf.DUMMYFUNCTION("IFERROR(
  AVERAGE(
    FILTER(
      $E$2:$E879,
      $A$2:$A879 &gt;= A879 - 30,
      $A$2:$A879 &lt;= A879,
      $E$2:$E879 &gt; 0
    )
  ),
"""")"),"")</f>
        <v/>
      </c>
      <c r="I879" s="14"/>
    </row>
    <row r="880" spans="1:9" ht="15.75" customHeight="1" x14ac:dyDescent="0.25">
      <c r="A880" s="9"/>
      <c r="B880" s="20"/>
      <c r="C880" s="20"/>
      <c r="D880" s="11"/>
      <c r="E880" s="11"/>
      <c r="F880" s="13"/>
      <c r="G880" s="14"/>
      <c r="H880" s="14" t="str">
        <f ca="1">IFERROR(__xludf.DUMMYFUNCTION("IFERROR(
  AVERAGE(
    FILTER(
      $E$2:$E880,
      $A$2:$A880 &gt;= A880 - 30,
      $A$2:$A880 &lt;= A880,
      $E$2:$E880 &gt; 0
    )
  ),
"""")"),"")</f>
        <v/>
      </c>
      <c r="I880" s="14"/>
    </row>
    <row r="881" spans="1:9" ht="15.75" customHeight="1" x14ac:dyDescent="0.25">
      <c r="A881" s="9"/>
      <c r="B881" s="20"/>
      <c r="C881" s="20"/>
      <c r="D881" s="11"/>
      <c r="E881" s="11"/>
      <c r="F881" s="13"/>
      <c r="G881" s="14"/>
      <c r="H881" s="14" t="str">
        <f ca="1">IFERROR(__xludf.DUMMYFUNCTION("IFERROR(
  AVERAGE(
    FILTER(
      $E$2:$E881,
      $A$2:$A881 &gt;= A881 - 30,
      $A$2:$A881 &lt;= A881,
      $E$2:$E881 &gt; 0
    )
  ),
"""")"),"")</f>
        <v/>
      </c>
      <c r="I881" s="14"/>
    </row>
    <row r="882" spans="1:9" ht="15.75" customHeight="1" x14ac:dyDescent="0.25">
      <c r="A882" s="9"/>
      <c r="B882" s="20"/>
      <c r="C882" s="20"/>
      <c r="D882" s="11"/>
      <c r="E882" s="11"/>
      <c r="F882" s="13"/>
      <c r="G882" s="14"/>
      <c r="H882" s="14" t="str">
        <f ca="1">IFERROR(__xludf.DUMMYFUNCTION("IFERROR(
  AVERAGE(
    FILTER(
      $E$2:$E882,
      $A$2:$A882 &gt;= A882 - 30,
      $A$2:$A882 &lt;= A882,
      $E$2:$E882 &gt; 0
    )
  ),
"""")"),"")</f>
        <v/>
      </c>
      <c r="I882" s="14"/>
    </row>
    <row r="883" spans="1:9" ht="15.75" customHeight="1" x14ac:dyDescent="0.25">
      <c r="A883" s="9"/>
      <c r="B883" s="20"/>
      <c r="C883" s="20"/>
      <c r="D883" s="11"/>
      <c r="E883" s="11"/>
      <c r="F883" s="13"/>
      <c r="G883" s="14"/>
      <c r="H883" s="14" t="str">
        <f ca="1">IFERROR(__xludf.DUMMYFUNCTION("IFERROR(
  AVERAGE(
    FILTER(
      $E$2:$E883,
      $A$2:$A883 &gt;= A883 - 30,
      $A$2:$A883 &lt;= A883,
      $E$2:$E883 &gt; 0
    )
  ),
"""")"),"")</f>
        <v/>
      </c>
      <c r="I883" s="14"/>
    </row>
    <row r="884" spans="1:9" ht="15.75" customHeight="1" x14ac:dyDescent="0.25">
      <c r="A884" s="9"/>
      <c r="B884" s="20"/>
      <c r="C884" s="20"/>
      <c r="D884" s="11"/>
      <c r="E884" s="11"/>
      <c r="F884" s="13"/>
      <c r="G884" s="14"/>
      <c r="H884" s="14" t="str">
        <f ca="1">IFERROR(__xludf.DUMMYFUNCTION("IFERROR(
  AVERAGE(
    FILTER(
      $E$2:$E884,
      $A$2:$A884 &gt;= A884 - 30,
      $A$2:$A884 &lt;= A884,
      $E$2:$E884 &gt; 0
    )
  ),
"""")"),"")</f>
        <v/>
      </c>
      <c r="I884" s="14"/>
    </row>
    <row r="885" spans="1:9" ht="15.75" customHeight="1" x14ac:dyDescent="0.25">
      <c r="A885" s="9"/>
      <c r="B885" s="20"/>
      <c r="C885" s="20"/>
      <c r="D885" s="11"/>
      <c r="E885" s="11"/>
      <c r="F885" s="13"/>
      <c r="G885" s="14"/>
      <c r="H885" s="14" t="str">
        <f ca="1">IFERROR(__xludf.DUMMYFUNCTION("IFERROR(
  AVERAGE(
    FILTER(
      $E$2:$E885,
      $A$2:$A885 &gt;= A885 - 30,
      $A$2:$A885 &lt;= A885,
      $E$2:$E885 &gt; 0
    )
  ),
"""")"),"")</f>
        <v/>
      </c>
      <c r="I885" s="14"/>
    </row>
    <row r="886" spans="1:9" ht="15.75" customHeight="1" x14ac:dyDescent="0.25">
      <c r="A886" s="9"/>
      <c r="B886" s="20"/>
      <c r="C886" s="20"/>
      <c r="D886" s="11"/>
      <c r="E886" s="11"/>
      <c r="F886" s="13"/>
      <c r="G886" s="14"/>
      <c r="H886" s="14" t="str">
        <f ca="1">IFERROR(__xludf.DUMMYFUNCTION("IFERROR(
  AVERAGE(
    FILTER(
      $E$2:$E886,
      $A$2:$A886 &gt;= A886 - 30,
      $A$2:$A886 &lt;= A886,
      $E$2:$E886 &gt; 0
    )
  ),
"""")"),"")</f>
        <v/>
      </c>
      <c r="I886" s="14"/>
    </row>
    <row r="887" spans="1:9" ht="15.75" customHeight="1" x14ac:dyDescent="0.25">
      <c r="A887" s="9"/>
      <c r="B887" s="20"/>
      <c r="C887" s="20"/>
      <c r="D887" s="11"/>
      <c r="E887" s="11"/>
      <c r="F887" s="13"/>
      <c r="G887" s="14"/>
      <c r="H887" s="14" t="str">
        <f ca="1">IFERROR(__xludf.DUMMYFUNCTION("IFERROR(
  AVERAGE(
    FILTER(
      $E$2:$E887,
      $A$2:$A887 &gt;= A887 - 30,
      $A$2:$A887 &lt;= A887,
      $E$2:$E887 &gt; 0
    )
  ),
"""")"),"")</f>
        <v/>
      </c>
      <c r="I887" s="14"/>
    </row>
    <row r="888" spans="1:9" ht="15.75" customHeight="1" x14ac:dyDescent="0.25">
      <c r="A888" s="9"/>
      <c r="B888" s="20"/>
      <c r="C888" s="20"/>
      <c r="D888" s="11"/>
      <c r="E888" s="11"/>
      <c r="F888" s="13"/>
      <c r="G888" s="14"/>
      <c r="H888" s="14" t="str">
        <f ca="1">IFERROR(__xludf.DUMMYFUNCTION("IFERROR(
  AVERAGE(
    FILTER(
      $E$2:$E888,
      $A$2:$A888 &gt;= A888 - 30,
      $A$2:$A888 &lt;= A888,
      $E$2:$E888 &gt; 0
    )
  ),
"""")"),"")</f>
        <v/>
      </c>
      <c r="I888" s="14"/>
    </row>
    <row r="889" spans="1:9" ht="15.75" customHeight="1" x14ac:dyDescent="0.25">
      <c r="A889" s="9"/>
      <c r="B889" s="20"/>
      <c r="C889" s="20"/>
      <c r="D889" s="11"/>
      <c r="E889" s="11"/>
      <c r="F889" s="13"/>
      <c r="G889" s="14"/>
      <c r="H889" s="14" t="str">
        <f ca="1">IFERROR(__xludf.DUMMYFUNCTION("IFERROR(
  AVERAGE(
    FILTER(
      $E$2:$E889,
      $A$2:$A889 &gt;= A889 - 30,
      $A$2:$A889 &lt;= A889,
      $E$2:$E889 &gt; 0
    )
  ),
"""")"),"")</f>
        <v/>
      </c>
      <c r="I889" s="14"/>
    </row>
    <row r="890" spans="1:9" ht="15.75" customHeight="1" x14ac:dyDescent="0.25">
      <c r="A890" s="9"/>
      <c r="B890" s="20"/>
      <c r="C890" s="20"/>
      <c r="D890" s="11"/>
      <c r="E890" s="11"/>
      <c r="F890" s="13"/>
      <c r="G890" s="14"/>
      <c r="H890" s="14" t="str">
        <f ca="1">IFERROR(__xludf.DUMMYFUNCTION("IFERROR(
  AVERAGE(
    FILTER(
      $E$2:$E890,
      $A$2:$A890 &gt;= A890 - 30,
      $A$2:$A890 &lt;= A890,
      $E$2:$E890 &gt; 0
    )
  ),
"""")"),"")</f>
        <v/>
      </c>
      <c r="I890" s="14"/>
    </row>
    <row r="891" spans="1:9" ht="15.75" customHeight="1" x14ac:dyDescent="0.25">
      <c r="A891" s="9"/>
      <c r="B891" s="20"/>
      <c r="C891" s="20"/>
      <c r="D891" s="11"/>
      <c r="E891" s="11"/>
      <c r="F891" s="13"/>
      <c r="G891" s="14"/>
      <c r="H891" s="14" t="str">
        <f ca="1">IFERROR(__xludf.DUMMYFUNCTION("IFERROR(
  AVERAGE(
    FILTER(
      $E$2:$E891,
      $A$2:$A891 &gt;= A891 - 30,
      $A$2:$A891 &lt;= A891,
      $E$2:$E891 &gt; 0
    )
  ),
"""")"),"")</f>
        <v/>
      </c>
      <c r="I891" s="14"/>
    </row>
    <row r="892" spans="1:9" ht="15.75" customHeight="1" x14ac:dyDescent="0.25">
      <c r="A892" s="9"/>
      <c r="B892" s="20"/>
      <c r="C892" s="20"/>
      <c r="D892" s="11"/>
      <c r="E892" s="11"/>
      <c r="F892" s="13"/>
      <c r="G892" s="14"/>
      <c r="H892" s="14" t="str">
        <f ca="1">IFERROR(__xludf.DUMMYFUNCTION("IFERROR(
  AVERAGE(
    FILTER(
      $E$2:$E892,
      $A$2:$A892 &gt;= A892 - 30,
      $A$2:$A892 &lt;= A892,
      $E$2:$E892 &gt; 0
    )
  ),
"""")"),"")</f>
        <v/>
      </c>
      <c r="I892" s="14"/>
    </row>
    <row r="893" spans="1:9" ht="15.75" customHeight="1" x14ac:dyDescent="0.25">
      <c r="A893" s="9"/>
      <c r="B893" s="20"/>
      <c r="C893" s="20"/>
      <c r="D893" s="11"/>
      <c r="E893" s="11"/>
      <c r="F893" s="13"/>
      <c r="G893" s="14"/>
      <c r="H893" s="14" t="str">
        <f ca="1">IFERROR(__xludf.DUMMYFUNCTION("IFERROR(
  AVERAGE(
    FILTER(
      $E$2:$E893,
      $A$2:$A893 &gt;= A893 - 30,
      $A$2:$A893 &lt;= A893,
      $E$2:$E893 &gt; 0
    )
  ),
"""")"),"")</f>
        <v/>
      </c>
      <c r="I893" s="14"/>
    </row>
    <row r="894" spans="1:9" ht="15.75" customHeight="1" x14ac:dyDescent="0.25">
      <c r="A894" s="9"/>
      <c r="B894" s="20"/>
      <c r="C894" s="20"/>
      <c r="D894" s="11"/>
      <c r="E894" s="11"/>
      <c r="F894" s="13"/>
      <c r="G894" s="14"/>
      <c r="H894" s="14" t="str">
        <f ca="1">IFERROR(__xludf.DUMMYFUNCTION("IFERROR(
  AVERAGE(
    FILTER(
      $E$2:$E894,
      $A$2:$A894 &gt;= A894 - 30,
      $A$2:$A894 &lt;= A894,
      $E$2:$E894 &gt; 0
    )
  ),
"""")"),"")</f>
        <v/>
      </c>
      <c r="I894" s="14"/>
    </row>
    <row r="895" spans="1:9" ht="15.75" customHeight="1" x14ac:dyDescent="0.25">
      <c r="A895" s="9"/>
      <c r="B895" s="20"/>
      <c r="C895" s="20"/>
      <c r="D895" s="11"/>
      <c r="E895" s="11"/>
      <c r="F895" s="13"/>
      <c r="G895" s="14"/>
      <c r="H895" s="14" t="str">
        <f ca="1">IFERROR(__xludf.DUMMYFUNCTION("IFERROR(
  AVERAGE(
    FILTER(
      $E$2:$E895,
      $A$2:$A895 &gt;= A895 - 30,
      $A$2:$A895 &lt;= A895,
      $E$2:$E895 &gt; 0
    )
  ),
"""")"),"")</f>
        <v/>
      </c>
      <c r="I895" s="14"/>
    </row>
    <row r="896" spans="1:9" ht="15.75" customHeight="1" x14ac:dyDescent="0.25">
      <c r="A896" s="9"/>
      <c r="B896" s="20"/>
      <c r="C896" s="20"/>
      <c r="D896" s="11"/>
      <c r="E896" s="11"/>
      <c r="F896" s="13"/>
      <c r="G896" s="14"/>
      <c r="H896" s="14" t="str">
        <f ca="1">IFERROR(__xludf.DUMMYFUNCTION("IFERROR(
  AVERAGE(
    FILTER(
      $E$2:$E896,
      $A$2:$A896 &gt;= A896 - 30,
      $A$2:$A896 &lt;= A896,
      $E$2:$E896 &gt; 0
    )
  ),
"""")"),"")</f>
        <v/>
      </c>
      <c r="I896" s="14"/>
    </row>
    <row r="897" spans="1:9" ht="15.75" customHeight="1" x14ac:dyDescent="0.25">
      <c r="A897" s="9"/>
      <c r="B897" s="20"/>
      <c r="C897" s="20"/>
      <c r="D897" s="11"/>
      <c r="E897" s="11"/>
      <c r="F897" s="13"/>
      <c r="G897" s="14"/>
      <c r="H897" s="14" t="str">
        <f ca="1">IFERROR(__xludf.DUMMYFUNCTION("IFERROR(
  AVERAGE(
    FILTER(
      $E$2:$E897,
      $A$2:$A897 &gt;= A897 - 30,
      $A$2:$A897 &lt;= A897,
      $E$2:$E897 &gt; 0
    )
  ),
"""")"),"")</f>
        <v/>
      </c>
      <c r="I897" s="14"/>
    </row>
    <row r="898" spans="1:9" ht="15.75" customHeight="1" x14ac:dyDescent="0.25">
      <c r="A898" s="9"/>
      <c r="B898" s="20"/>
      <c r="C898" s="20"/>
      <c r="D898" s="11"/>
      <c r="E898" s="11"/>
      <c r="F898" s="13"/>
      <c r="G898" s="14"/>
      <c r="H898" s="14" t="str">
        <f ca="1">IFERROR(__xludf.DUMMYFUNCTION("IFERROR(
  AVERAGE(
    FILTER(
      $E$2:$E898,
      $A$2:$A898 &gt;= A898 - 30,
      $A$2:$A898 &lt;= A898,
      $E$2:$E898 &gt; 0
    )
  ),
"""")"),"")</f>
        <v/>
      </c>
      <c r="I898" s="14"/>
    </row>
    <row r="899" spans="1:9" ht="15.75" customHeight="1" x14ac:dyDescent="0.25">
      <c r="A899" s="9"/>
      <c r="B899" s="20"/>
      <c r="C899" s="20"/>
      <c r="D899" s="11"/>
      <c r="E899" s="11"/>
      <c r="F899" s="13"/>
      <c r="G899" s="14"/>
      <c r="H899" s="14" t="str">
        <f ca="1">IFERROR(__xludf.DUMMYFUNCTION("IFERROR(
  AVERAGE(
    FILTER(
      $E$2:$E899,
      $A$2:$A899 &gt;= A899 - 30,
      $A$2:$A899 &lt;= A899,
      $E$2:$E899 &gt; 0
    )
  ),
"""")"),"")</f>
        <v/>
      </c>
      <c r="I899" s="14"/>
    </row>
    <row r="900" spans="1:9" ht="15.75" customHeight="1" x14ac:dyDescent="0.25">
      <c r="A900" s="9"/>
      <c r="B900" s="20"/>
      <c r="C900" s="20"/>
      <c r="D900" s="11"/>
      <c r="E900" s="11"/>
      <c r="F900" s="13"/>
      <c r="G900" s="14"/>
      <c r="H900" s="14" t="str">
        <f ca="1">IFERROR(__xludf.DUMMYFUNCTION("IFERROR(
  AVERAGE(
    FILTER(
      $E$2:$E900,
      $A$2:$A900 &gt;= A900 - 30,
      $A$2:$A900 &lt;= A900,
      $E$2:$E900 &gt; 0
    )
  ),
"""")"),"")</f>
        <v/>
      </c>
      <c r="I900" s="14"/>
    </row>
    <row r="901" spans="1:9" ht="15.75" customHeight="1" x14ac:dyDescent="0.25">
      <c r="A901" s="9"/>
      <c r="B901" s="20"/>
      <c r="C901" s="20"/>
      <c r="D901" s="11"/>
      <c r="E901" s="11"/>
      <c r="F901" s="13"/>
      <c r="G901" s="14"/>
      <c r="H901" s="14" t="str">
        <f ca="1">IFERROR(__xludf.DUMMYFUNCTION("IFERROR(
  AVERAGE(
    FILTER(
      $E$2:$E901,
      $A$2:$A901 &gt;= A901 - 30,
      $A$2:$A901 &lt;= A901,
      $E$2:$E901 &gt; 0
    )
  ),
"""")"),"")</f>
        <v/>
      </c>
      <c r="I901" s="14"/>
    </row>
    <row r="902" spans="1:9" ht="15.75" customHeight="1" x14ac:dyDescent="0.25">
      <c r="A902" s="9"/>
      <c r="B902" s="20"/>
      <c r="C902" s="20"/>
      <c r="D902" s="11"/>
      <c r="E902" s="11"/>
      <c r="F902" s="13"/>
      <c r="G902" s="14"/>
      <c r="H902" s="14" t="str">
        <f ca="1">IFERROR(__xludf.DUMMYFUNCTION("IFERROR(
  AVERAGE(
    FILTER(
      $E$2:$E902,
      $A$2:$A902 &gt;= A902 - 30,
      $A$2:$A902 &lt;= A902,
      $E$2:$E902 &gt; 0
    )
  ),
"""")"),"")</f>
        <v/>
      </c>
      <c r="I902" s="14"/>
    </row>
    <row r="903" spans="1:9" ht="15.75" customHeight="1" x14ac:dyDescent="0.25">
      <c r="A903" s="9"/>
      <c r="B903" s="20"/>
      <c r="C903" s="20"/>
      <c r="D903" s="11"/>
      <c r="E903" s="11"/>
      <c r="F903" s="13"/>
      <c r="G903" s="14"/>
      <c r="H903" s="14" t="str">
        <f ca="1">IFERROR(__xludf.DUMMYFUNCTION("IFERROR(
  AVERAGE(
    FILTER(
      $E$2:$E903,
      $A$2:$A903 &gt;= A903 - 30,
      $A$2:$A903 &lt;= A903,
      $E$2:$E903 &gt; 0
    )
  ),
"""")"),"")</f>
        <v/>
      </c>
      <c r="I903" s="14"/>
    </row>
    <row r="904" spans="1:9" ht="15.75" customHeight="1" x14ac:dyDescent="0.25">
      <c r="A904" s="9"/>
      <c r="B904" s="20"/>
      <c r="C904" s="20"/>
      <c r="D904" s="11"/>
      <c r="E904" s="11"/>
      <c r="F904" s="13"/>
      <c r="G904" s="14"/>
      <c r="H904" s="14" t="str">
        <f ca="1">IFERROR(__xludf.DUMMYFUNCTION("IFERROR(
  AVERAGE(
    FILTER(
      $E$2:$E904,
      $A$2:$A904 &gt;= A904 - 30,
      $A$2:$A904 &lt;= A904,
      $E$2:$E904 &gt; 0
    )
  ),
"""")"),"")</f>
        <v/>
      </c>
      <c r="I904" s="14"/>
    </row>
    <row r="905" spans="1:9" ht="15.75" customHeight="1" x14ac:dyDescent="0.25">
      <c r="A905" s="9"/>
      <c r="B905" s="20"/>
      <c r="C905" s="20"/>
      <c r="D905" s="11"/>
      <c r="E905" s="11"/>
      <c r="F905" s="13"/>
      <c r="G905" s="14"/>
      <c r="H905" s="14" t="str">
        <f ca="1">IFERROR(__xludf.DUMMYFUNCTION("IFERROR(
  AVERAGE(
    FILTER(
      $E$2:$E905,
      $A$2:$A905 &gt;= A905 - 30,
      $A$2:$A905 &lt;= A905,
      $E$2:$E905 &gt; 0
    )
  ),
"""")"),"")</f>
        <v/>
      </c>
      <c r="I905" s="14"/>
    </row>
    <row r="906" spans="1:9" ht="15.75" customHeight="1" x14ac:dyDescent="0.25">
      <c r="A906" s="9"/>
      <c r="B906" s="20"/>
      <c r="C906" s="20"/>
      <c r="D906" s="11"/>
      <c r="E906" s="11"/>
      <c r="F906" s="13"/>
      <c r="G906" s="14"/>
      <c r="H906" s="14" t="str">
        <f ca="1">IFERROR(__xludf.DUMMYFUNCTION("IFERROR(
  AVERAGE(
    FILTER(
      $E$2:$E906,
      $A$2:$A906 &gt;= A906 - 30,
      $A$2:$A906 &lt;= A906,
      $E$2:$E906 &gt; 0
    )
  ),
"""")"),"")</f>
        <v/>
      </c>
      <c r="I906" s="14"/>
    </row>
    <row r="907" spans="1:9" ht="15.75" customHeight="1" x14ac:dyDescent="0.25">
      <c r="A907" s="9"/>
      <c r="B907" s="20"/>
      <c r="C907" s="20"/>
      <c r="D907" s="11"/>
      <c r="E907" s="11"/>
      <c r="F907" s="13"/>
      <c r="G907" s="14"/>
      <c r="H907" s="14" t="str">
        <f ca="1">IFERROR(__xludf.DUMMYFUNCTION("IFERROR(
  AVERAGE(
    FILTER(
      $E$2:$E907,
      $A$2:$A907 &gt;= A907 - 30,
      $A$2:$A907 &lt;= A907,
      $E$2:$E907 &gt; 0
    )
  ),
"""")"),"")</f>
        <v/>
      </c>
      <c r="I907" s="14"/>
    </row>
    <row r="908" spans="1:9" ht="15.75" customHeight="1" x14ac:dyDescent="0.25">
      <c r="A908" s="9"/>
      <c r="B908" s="20"/>
      <c r="C908" s="20"/>
      <c r="D908" s="11"/>
      <c r="E908" s="11"/>
      <c r="F908" s="13"/>
      <c r="G908" s="14"/>
      <c r="H908" s="14" t="str">
        <f ca="1">IFERROR(__xludf.DUMMYFUNCTION("IFERROR(
  AVERAGE(
    FILTER(
      $E$2:$E908,
      $A$2:$A908 &gt;= A908 - 30,
      $A$2:$A908 &lt;= A908,
      $E$2:$E908 &gt; 0
    )
  ),
"""")"),"")</f>
        <v/>
      </c>
      <c r="I908" s="14"/>
    </row>
    <row r="909" spans="1:9" ht="15.75" customHeight="1" x14ac:dyDescent="0.25">
      <c r="A909" s="9"/>
      <c r="B909" s="20"/>
      <c r="C909" s="20"/>
      <c r="D909" s="11"/>
      <c r="E909" s="11"/>
      <c r="F909" s="13"/>
      <c r="G909" s="14"/>
      <c r="H909" s="14" t="str">
        <f ca="1">IFERROR(__xludf.DUMMYFUNCTION("IFERROR(
  AVERAGE(
    FILTER(
      $E$2:$E909,
      $A$2:$A909 &gt;= A909 - 30,
      $A$2:$A909 &lt;= A909,
      $E$2:$E909 &gt; 0
    )
  ),
"""")"),"")</f>
        <v/>
      </c>
      <c r="I909" s="14"/>
    </row>
    <row r="910" spans="1:9" ht="15.75" customHeight="1" x14ac:dyDescent="0.25">
      <c r="A910" s="9"/>
      <c r="B910" s="20"/>
      <c r="C910" s="20"/>
      <c r="D910" s="11"/>
      <c r="E910" s="11"/>
      <c r="F910" s="13"/>
      <c r="G910" s="14"/>
      <c r="H910" s="14" t="str">
        <f ca="1">IFERROR(__xludf.DUMMYFUNCTION("IFERROR(
  AVERAGE(
    FILTER(
      $E$2:$E910,
      $A$2:$A910 &gt;= A910 - 30,
      $A$2:$A910 &lt;= A910,
      $E$2:$E910 &gt; 0
    )
  ),
"""")"),"")</f>
        <v/>
      </c>
      <c r="I910" s="14"/>
    </row>
    <row r="911" spans="1:9" ht="15.75" customHeight="1" x14ac:dyDescent="0.25">
      <c r="A911" s="9"/>
      <c r="B911" s="20"/>
      <c r="C911" s="20"/>
      <c r="D911" s="11"/>
      <c r="E911" s="11"/>
      <c r="F911" s="13"/>
      <c r="G911" s="14"/>
      <c r="H911" s="14" t="str">
        <f ca="1">IFERROR(__xludf.DUMMYFUNCTION("IFERROR(
  AVERAGE(
    FILTER(
      $E$2:$E911,
      $A$2:$A911 &gt;= A911 - 30,
      $A$2:$A911 &lt;= A911,
      $E$2:$E911 &gt; 0
    )
  ),
"""")"),"")</f>
        <v/>
      </c>
      <c r="I911" s="14"/>
    </row>
    <row r="912" spans="1:9" ht="15.75" customHeight="1" x14ac:dyDescent="0.25">
      <c r="A912" s="9"/>
      <c r="B912" s="20"/>
      <c r="C912" s="20"/>
      <c r="D912" s="11"/>
      <c r="E912" s="11"/>
      <c r="F912" s="13"/>
      <c r="G912" s="14"/>
      <c r="H912" s="14" t="str">
        <f ca="1">IFERROR(__xludf.DUMMYFUNCTION("IFERROR(
  AVERAGE(
    FILTER(
      $E$2:$E912,
      $A$2:$A912 &gt;= A912 - 30,
      $A$2:$A912 &lt;= A912,
      $E$2:$E912 &gt; 0
    )
  ),
"""")"),"")</f>
        <v/>
      </c>
      <c r="I912" s="14"/>
    </row>
    <row r="913" spans="1:9" ht="15.75" customHeight="1" x14ac:dyDescent="0.25">
      <c r="A913" s="9"/>
      <c r="B913" s="20"/>
      <c r="C913" s="20"/>
      <c r="D913" s="11"/>
      <c r="E913" s="11"/>
      <c r="F913" s="13"/>
      <c r="G913" s="14"/>
      <c r="H913" s="14" t="str">
        <f ca="1">IFERROR(__xludf.DUMMYFUNCTION("IFERROR(
  AVERAGE(
    FILTER(
      $E$2:$E913,
      $A$2:$A913 &gt;= A913 - 30,
      $A$2:$A913 &lt;= A913,
      $E$2:$E913 &gt; 0
    )
  ),
"""")"),"")</f>
        <v/>
      </c>
      <c r="I913" s="14"/>
    </row>
    <row r="914" spans="1:9" ht="15.75" customHeight="1" x14ac:dyDescent="0.25">
      <c r="A914" s="9"/>
      <c r="B914" s="20"/>
      <c r="C914" s="20"/>
      <c r="D914" s="11"/>
      <c r="E914" s="11"/>
      <c r="F914" s="13"/>
      <c r="G914" s="14"/>
      <c r="H914" s="14" t="str">
        <f ca="1">IFERROR(__xludf.DUMMYFUNCTION("IFERROR(
  AVERAGE(
    FILTER(
      $E$2:$E914,
      $A$2:$A914 &gt;= A914 - 30,
      $A$2:$A914 &lt;= A914,
      $E$2:$E914 &gt; 0
    )
  ),
"""")"),"")</f>
        <v/>
      </c>
      <c r="I914" s="14"/>
    </row>
    <row r="915" spans="1:9" ht="15.75" customHeight="1" x14ac:dyDescent="0.25">
      <c r="A915" s="9"/>
      <c r="B915" s="20"/>
      <c r="C915" s="20"/>
      <c r="D915" s="11"/>
      <c r="E915" s="11"/>
      <c r="F915" s="13"/>
      <c r="G915" s="14"/>
      <c r="H915" s="14" t="str">
        <f ca="1">IFERROR(__xludf.DUMMYFUNCTION("IFERROR(
  AVERAGE(
    FILTER(
      $E$2:$E915,
      $A$2:$A915 &gt;= A915 - 30,
      $A$2:$A915 &lt;= A915,
      $E$2:$E915 &gt; 0
    )
  ),
"""")"),"")</f>
        <v/>
      </c>
      <c r="I915" s="14"/>
    </row>
    <row r="916" spans="1:9" ht="15.75" customHeight="1" x14ac:dyDescent="0.25">
      <c r="A916" s="9"/>
      <c r="B916" s="20"/>
      <c r="C916" s="20"/>
      <c r="D916" s="11"/>
      <c r="E916" s="11"/>
      <c r="F916" s="13"/>
      <c r="G916" s="14"/>
      <c r="H916" s="14" t="str">
        <f ca="1">IFERROR(__xludf.DUMMYFUNCTION("IFERROR(
  AVERAGE(
    FILTER(
      $E$2:$E916,
      $A$2:$A916 &gt;= A916 - 30,
      $A$2:$A916 &lt;= A916,
      $E$2:$E916 &gt; 0
    )
  ),
"""")"),"")</f>
        <v/>
      </c>
      <c r="I916" s="14"/>
    </row>
    <row r="917" spans="1:9" ht="15.75" customHeight="1" x14ac:dyDescent="0.25">
      <c r="A917" s="9"/>
      <c r="B917" s="20"/>
      <c r="C917" s="20"/>
      <c r="D917" s="11"/>
      <c r="E917" s="11"/>
      <c r="F917" s="13"/>
      <c r="G917" s="14"/>
      <c r="H917" s="14" t="str">
        <f ca="1">IFERROR(__xludf.DUMMYFUNCTION("IFERROR(
  AVERAGE(
    FILTER(
      $E$2:$E917,
      $A$2:$A917 &gt;= A917 - 30,
      $A$2:$A917 &lt;= A917,
      $E$2:$E917 &gt; 0
    )
  ),
"""")"),"")</f>
        <v/>
      </c>
      <c r="I917" s="14"/>
    </row>
    <row r="918" spans="1:9" ht="15.75" customHeight="1" x14ac:dyDescent="0.25">
      <c r="A918" s="9"/>
      <c r="B918" s="20"/>
      <c r="C918" s="20"/>
      <c r="D918" s="11"/>
      <c r="E918" s="11"/>
      <c r="F918" s="13"/>
      <c r="G918" s="14"/>
      <c r="H918" s="14" t="str">
        <f ca="1">IFERROR(__xludf.DUMMYFUNCTION("IFERROR(
  AVERAGE(
    FILTER(
      $E$2:$E918,
      $A$2:$A918 &gt;= A918 - 30,
      $A$2:$A918 &lt;= A918,
      $E$2:$E918 &gt; 0
    )
  ),
"""")"),"")</f>
        <v/>
      </c>
      <c r="I918" s="14"/>
    </row>
    <row r="919" spans="1:9" ht="15.75" customHeight="1" x14ac:dyDescent="0.25">
      <c r="A919" s="9"/>
      <c r="B919" s="20"/>
      <c r="C919" s="20"/>
      <c r="D919" s="11"/>
      <c r="E919" s="11"/>
      <c r="F919" s="13"/>
      <c r="G919" s="14"/>
      <c r="H919" s="14" t="str">
        <f ca="1">IFERROR(__xludf.DUMMYFUNCTION("IFERROR(
  AVERAGE(
    FILTER(
      $E$2:$E919,
      $A$2:$A919 &gt;= A919 - 30,
      $A$2:$A919 &lt;= A919,
      $E$2:$E919 &gt; 0
    )
  ),
"""")"),"")</f>
        <v/>
      </c>
      <c r="I919" s="14"/>
    </row>
    <row r="920" spans="1:9" ht="15.75" customHeight="1" x14ac:dyDescent="0.25">
      <c r="A920" s="9"/>
      <c r="B920" s="20"/>
      <c r="C920" s="20"/>
      <c r="D920" s="11"/>
      <c r="E920" s="11"/>
      <c r="F920" s="13"/>
      <c r="G920" s="14"/>
      <c r="H920" s="14" t="str">
        <f ca="1">IFERROR(__xludf.DUMMYFUNCTION("IFERROR(
  AVERAGE(
    FILTER(
      $E$2:$E920,
      $A$2:$A920 &gt;= A920 - 30,
      $A$2:$A920 &lt;= A920,
      $E$2:$E920 &gt; 0
    )
  ),
"""")"),"")</f>
        <v/>
      </c>
      <c r="I920" s="14"/>
    </row>
    <row r="921" spans="1:9" ht="15.75" customHeight="1" x14ac:dyDescent="0.25">
      <c r="A921" s="9"/>
      <c r="B921" s="20"/>
      <c r="C921" s="20"/>
      <c r="D921" s="11"/>
      <c r="E921" s="11"/>
      <c r="F921" s="13"/>
      <c r="G921" s="14"/>
      <c r="H921" s="14" t="str">
        <f ca="1">IFERROR(__xludf.DUMMYFUNCTION("IFERROR(
  AVERAGE(
    FILTER(
      $E$2:$E921,
      $A$2:$A921 &gt;= A921 - 30,
      $A$2:$A921 &lt;= A921,
      $E$2:$E921 &gt; 0
    )
  ),
"""")"),"")</f>
        <v/>
      </c>
      <c r="I921" s="14"/>
    </row>
    <row r="922" spans="1:9" ht="15.75" customHeight="1" x14ac:dyDescent="0.25">
      <c r="A922" s="9"/>
      <c r="B922" s="20"/>
      <c r="C922" s="20"/>
      <c r="D922" s="11"/>
      <c r="E922" s="11"/>
      <c r="F922" s="13"/>
      <c r="G922" s="14"/>
      <c r="H922" s="14" t="str">
        <f ca="1">IFERROR(__xludf.DUMMYFUNCTION("IFERROR(
  AVERAGE(
    FILTER(
      $E$2:$E922,
      $A$2:$A922 &gt;= A922 - 30,
      $A$2:$A922 &lt;= A922,
      $E$2:$E922 &gt; 0
    )
  ),
"""")"),"")</f>
        <v/>
      </c>
      <c r="I922" s="14"/>
    </row>
    <row r="923" spans="1:9" ht="15.75" customHeight="1" x14ac:dyDescent="0.25">
      <c r="A923" s="9"/>
      <c r="B923" s="20"/>
      <c r="C923" s="20"/>
      <c r="D923" s="11"/>
      <c r="E923" s="11"/>
      <c r="F923" s="13"/>
      <c r="G923" s="14"/>
      <c r="H923" s="14" t="str">
        <f ca="1">IFERROR(__xludf.DUMMYFUNCTION("IFERROR(
  AVERAGE(
    FILTER(
      $E$2:$E923,
      $A$2:$A923 &gt;= A923 - 30,
      $A$2:$A923 &lt;= A923,
      $E$2:$E923 &gt; 0
    )
  ),
"""")"),"")</f>
        <v/>
      </c>
      <c r="I923" s="14"/>
    </row>
    <row r="924" spans="1:9" ht="15.75" customHeight="1" x14ac:dyDescent="0.25">
      <c r="A924" s="9"/>
      <c r="B924" s="20"/>
      <c r="C924" s="20"/>
      <c r="D924" s="11"/>
      <c r="E924" s="11"/>
      <c r="F924" s="13"/>
      <c r="G924" s="14"/>
      <c r="H924" s="14" t="str">
        <f ca="1">IFERROR(__xludf.DUMMYFUNCTION("IFERROR(
  AVERAGE(
    FILTER(
      $E$2:$E924,
      $A$2:$A924 &gt;= A924 - 30,
      $A$2:$A924 &lt;= A924,
      $E$2:$E924 &gt; 0
    )
  ),
"""")"),"")</f>
        <v/>
      </c>
      <c r="I924" s="14"/>
    </row>
    <row r="925" spans="1:9" ht="15.75" customHeight="1" x14ac:dyDescent="0.25">
      <c r="A925" s="9"/>
      <c r="B925" s="20"/>
      <c r="C925" s="20"/>
      <c r="D925" s="11"/>
      <c r="E925" s="11"/>
      <c r="F925" s="13"/>
      <c r="G925" s="14"/>
      <c r="H925" s="14" t="str">
        <f ca="1">IFERROR(__xludf.DUMMYFUNCTION("IFERROR(
  AVERAGE(
    FILTER(
      $E$2:$E925,
      $A$2:$A925 &gt;= A925 - 30,
      $A$2:$A925 &lt;= A925,
      $E$2:$E925 &gt; 0
    )
  ),
"""")"),"")</f>
        <v/>
      </c>
      <c r="I925" s="14"/>
    </row>
    <row r="926" spans="1:9" ht="15.75" customHeight="1" x14ac:dyDescent="0.25">
      <c r="A926" s="9"/>
      <c r="B926" s="20"/>
      <c r="C926" s="20"/>
      <c r="D926" s="11"/>
      <c r="E926" s="11"/>
      <c r="F926" s="13"/>
      <c r="G926" s="14"/>
      <c r="H926" s="14" t="str">
        <f ca="1">IFERROR(__xludf.DUMMYFUNCTION("IFERROR(
  AVERAGE(
    FILTER(
      $E$2:$E926,
      $A$2:$A926 &gt;= A926 - 30,
      $A$2:$A926 &lt;= A926,
      $E$2:$E926 &gt; 0
    )
  ),
"""")"),"")</f>
        <v/>
      </c>
      <c r="I926" s="14"/>
    </row>
    <row r="927" spans="1:9" ht="15.75" customHeight="1" x14ac:dyDescent="0.25">
      <c r="A927" s="9"/>
      <c r="B927" s="20"/>
      <c r="C927" s="20"/>
      <c r="D927" s="11"/>
      <c r="E927" s="11"/>
      <c r="F927" s="13"/>
      <c r="G927" s="14"/>
      <c r="H927" s="14" t="str">
        <f ca="1">IFERROR(__xludf.DUMMYFUNCTION("IFERROR(
  AVERAGE(
    FILTER(
      $E$2:$E927,
      $A$2:$A927 &gt;= A927 - 30,
      $A$2:$A927 &lt;= A927,
      $E$2:$E927 &gt; 0
    )
  ),
"""")"),"")</f>
        <v/>
      </c>
      <c r="I927" s="14"/>
    </row>
    <row r="928" spans="1:9" ht="15.75" customHeight="1" x14ac:dyDescent="0.25">
      <c r="A928" s="9"/>
      <c r="B928" s="20"/>
      <c r="C928" s="20"/>
      <c r="D928" s="11"/>
      <c r="E928" s="11"/>
      <c r="F928" s="13"/>
      <c r="G928" s="14"/>
      <c r="H928" s="14" t="str">
        <f ca="1">IFERROR(__xludf.DUMMYFUNCTION("IFERROR(
  AVERAGE(
    FILTER(
      $E$2:$E928,
      $A$2:$A928 &gt;= A928 - 30,
      $A$2:$A928 &lt;= A928,
      $E$2:$E928 &gt; 0
    )
  ),
"""")"),"")</f>
        <v/>
      </c>
      <c r="I928" s="14"/>
    </row>
    <row r="929" spans="1:9" ht="15.75" customHeight="1" x14ac:dyDescent="0.25">
      <c r="A929" s="9"/>
      <c r="B929" s="20"/>
      <c r="C929" s="20"/>
      <c r="D929" s="11"/>
      <c r="E929" s="11"/>
      <c r="F929" s="13"/>
      <c r="G929" s="14"/>
      <c r="H929" s="14" t="str">
        <f ca="1">IFERROR(__xludf.DUMMYFUNCTION("IFERROR(
  AVERAGE(
    FILTER(
      $E$2:$E929,
      $A$2:$A929 &gt;= A929 - 30,
      $A$2:$A929 &lt;= A929,
      $E$2:$E929 &gt; 0
    )
  ),
"""")"),"")</f>
        <v/>
      </c>
      <c r="I929" s="14"/>
    </row>
    <row r="930" spans="1:9" ht="15.75" customHeight="1" x14ac:dyDescent="0.25">
      <c r="A930" s="9"/>
      <c r="B930" s="20"/>
      <c r="C930" s="20"/>
      <c r="D930" s="11"/>
      <c r="E930" s="11"/>
      <c r="F930" s="13"/>
      <c r="G930" s="14"/>
      <c r="H930" s="14" t="str">
        <f ca="1">IFERROR(__xludf.DUMMYFUNCTION("IFERROR(
  AVERAGE(
    FILTER(
      $E$2:$E930,
      $A$2:$A930 &gt;= A930 - 30,
      $A$2:$A930 &lt;= A930,
      $E$2:$E930 &gt; 0
    )
  ),
"""")"),"")</f>
        <v/>
      </c>
      <c r="I930" s="14"/>
    </row>
    <row r="931" spans="1:9" ht="15.75" customHeight="1" x14ac:dyDescent="0.25">
      <c r="A931" s="9"/>
      <c r="B931" s="20"/>
      <c r="C931" s="20"/>
      <c r="D931" s="11"/>
      <c r="E931" s="11"/>
      <c r="F931" s="13"/>
      <c r="G931" s="14"/>
      <c r="H931" s="14" t="str">
        <f ca="1">IFERROR(__xludf.DUMMYFUNCTION("IFERROR(
  AVERAGE(
    FILTER(
      $E$2:$E931,
      $A$2:$A931 &gt;= A931 - 30,
      $A$2:$A931 &lt;= A931,
      $E$2:$E931 &gt; 0
    )
  ),
"""")"),"")</f>
        <v/>
      </c>
      <c r="I931" s="14"/>
    </row>
    <row r="932" spans="1:9" ht="15.75" customHeight="1" x14ac:dyDescent="0.25">
      <c r="A932" s="9"/>
      <c r="B932" s="20"/>
      <c r="C932" s="20"/>
      <c r="D932" s="11"/>
      <c r="E932" s="11"/>
      <c r="F932" s="13"/>
      <c r="G932" s="14"/>
      <c r="H932" s="14" t="str">
        <f ca="1">IFERROR(__xludf.DUMMYFUNCTION("IFERROR(
  AVERAGE(
    FILTER(
      $E$2:$E932,
      $A$2:$A932 &gt;= A932 - 30,
      $A$2:$A932 &lt;= A932,
      $E$2:$E932 &gt; 0
    )
  ),
"""")"),"")</f>
        <v/>
      </c>
      <c r="I932" s="14"/>
    </row>
    <row r="933" spans="1:9" ht="15.75" customHeight="1" x14ac:dyDescent="0.25">
      <c r="A933" s="9"/>
      <c r="B933" s="20"/>
      <c r="C933" s="20"/>
      <c r="D933" s="11"/>
      <c r="E933" s="11"/>
      <c r="F933" s="13"/>
      <c r="G933" s="14"/>
      <c r="H933" s="14" t="str">
        <f ca="1">IFERROR(__xludf.DUMMYFUNCTION("IFERROR(
  AVERAGE(
    FILTER(
      $E$2:$E933,
      $A$2:$A933 &gt;= A933 - 30,
      $A$2:$A933 &lt;= A933,
      $E$2:$E933 &gt; 0
    )
  ),
"""")"),"")</f>
        <v/>
      </c>
      <c r="I933" s="14"/>
    </row>
    <row r="934" spans="1:9" ht="15.75" customHeight="1" x14ac:dyDescent="0.25">
      <c r="A934" s="9"/>
      <c r="B934" s="20"/>
      <c r="C934" s="20"/>
      <c r="D934" s="11"/>
      <c r="E934" s="11"/>
      <c r="F934" s="13"/>
      <c r="G934" s="14"/>
      <c r="H934" s="14" t="str">
        <f ca="1">IFERROR(__xludf.DUMMYFUNCTION("IFERROR(
  AVERAGE(
    FILTER(
      $E$2:$E934,
      $A$2:$A934 &gt;= A934 - 30,
      $A$2:$A934 &lt;= A934,
      $E$2:$E934 &gt; 0
    )
  ),
"""")"),"")</f>
        <v/>
      </c>
      <c r="I934" s="14"/>
    </row>
    <row r="935" spans="1:9" ht="15.75" customHeight="1" x14ac:dyDescent="0.25">
      <c r="A935" s="9"/>
      <c r="B935" s="20"/>
      <c r="C935" s="20"/>
      <c r="D935" s="11"/>
      <c r="E935" s="11"/>
      <c r="F935" s="13"/>
      <c r="G935" s="14"/>
      <c r="H935" s="14" t="str">
        <f ca="1">IFERROR(__xludf.DUMMYFUNCTION("IFERROR(
  AVERAGE(
    FILTER(
      $E$2:$E935,
      $A$2:$A935 &gt;= A935 - 30,
      $A$2:$A935 &lt;= A935,
      $E$2:$E935 &gt; 0
    )
  ),
"""")"),"")</f>
        <v/>
      </c>
      <c r="I935" s="14"/>
    </row>
    <row r="936" spans="1:9" ht="15.75" customHeight="1" x14ac:dyDescent="0.25">
      <c r="A936" s="9"/>
      <c r="B936" s="20"/>
      <c r="C936" s="20"/>
      <c r="D936" s="11"/>
      <c r="E936" s="11"/>
      <c r="F936" s="13"/>
      <c r="G936" s="14"/>
      <c r="H936" s="14" t="str">
        <f ca="1">IFERROR(__xludf.DUMMYFUNCTION("IFERROR(
  AVERAGE(
    FILTER(
      $E$2:$E936,
      $A$2:$A936 &gt;= A936 - 30,
      $A$2:$A936 &lt;= A936,
      $E$2:$E936 &gt; 0
    )
  ),
"""")"),"")</f>
        <v/>
      </c>
      <c r="I936" s="14"/>
    </row>
    <row r="937" spans="1:9" ht="15.75" customHeight="1" x14ac:dyDescent="0.25">
      <c r="A937" s="9"/>
      <c r="B937" s="20"/>
      <c r="C937" s="20"/>
      <c r="D937" s="11"/>
      <c r="E937" s="11"/>
      <c r="F937" s="13"/>
      <c r="G937" s="14"/>
      <c r="H937" s="14" t="str">
        <f ca="1">IFERROR(__xludf.DUMMYFUNCTION("IFERROR(
  AVERAGE(
    FILTER(
      $E$2:$E937,
      $A$2:$A937 &gt;= A937 - 30,
      $A$2:$A937 &lt;= A937,
      $E$2:$E937 &gt; 0
    )
  ),
"""")"),"")</f>
        <v/>
      </c>
      <c r="I937" s="14"/>
    </row>
    <row r="938" spans="1:9" ht="15.75" customHeight="1" x14ac:dyDescent="0.25">
      <c r="A938" s="9"/>
      <c r="B938" s="20"/>
      <c r="C938" s="20"/>
      <c r="D938" s="11"/>
      <c r="E938" s="11"/>
      <c r="F938" s="13"/>
      <c r="G938" s="14"/>
      <c r="H938" s="14" t="str">
        <f ca="1">IFERROR(__xludf.DUMMYFUNCTION("IFERROR(
  AVERAGE(
    FILTER(
      $E$2:$E938,
      $A$2:$A938 &gt;= A938 - 30,
      $A$2:$A938 &lt;= A938,
      $E$2:$E938 &gt; 0
    )
  ),
"""")"),"")</f>
        <v/>
      </c>
      <c r="I938" s="14"/>
    </row>
    <row r="939" spans="1:9" ht="15.75" customHeight="1" x14ac:dyDescent="0.25">
      <c r="A939" s="9"/>
      <c r="B939" s="20"/>
      <c r="C939" s="20"/>
      <c r="D939" s="11"/>
      <c r="E939" s="11"/>
      <c r="F939" s="13"/>
      <c r="G939" s="14"/>
      <c r="H939" s="14" t="str">
        <f ca="1">IFERROR(__xludf.DUMMYFUNCTION("IFERROR(
  AVERAGE(
    FILTER(
      $E$2:$E939,
      $A$2:$A939 &gt;= A939 - 30,
      $A$2:$A939 &lt;= A939,
      $E$2:$E939 &gt; 0
    )
  ),
"""")"),"")</f>
        <v/>
      </c>
      <c r="I939" s="14"/>
    </row>
    <row r="940" spans="1:9" ht="15.75" customHeight="1" x14ac:dyDescent="0.25">
      <c r="A940" s="9"/>
      <c r="B940" s="20"/>
      <c r="C940" s="20"/>
      <c r="D940" s="11"/>
      <c r="E940" s="11"/>
      <c r="F940" s="13"/>
      <c r="G940" s="14"/>
      <c r="H940" s="14" t="str">
        <f ca="1">IFERROR(__xludf.DUMMYFUNCTION("IFERROR(
  AVERAGE(
    FILTER(
      $E$2:$E940,
      $A$2:$A940 &gt;= A940 - 30,
      $A$2:$A940 &lt;= A940,
      $E$2:$E940 &gt; 0
    )
  ),
"""")"),"")</f>
        <v/>
      </c>
      <c r="I940" s="14"/>
    </row>
    <row r="941" spans="1:9" ht="15.75" customHeight="1" x14ac:dyDescent="0.25">
      <c r="A941" s="9"/>
      <c r="B941" s="20"/>
      <c r="C941" s="20"/>
      <c r="D941" s="11"/>
      <c r="E941" s="11"/>
      <c r="F941" s="13"/>
      <c r="G941" s="14"/>
      <c r="H941" s="14" t="str">
        <f ca="1">IFERROR(__xludf.DUMMYFUNCTION("IFERROR(
  AVERAGE(
    FILTER(
      $E$2:$E941,
      $A$2:$A941 &gt;= A941 - 30,
      $A$2:$A941 &lt;= A941,
      $E$2:$E941 &gt; 0
    )
  ),
"""")"),"")</f>
        <v/>
      </c>
      <c r="I941" s="14"/>
    </row>
    <row r="942" spans="1:9" ht="15.75" customHeight="1" x14ac:dyDescent="0.25">
      <c r="A942" s="9"/>
      <c r="B942" s="20"/>
      <c r="C942" s="20"/>
      <c r="D942" s="11"/>
      <c r="E942" s="11"/>
      <c r="F942" s="13"/>
      <c r="G942" s="14"/>
      <c r="H942" s="14" t="str">
        <f ca="1">IFERROR(__xludf.DUMMYFUNCTION("IFERROR(
  AVERAGE(
    FILTER(
      $E$2:$E942,
      $A$2:$A942 &gt;= A942 - 30,
      $A$2:$A942 &lt;= A942,
      $E$2:$E942 &gt; 0
    )
  ),
"""")"),"")</f>
        <v/>
      </c>
      <c r="I942" s="14"/>
    </row>
    <row r="943" spans="1:9" ht="15.75" customHeight="1" x14ac:dyDescent="0.25">
      <c r="A943" s="9"/>
      <c r="B943" s="20"/>
      <c r="C943" s="20"/>
      <c r="D943" s="11"/>
      <c r="E943" s="11"/>
      <c r="F943" s="13"/>
      <c r="G943" s="14"/>
      <c r="H943" s="14" t="str">
        <f ca="1">IFERROR(__xludf.DUMMYFUNCTION("IFERROR(
  AVERAGE(
    FILTER(
      $E$2:$E943,
      $A$2:$A943 &gt;= A943 - 30,
      $A$2:$A943 &lt;= A943,
      $E$2:$E943 &gt; 0
    )
  ),
"""")"),"")</f>
        <v/>
      </c>
      <c r="I943" s="14"/>
    </row>
    <row r="944" spans="1:9" ht="15.75" customHeight="1" x14ac:dyDescent="0.25">
      <c r="A944" s="9"/>
      <c r="B944" s="20"/>
      <c r="C944" s="20"/>
      <c r="D944" s="11"/>
      <c r="E944" s="11"/>
      <c r="F944" s="13"/>
      <c r="G944" s="14"/>
      <c r="H944" s="14" t="str">
        <f ca="1">IFERROR(__xludf.DUMMYFUNCTION("IFERROR(
  AVERAGE(
    FILTER(
      $E$2:$E944,
      $A$2:$A944 &gt;= A944 - 30,
      $A$2:$A944 &lt;= A944,
      $E$2:$E944 &gt; 0
    )
  ),
"""")"),"")</f>
        <v/>
      </c>
      <c r="I944" s="14"/>
    </row>
    <row r="945" spans="1:9" ht="15.75" customHeight="1" x14ac:dyDescent="0.25">
      <c r="A945" s="9"/>
      <c r="B945" s="20"/>
      <c r="C945" s="20"/>
      <c r="D945" s="11"/>
      <c r="E945" s="11"/>
      <c r="F945" s="13"/>
      <c r="G945" s="14"/>
      <c r="H945" s="14" t="str">
        <f ca="1">IFERROR(__xludf.DUMMYFUNCTION("IFERROR(
  AVERAGE(
    FILTER(
      $E$2:$E945,
      $A$2:$A945 &gt;= A945 - 30,
      $A$2:$A945 &lt;= A945,
      $E$2:$E945 &gt; 0
    )
  ),
"""")"),"")</f>
        <v/>
      </c>
      <c r="I945" s="14"/>
    </row>
    <row r="946" spans="1:9" ht="15.75" customHeight="1" x14ac:dyDescent="0.25">
      <c r="A946" s="9"/>
      <c r="B946" s="20"/>
      <c r="C946" s="20"/>
      <c r="D946" s="11"/>
      <c r="E946" s="11"/>
      <c r="F946" s="13"/>
      <c r="G946" s="14"/>
      <c r="H946" s="14" t="str">
        <f ca="1">IFERROR(__xludf.DUMMYFUNCTION("IFERROR(
  AVERAGE(
    FILTER(
      $E$2:$E946,
      $A$2:$A946 &gt;= A946 - 30,
      $A$2:$A946 &lt;= A946,
      $E$2:$E946 &gt; 0
    )
  ),
"""")"),"")</f>
        <v/>
      </c>
      <c r="I946" s="14"/>
    </row>
    <row r="947" spans="1:9" ht="15.75" customHeight="1" x14ac:dyDescent="0.25">
      <c r="A947" s="9"/>
      <c r="B947" s="20"/>
      <c r="C947" s="20"/>
      <c r="D947" s="11"/>
      <c r="E947" s="11"/>
      <c r="F947" s="13"/>
      <c r="G947" s="14"/>
      <c r="H947" s="14" t="str">
        <f ca="1">IFERROR(__xludf.DUMMYFUNCTION("IFERROR(
  AVERAGE(
    FILTER(
      $E$2:$E947,
      $A$2:$A947 &gt;= A947 - 30,
      $A$2:$A947 &lt;= A947,
      $E$2:$E947 &gt; 0
    )
  ),
"""")"),"")</f>
        <v/>
      </c>
      <c r="I947" s="14"/>
    </row>
    <row r="948" spans="1:9" ht="15.75" customHeight="1" x14ac:dyDescent="0.25">
      <c r="A948" s="9"/>
      <c r="B948" s="20"/>
      <c r="C948" s="20"/>
      <c r="D948" s="11"/>
      <c r="E948" s="11"/>
      <c r="F948" s="13"/>
      <c r="G948" s="14"/>
      <c r="H948" s="14" t="str">
        <f ca="1">IFERROR(__xludf.DUMMYFUNCTION("IFERROR(
  AVERAGE(
    FILTER(
      $E$2:$E948,
      $A$2:$A948 &gt;= A948 - 30,
      $A$2:$A948 &lt;= A948,
      $E$2:$E948 &gt; 0
    )
  ),
"""")"),"")</f>
        <v/>
      </c>
      <c r="I948" s="14"/>
    </row>
    <row r="949" spans="1:9" ht="15.75" customHeight="1" x14ac:dyDescent="0.25">
      <c r="A949" s="9"/>
      <c r="B949" s="20"/>
      <c r="C949" s="20"/>
      <c r="D949" s="11"/>
      <c r="E949" s="11"/>
      <c r="F949" s="13"/>
      <c r="G949" s="14"/>
      <c r="H949" s="14" t="str">
        <f ca="1">IFERROR(__xludf.DUMMYFUNCTION("IFERROR(
  AVERAGE(
    FILTER(
      $E$2:$E949,
      $A$2:$A949 &gt;= A949 - 30,
      $A$2:$A949 &lt;= A949,
      $E$2:$E949 &gt; 0
    )
  ),
"""")"),"")</f>
        <v/>
      </c>
      <c r="I949" s="14"/>
    </row>
    <row r="950" spans="1:9" ht="15.75" customHeight="1" x14ac:dyDescent="0.25">
      <c r="A950" s="9"/>
      <c r="B950" s="20"/>
      <c r="C950" s="20"/>
      <c r="D950" s="11"/>
      <c r="E950" s="11"/>
      <c r="F950" s="13"/>
      <c r="G950" s="14"/>
      <c r="H950" s="14" t="str">
        <f ca="1">IFERROR(__xludf.DUMMYFUNCTION("IFERROR(
  AVERAGE(
    FILTER(
      $E$2:$E950,
      $A$2:$A950 &gt;= A950 - 30,
      $A$2:$A950 &lt;= A950,
      $E$2:$E950 &gt; 0
    )
  ),
"""")"),"")</f>
        <v/>
      </c>
      <c r="I950" s="14"/>
    </row>
    <row r="951" spans="1:9" ht="15.75" customHeight="1" x14ac:dyDescent="0.25">
      <c r="A951" s="9"/>
      <c r="B951" s="20"/>
      <c r="C951" s="20"/>
      <c r="D951" s="11"/>
      <c r="E951" s="11"/>
      <c r="F951" s="13"/>
      <c r="G951" s="14"/>
      <c r="H951" s="14" t="str">
        <f ca="1">IFERROR(__xludf.DUMMYFUNCTION("IFERROR(
  AVERAGE(
    FILTER(
      $E$2:$E951,
      $A$2:$A951 &gt;= A951 - 30,
      $A$2:$A951 &lt;= A951,
      $E$2:$E951 &gt; 0
    )
  ),
"""")"),"")</f>
        <v/>
      </c>
      <c r="I951" s="14"/>
    </row>
    <row r="952" spans="1:9" ht="15.75" customHeight="1" x14ac:dyDescent="0.25">
      <c r="A952" s="9"/>
      <c r="B952" s="20"/>
      <c r="C952" s="20"/>
      <c r="D952" s="11"/>
      <c r="E952" s="11"/>
      <c r="F952" s="13"/>
      <c r="G952" s="14"/>
      <c r="H952" s="14" t="str">
        <f ca="1">IFERROR(__xludf.DUMMYFUNCTION("IFERROR(
  AVERAGE(
    FILTER(
      $E$2:$E952,
      $A$2:$A952 &gt;= A952 - 30,
      $A$2:$A952 &lt;= A952,
      $E$2:$E952 &gt; 0
    )
  ),
"""")"),"")</f>
        <v/>
      </c>
      <c r="I952" s="14"/>
    </row>
    <row r="953" spans="1:9" ht="15.75" customHeight="1" x14ac:dyDescent="0.25">
      <c r="A953" s="9"/>
      <c r="B953" s="20"/>
      <c r="C953" s="20"/>
      <c r="D953" s="11"/>
      <c r="E953" s="11"/>
      <c r="F953" s="13"/>
      <c r="G953" s="14"/>
      <c r="H953" s="14" t="str">
        <f ca="1">IFERROR(__xludf.DUMMYFUNCTION("IFERROR(
  AVERAGE(
    FILTER(
      $E$2:$E953,
      $A$2:$A953 &gt;= A953 - 30,
      $A$2:$A953 &lt;= A953,
      $E$2:$E953 &gt; 0
    )
  ),
"""")"),"")</f>
        <v/>
      </c>
      <c r="I953" s="14"/>
    </row>
    <row r="954" spans="1:9" ht="15.75" customHeight="1" x14ac:dyDescent="0.25">
      <c r="A954" s="9"/>
      <c r="B954" s="20"/>
      <c r="C954" s="20"/>
      <c r="D954" s="11"/>
      <c r="E954" s="11"/>
      <c r="F954" s="13"/>
      <c r="G954" s="14"/>
      <c r="H954" s="14" t="str">
        <f ca="1">IFERROR(__xludf.DUMMYFUNCTION("IFERROR(
  AVERAGE(
    FILTER(
      $E$2:$E954,
      $A$2:$A954 &gt;= A954 - 30,
      $A$2:$A954 &lt;= A954,
      $E$2:$E954 &gt; 0
    )
  ),
"""")"),"")</f>
        <v/>
      </c>
      <c r="I954" s="14"/>
    </row>
    <row r="955" spans="1:9" ht="15.75" customHeight="1" x14ac:dyDescent="0.25">
      <c r="A955" s="9"/>
      <c r="B955" s="20"/>
      <c r="C955" s="20"/>
      <c r="D955" s="11"/>
      <c r="E955" s="11"/>
      <c r="F955" s="13"/>
      <c r="G955" s="14"/>
      <c r="H955" s="14" t="str">
        <f ca="1">IFERROR(__xludf.DUMMYFUNCTION("IFERROR(
  AVERAGE(
    FILTER(
      $E$2:$E955,
      $A$2:$A955 &gt;= A955 - 30,
      $A$2:$A955 &lt;= A955,
      $E$2:$E955 &gt; 0
    )
  ),
"""")"),"")</f>
        <v/>
      </c>
      <c r="I955" s="14"/>
    </row>
    <row r="956" spans="1:9" ht="15.75" customHeight="1" x14ac:dyDescent="0.25">
      <c r="A956" s="9"/>
      <c r="B956" s="20"/>
      <c r="C956" s="20"/>
      <c r="D956" s="11"/>
      <c r="E956" s="11"/>
      <c r="F956" s="13"/>
      <c r="G956" s="14"/>
      <c r="H956" s="14" t="str">
        <f ca="1">IFERROR(__xludf.DUMMYFUNCTION("IFERROR(
  AVERAGE(
    FILTER(
      $E$2:$E956,
      $A$2:$A956 &gt;= A956 - 30,
      $A$2:$A956 &lt;= A956,
      $E$2:$E956 &gt; 0
    )
  ),
"""")"),"")</f>
        <v/>
      </c>
      <c r="I956" s="14"/>
    </row>
    <row r="957" spans="1:9" ht="15.75" customHeight="1" x14ac:dyDescent="0.25">
      <c r="A957" s="9"/>
      <c r="B957" s="20"/>
      <c r="C957" s="20"/>
      <c r="D957" s="11"/>
      <c r="E957" s="11"/>
      <c r="F957" s="13"/>
      <c r="G957" s="14"/>
      <c r="H957" s="14" t="str">
        <f ca="1">IFERROR(__xludf.DUMMYFUNCTION("IFERROR(
  AVERAGE(
    FILTER(
      $E$2:$E957,
      $A$2:$A957 &gt;= A957 - 30,
      $A$2:$A957 &lt;= A957,
      $E$2:$E957 &gt; 0
    )
  ),
"""")"),"")</f>
        <v/>
      </c>
      <c r="I957" s="14"/>
    </row>
    <row r="958" spans="1:9" ht="15.75" customHeight="1" x14ac:dyDescent="0.25">
      <c r="A958" s="9"/>
      <c r="B958" s="20"/>
      <c r="C958" s="20"/>
      <c r="D958" s="11"/>
      <c r="E958" s="11"/>
      <c r="F958" s="13"/>
      <c r="G958" s="14"/>
      <c r="H958" s="14" t="str">
        <f ca="1">IFERROR(__xludf.DUMMYFUNCTION("IFERROR(
  AVERAGE(
    FILTER(
      $E$2:$E958,
      $A$2:$A958 &gt;= A958 - 30,
      $A$2:$A958 &lt;= A958,
      $E$2:$E958 &gt; 0
    )
  ),
"""")"),"")</f>
        <v/>
      </c>
      <c r="I958" s="14"/>
    </row>
    <row r="959" spans="1:9" ht="15.75" customHeight="1" x14ac:dyDescent="0.25">
      <c r="A959" s="9"/>
      <c r="B959" s="20"/>
      <c r="C959" s="20"/>
      <c r="D959" s="11"/>
      <c r="E959" s="11"/>
      <c r="F959" s="13"/>
      <c r="G959" s="14"/>
      <c r="H959" s="14" t="str">
        <f ca="1">IFERROR(__xludf.DUMMYFUNCTION("IFERROR(
  AVERAGE(
    FILTER(
      $E$2:$E959,
      $A$2:$A959 &gt;= A959 - 30,
      $A$2:$A959 &lt;= A959,
      $E$2:$E959 &gt; 0
    )
  ),
"""")"),"")</f>
        <v/>
      </c>
      <c r="I959" s="14"/>
    </row>
    <row r="960" spans="1:9" ht="15.75" customHeight="1" x14ac:dyDescent="0.25">
      <c r="A960" s="9"/>
      <c r="B960" s="20"/>
      <c r="C960" s="20"/>
      <c r="D960" s="11"/>
      <c r="E960" s="11"/>
      <c r="F960" s="13"/>
      <c r="G960" s="14"/>
      <c r="H960" s="14" t="str">
        <f ca="1">IFERROR(__xludf.DUMMYFUNCTION("IFERROR(
  AVERAGE(
    FILTER(
      $E$2:$E960,
      $A$2:$A960 &gt;= A960 - 30,
      $A$2:$A960 &lt;= A960,
      $E$2:$E960 &gt; 0
    )
  ),
"""")"),"")</f>
        <v/>
      </c>
      <c r="I960" s="14"/>
    </row>
    <row r="961" spans="1:9" ht="15.75" customHeight="1" x14ac:dyDescent="0.25">
      <c r="A961" s="9"/>
      <c r="B961" s="20"/>
      <c r="C961" s="20"/>
      <c r="D961" s="11"/>
      <c r="E961" s="11"/>
      <c r="F961" s="13"/>
      <c r="G961" s="14"/>
      <c r="H961" s="14" t="str">
        <f ca="1">IFERROR(__xludf.DUMMYFUNCTION("IFERROR(
  AVERAGE(
    FILTER(
      $E$2:$E961,
      $A$2:$A961 &gt;= A961 - 30,
      $A$2:$A961 &lt;= A961,
      $E$2:$E961 &gt; 0
    )
  ),
"""")"),"")</f>
        <v/>
      </c>
      <c r="I961" s="14"/>
    </row>
    <row r="962" spans="1:9" ht="15.75" customHeight="1" x14ac:dyDescent="0.25">
      <c r="A962" s="9"/>
      <c r="B962" s="20"/>
      <c r="C962" s="20"/>
      <c r="D962" s="11"/>
      <c r="E962" s="11"/>
      <c r="F962" s="13"/>
      <c r="G962" s="14"/>
      <c r="H962" s="14" t="str">
        <f ca="1">IFERROR(__xludf.DUMMYFUNCTION("IFERROR(
  AVERAGE(
    FILTER(
      $E$2:$E962,
      $A$2:$A962 &gt;= A962 - 30,
      $A$2:$A962 &lt;= A962,
      $E$2:$E962 &gt; 0
    )
  ),
"""")"),"")</f>
        <v/>
      </c>
      <c r="I962" s="14"/>
    </row>
    <row r="963" spans="1:9" ht="15.75" customHeight="1" x14ac:dyDescent="0.25">
      <c r="A963" s="9"/>
      <c r="B963" s="20"/>
      <c r="C963" s="20"/>
      <c r="D963" s="11"/>
      <c r="E963" s="11"/>
      <c r="F963" s="13"/>
      <c r="G963" s="14"/>
      <c r="H963" s="14" t="str">
        <f ca="1">IFERROR(__xludf.DUMMYFUNCTION("IFERROR(
  AVERAGE(
    FILTER(
      $E$2:$E963,
      $A$2:$A963 &gt;= A963 - 30,
      $A$2:$A963 &lt;= A963,
      $E$2:$E963 &gt; 0
    )
  ),
"""")"),"")</f>
        <v/>
      </c>
      <c r="I963" s="14"/>
    </row>
    <row r="964" spans="1:9" ht="15.75" customHeight="1" x14ac:dyDescent="0.25">
      <c r="A964" s="9"/>
      <c r="B964" s="20"/>
      <c r="C964" s="20"/>
      <c r="D964" s="11"/>
      <c r="E964" s="11"/>
      <c r="F964" s="13"/>
      <c r="G964" s="14"/>
      <c r="H964" s="14" t="str">
        <f ca="1">IFERROR(__xludf.DUMMYFUNCTION("IFERROR(
  AVERAGE(
    FILTER(
      $E$2:$E964,
      $A$2:$A964 &gt;= A964 - 30,
      $A$2:$A964 &lt;= A964,
      $E$2:$E964 &gt; 0
    )
  ),
"""")"),"")</f>
        <v/>
      </c>
      <c r="I964" s="14"/>
    </row>
    <row r="965" spans="1:9" ht="15.75" customHeight="1" x14ac:dyDescent="0.25">
      <c r="A965" s="9"/>
      <c r="B965" s="20"/>
      <c r="C965" s="20"/>
      <c r="D965" s="11"/>
      <c r="E965" s="11"/>
      <c r="F965" s="13"/>
      <c r="G965" s="14"/>
      <c r="H965" s="14" t="str">
        <f ca="1">IFERROR(__xludf.DUMMYFUNCTION("IFERROR(
  AVERAGE(
    FILTER(
      $E$2:$E965,
      $A$2:$A965 &gt;= A965 - 30,
      $A$2:$A965 &lt;= A965,
      $E$2:$E965 &gt; 0
    )
  ),
"""")"),"")</f>
        <v/>
      </c>
      <c r="I965" s="14"/>
    </row>
    <row r="966" spans="1:9" ht="15.75" customHeight="1" x14ac:dyDescent="0.25">
      <c r="A966" s="9"/>
      <c r="B966" s="20"/>
      <c r="C966" s="20"/>
      <c r="D966" s="11"/>
      <c r="E966" s="11"/>
      <c r="F966" s="13"/>
      <c r="G966" s="14"/>
      <c r="H966" s="14" t="str">
        <f ca="1">IFERROR(__xludf.DUMMYFUNCTION("IFERROR(
  AVERAGE(
    FILTER(
      $E$2:$E966,
      $A$2:$A966 &gt;= A966 - 30,
      $A$2:$A966 &lt;= A966,
      $E$2:$E966 &gt; 0
    )
  ),
"""")"),"")</f>
        <v/>
      </c>
      <c r="I966" s="14"/>
    </row>
    <row r="967" spans="1:9" ht="15.75" customHeight="1" x14ac:dyDescent="0.25">
      <c r="A967" s="9"/>
      <c r="B967" s="20"/>
      <c r="C967" s="20"/>
      <c r="D967" s="11"/>
      <c r="E967" s="11"/>
      <c r="F967" s="13"/>
      <c r="G967" s="14"/>
      <c r="H967" s="14" t="str">
        <f ca="1">IFERROR(__xludf.DUMMYFUNCTION("IFERROR(
  AVERAGE(
    FILTER(
      $E$2:$E967,
      $A$2:$A967 &gt;= A967 - 30,
      $A$2:$A967 &lt;= A967,
      $E$2:$E967 &gt; 0
    )
  ),
"""")"),"")</f>
        <v/>
      </c>
      <c r="I967" s="14"/>
    </row>
    <row r="968" spans="1:9" ht="15.75" customHeight="1" x14ac:dyDescent="0.25">
      <c r="A968" s="9"/>
      <c r="B968" s="20"/>
      <c r="C968" s="20"/>
      <c r="D968" s="11"/>
      <c r="E968" s="11"/>
      <c r="F968" s="13"/>
      <c r="G968" s="14"/>
      <c r="H968" s="14" t="str">
        <f ca="1">IFERROR(__xludf.DUMMYFUNCTION("IFERROR(
  AVERAGE(
    FILTER(
      $E$2:$E968,
      $A$2:$A968 &gt;= A968 - 30,
      $A$2:$A968 &lt;= A968,
      $E$2:$E968 &gt; 0
    )
  ),
"""")"),"")</f>
        <v/>
      </c>
      <c r="I968" s="14"/>
    </row>
    <row r="969" spans="1:9" ht="15.75" customHeight="1" x14ac:dyDescent="0.25">
      <c r="A969" s="9"/>
      <c r="B969" s="20"/>
      <c r="C969" s="20"/>
      <c r="D969" s="11"/>
      <c r="E969" s="11"/>
      <c r="F969" s="13"/>
      <c r="G969" s="14"/>
      <c r="H969" s="14" t="str">
        <f ca="1">IFERROR(__xludf.DUMMYFUNCTION("IFERROR(
  AVERAGE(
    FILTER(
      $E$2:$E969,
      $A$2:$A969 &gt;= A969 - 30,
      $A$2:$A969 &lt;= A969,
      $E$2:$E969 &gt; 0
    )
  ),
"""")"),"")</f>
        <v/>
      </c>
      <c r="I969" s="14"/>
    </row>
    <row r="970" spans="1:9" ht="15.75" customHeight="1" x14ac:dyDescent="0.25">
      <c r="A970" s="9"/>
      <c r="B970" s="20"/>
      <c r="C970" s="20"/>
      <c r="D970" s="11"/>
      <c r="E970" s="11"/>
      <c r="F970" s="13"/>
      <c r="G970" s="14"/>
      <c r="H970" s="14" t="str">
        <f ca="1">IFERROR(__xludf.DUMMYFUNCTION("IFERROR(
  AVERAGE(
    FILTER(
      $E$2:$E970,
      $A$2:$A970 &gt;= A970 - 30,
      $A$2:$A970 &lt;= A970,
      $E$2:$E970 &gt; 0
    )
  ),
"""")"),"")</f>
        <v/>
      </c>
      <c r="I970" s="14"/>
    </row>
    <row r="971" spans="1:9" ht="15.75" customHeight="1" x14ac:dyDescent="0.25">
      <c r="A971" s="9"/>
      <c r="B971" s="20"/>
      <c r="C971" s="20"/>
      <c r="D971" s="11"/>
      <c r="E971" s="11"/>
      <c r="F971" s="13"/>
      <c r="G971" s="14"/>
      <c r="H971" s="14" t="str">
        <f ca="1">IFERROR(__xludf.DUMMYFUNCTION("IFERROR(
  AVERAGE(
    FILTER(
      $E$2:$E971,
      $A$2:$A971 &gt;= A971 - 30,
      $A$2:$A971 &lt;= A971,
      $E$2:$E971 &gt; 0
    )
  ),
"""")"),"")</f>
        <v/>
      </c>
      <c r="I971" s="14"/>
    </row>
    <row r="972" spans="1:9" ht="15.75" customHeight="1" x14ac:dyDescent="0.25">
      <c r="A972" s="9"/>
      <c r="B972" s="20"/>
      <c r="C972" s="20"/>
      <c r="D972" s="11"/>
      <c r="E972" s="11"/>
      <c r="F972" s="13"/>
      <c r="G972" s="14"/>
      <c r="H972" s="14" t="str">
        <f ca="1">IFERROR(__xludf.DUMMYFUNCTION("IFERROR(
  AVERAGE(
    FILTER(
      $E$2:$E972,
      $A$2:$A972 &gt;= A972 - 30,
      $A$2:$A972 &lt;= A972,
      $E$2:$E972 &gt; 0
    )
  ),
"""")"),"")</f>
        <v/>
      </c>
      <c r="I972" s="14"/>
    </row>
    <row r="973" spans="1:9" ht="15.75" customHeight="1" x14ac:dyDescent="0.25">
      <c r="A973" s="9"/>
      <c r="B973" s="20"/>
      <c r="C973" s="20"/>
      <c r="D973" s="11"/>
      <c r="E973" s="11"/>
      <c r="F973" s="13"/>
      <c r="G973" s="14"/>
      <c r="H973" s="14" t="str">
        <f ca="1">IFERROR(__xludf.DUMMYFUNCTION("IFERROR(
  AVERAGE(
    FILTER(
      $E$2:$E973,
      $A$2:$A973 &gt;= A973 - 30,
      $A$2:$A973 &lt;= A973,
      $E$2:$E973 &gt; 0
    )
  ),
"""")"),"")</f>
        <v/>
      </c>
      <c r="I973" s="14"/>
    </row>
    <row r="974" spans="1:9" ht="15.75" customHeight="1" x14ac:dyDescent="0.25">
      <c r="A974" s="9"/>
      <c r="B974" s="20"/>
      <c r="C974" s="20"/>
      <c r="D974" s="11"/>
      <c r="E974" s="11"/>
      <c r="F974" s="13"/>
      <c r="G974" s="14"/>
      <c r="H974" s="14" t="str">
        <f ca="1">IFERROR(__xludf.DUMMYFUNCTION("IFERROR(
  AVERAGE(
    FILTER(
      $E$2:$E974,
      $A$2:$A974 &gt;= A974 - 30,
      $A$2:$A974 &lt;= A974,
      $E$2:$E974 &gt; 0
    )
  ),
"""")"),"")</f>
        <v/>
      </c>
      <c r="I974" s="14"/>
    </row>
    <row r="975" spans="1:9" ht="15.75" customHeight="1" x14ac:dyDescent="0.25">
      <c r="A975" s="9"/>
      <c r="B975" s="20"/>
      <c r="C975" s="20"/>
      <c r="D975" s="11"/>
      <c r="E975" s="11"/>
      <c r="F975" s="13"/>
      <c r="G975" s="14"/>
      <c r="H975" s="14" t="str">
        <f ca="1">IFERROR(__xludf.DUMMYFUNCTION("IFERROR(
  AVERAGE(
    FILTER(
      $E$2:$E975,
      $A$2:$A975 &gt;= A975 - 30,
      $A$2:$A975 &lt;= A975,
      $E$2:$E975 &gt; 0
    )
  ),
"""")"),"")</f>
        <v/>
      </c>
      <c r="I975" s="14"/>
    </row>
    <row r="976" spans="1:9" ht="15.75" customHeight="1" x14ac:dyDescent="0.25">
      <c r="A976" s="9"/>
      <c r="B976" s="20"/>
      <c r="C976" s="20"/>
      <c r="D976" s="11"/>
      <c r="E976" s="11"/>
      <c r="F976" s="13"/>
      <c r="G976" s="14"/>
      <c r="H976" s="14" t="str">
        <f ca="1">IFERROR(__xludf.DUMMYFUNCTION("IFERROR(
  AVERAGE(
    FILTER(
      $E$2:$E976,
      $A$2:$A976 &gt;= A976 - 30,
      $A$2:$A976 &lt;= A976,
      $E$2:$E976 &gt; 0
    )
  ),
"""")"),"")</f>
        <v/>
      </c>
      <c r="I976" s="14"/>
    </row>
    <row r="977" spans="1:9" ht="15.75" customHeight="1" x14ac:dyDescent="0.25">
      <c r="A977" s="9"/>
      <c r="B977" s="20"/>
      <c r="C977" s="20"/>
      <c r="D977" s="11"/>
      <c r="E977" s="11"/>
      <c r="F977" s="13"/>
      <c r="G977" s="14"/>
      <c r="H977" s="14" t="str">
        <f ca="1">IFERROR(__xludf.DUMMYFUNCTION("IFERROR(
  AVERAGE(
    FILTER(
      $E$2:$E977,
      $A$2:$A977 &gt;= A977 - 30,
      $A$2:$A977 &lt;= A977,
      $E$2:$E977 &gt; 0
    )
  ),
"""")"),"")</f>
        <v/>
      </c>
      <c r="I977" s="14"/>
    </row>
    <row r="978" spans="1:9" ht="15.75" customHeight="1" x14ac:dyDescent="0.25">
      <c r="A978" s="9"/>
      <c r="B978" s="20"/>
      <c r="C978" s="20"/>
      <c r="D978" s="11"/>
      <c r="E978" s="11"/>
      <c r="F978" s="13"/>
      <c r="G978" s="14"/>
      <c r="H978" s="14" t="str">
        <f ca="1">IFERROR(__xludf.DUMMYFUNCTION("IFERROR(
  AVERAGE(
    FILTER(
      $E$2:$E978,
      $A$2:$A978 &gt;= A978 - 30,
      $A$2:$A978 &lt;= A978,
      $E$2:$E978 &gt; 0
    )
  ),
"""")"),"")</f>
        <v/>
      </c>
      <c r="I978" s="14"/>
    </row>
    <row r="979" spans="1:9" ht="15.75" customHeight="1" x14ac:dyDescent="0.25">
      <c r="A979" s="9"/>
      <c r="B979" s="20"/>
      <c r="C979" s="20"/>
      <c r="D979" s="11"/>
      <c r="E979" s="11"/>
      <c r="F979" s="13"/>
      <c r="G979" s="14"/>
      <c r="H979" s="14" t="str">
        <f ca="1">IFERROR(__xludf.DUMMYFUNCTION("IFERROR(
  AVERAGE(
    FILTER(
      $E$2:$E979,
      $A$2:$A979 &gt;= A979 - 30,
      $A$2:$A979 &lt;= A979,
      $E$2:$E979 &gt; 0
    )
  ),
"""")"),"")</f>
        <v/>
      </c>
      <c r="I979" s="14"/>
    </row>
    <row r="980" spans="1:9" ht="15.75" customHeight="1" x14ac:dyDescent="0.25">
      <c r="A980" s="9"/>
      <c r="B980" s="20"/>
      <c r="C980" s="20"/>
      <c r="D980" s="11"/>
      <c r="E980" s="11"/>
      <c r="F980" s="13"/>
      <c r="G980" s="14"/>
      <c r="H980" s="14" t="str">
        <f ca="1">IFERROR(__xludf.DUMMYFUNCTION("IFERROR(
  AVERAGE(
    FILTER(
      $E$2:$E980,
      $A$2:$A980 &gt;= A980 - 30,
      $A$2:$A980 &lt;= A980,
      $E$2:$E980 &gt; 0
    )
  ),
"""")"),"")</f>
        <v/>
      </c>
      <c r="I980" s="14"/>
    </row>
    <row r="981" spans="1:9" ht="15.75" customHeight="1" x14ac:dyDescent="0.25">
      <c r="A981" s="9"/>
      <c r="B981" s="20"/>
      <c r="C981" s="20"/>
      <c r="D981" s="11"/>
      <c r="E981" s="11"/>
      <c r="F981" s="13"/>
      <c r="G981" s="14"/>
      <c r="H981" s="14" t="str">
        <f ca="1">IFERROR(__xludf.DUMMYFUNCTION("IFERROR(
  AVERAGE(
    FILTER(
      $E$2:$E981,
      $A$2:$A981 &gt;= A981 - 30,
      $A$2:$A981 &lt;= A981,
      $E$2:$E981 &gt; 0
    )
  ),
"""")"),"")</f>
        <v/>
      </c>
      <c r="I981" s="14"/>
    </row>
    <row r="982" spans="1:9" ht="15.75" customHeight="1" x14ac:dyDescent="0.25">
      <c r="A982" s="9"/>
      <c r="B982" s="20"/>
      <c r="C982" s="20"/>
      <c r="D982" s="11"/>
      <c r="E982" s="11"/>
      <c r="F982" s="13"/>
      <c r="G982" s="14"/>
      <c r="H982" s="14" t="str">
        <f ca="1">IFERROR(__xludf.DUMMYFUNCTION("IFERROR(
  AVERAGE(
    FILTER(
      $E$2:$E982,
      $A$2:$A982 &gt;= A982 - 30,
      $A$2:$A982 &lt;= A982,
      $E$2:$E982 &gt; 0
    )
  ),
"""")"),"")</f>
        <v/>
      </c>
      <c r="I982" s="14"/>
    </row>
    <row r="983" spans="1:9" ht="15.75" customHeight="1" x14ac:dyDescent="0.25">
      <c r="A983" s="9"/>
      <c r="B983" s="20"/>
      <c r="C983" s="20"/>
      <c r="D983" s="11"/>
      <c r="E983" s="11"/>
      <c r="F983" s="13"/>
      <c r="G983" s="14"/>
      <c r="H983" s="14" t="str">
        <f ca="1">IFERROR(__xludf.DUMMYFUNCTION("IFERROR(
  AVERAGE(
    FILTER(
      $E$2:$E983,
      $A$2:$A983 &gt;= A983 - 30,
      $A$2:$A983 &lt;= A983,
      $E$2:$E983 &gt; 0
    )
  ),
"""")"),"")</f>
        <v/>
      </c>
      <c r="I983" s="14"/>
    </row>
    <row r="984" spans="1:9" ht="15.75" customHeight="1" x14ac:dyDescent="0.25">
      <c r="A984" s="9"/>
      <c r="B984" s="20"/>
      <c r="C984" s="20"/>
      <c r="D984" s="11"/>
      <c r="E984" s="11"/>
      <c r="F984" s="13"/>
      <c r="G984" s="14"/>
      <c r="H984" s="14" t="str">
        <f ca="1">IFERROR(__xludf.DUMMYFUNCTION("IFERROR(
  AVERAGE(
    FILTER(
      $E$2:$E984,
      $A$2:$A984 &gt;= A984 - 30,
      $A$2:$A984 &lt;= A984,
      $E$2:$E984 &gt; 0
    )
  ),
"""")"),"")</f>
        <v/>
      </c>
      <c r="I984" s="14"/>
    </row>
    <row r="985" spans="1:9" ht="15.75" customHeight="1" x14ac:dyDescent="0.25">
      <c r="A985" s="9"/>
      <c r="B985" s="20"/>
      <c r="C985" s="20"/>
      <c r="D985" s="11"/>
      <c r="E985" s="11"/>
      <c r="F985" s="13"/>
      <c r="G985" s="14"/>
      <c r="H985" s="14" t="str">
        <f ca="1">IFERROR(__xludf.DUMMYFUNCTION("IFERROR(
  AVERAGE(
    FILTER(
      $E$2:$E985,
      $A$2:$A985 &gt;= A985 - 30,
      $A$2:$A985 &lt;= A985,
      $E$2:$E985 &gt; 0
    )
  ),
"""")"),"")</f>
        <v/>
      </c>
      <c r="I985" s="14"/>
    </row>
    <row r="986" spans="1:9" ht="15.75" customHeight="1" x14ac:dyDescent="0.25">
      <c r="A986" s="9"/>
      <c r="B986" s="20"/>
      <c r="C986" s="20"/>
      <c r="D986" s="11"/>
      <c r="E986" s="11"/>
      <c r="F986" s="13"/>
      <c r="G986" s="14"/>
      <c r="H986" s="14" t="str">
        <f ca="1">IFERROR(__xludf.DUMMYFUNCTION("IFERROR(
  AVERAGE(
    FILTER(
      $E$2:$E986,
      $A$2:$A986 &gt;= A986 - 30,
      $A$2:$A986 &lt;= A986,
      $E$2:$E986 &gt; 0
    )
  ),
"""")"),"")</f>
        <v/>
      </c>
      <c r="I986" s="14"/>
    </row>
    <row r="987" spans="1:9" ht="15.75" customHeight="1" x14ac:dyDescent="0.25">
      <c r="A987" s="9"/>
      <c r="B987" s="20"/>
      <c r="C987" s="20"/>
      <c r="D987" s="11"/>
      <c r="E987" s="11"/>
      <c r="F987" s="13"/>
      <c r="G987" s="14"/>
      <c r="H987" s="14" t="str">
        <f ca="1">IFERROR(__xludf.DUMMYFUNCTION("IFERROR(
  AVERAGE(
    FILTER(
      $E$2:$E987,
      $A$2:$A987 &gt;= A987 - 30,
      $A$2:$A987 &lt;= A987,
      $E$2:$E987 &gt; 0
    )
  ),
"""")"),"")</f>
        <v/>
      </c>
      <c r="I987" s="14"/>
    </row>
    <row r="988" spans="1:9" ht="15.75" customHeight="1" x14ac:dyDescent="0.25">
      <c r="A988" s="9"/>
      <c r="B988" s="20"/>
      <c r="C988" s="20"/>
      <c r="D988" s="11"/>
      <c r="E988" s="11"/>
      <c r="F988" s="13"/>
      <c r="G988" s="14"/>
      <c r="H988" s="14" t="str">
        <f ca="1">IFERROR(__xludf.DUMMYFUNCTION("IFERROR(
  AVERAGE(
    FILTER(
      $E$2:$E988,
      $A$2:$A988 &gt;= A988 - 30,
      $A$2:$A988 &lt;= A988,
      $E$2:$E988 &gt; 0
    )
  ),
"""")"),"")</f>
        <v/>
      </c>
      <c r="I988" s="14"/>
    </row>
    <row r="989" spans="1:9" ht="15.75" customHeight="1" x14ac:dyDescent="0.25">
      <c r="A989" s="9"/>
      <c r="B989" s="20"/>
      <c r="C989" s="20"/>
      <c r="D989" s="11"/>
      <c r="E989" s="11"/>
      <c r="F989" s="13"/>
      <c r="G989" s="14"/>
      <c r="H989" s="14" t="str">
        <f ca="1">IFERROR(__xludf.DUMMYFUNCTION("IFERROR(
  AVERAGE(
    FILTER(
      $E$2:$E989,
      $A$2:$A989 &gt;= A989 - 30,
      $A$2:$A989 &lt;= A989,
      $E$2:$E989 &gt; 0
    )
  ),
"""")"),"")</f>
        <v/>
      </c>
      <c r="I989" s="14"/>
    </row>
    <row r="990" spans="1:9" ht="15.75" customHeight="1" x14ac:dyDescent="0.25">
      <c r="A990" s="9"/>
      <c r="B990" s="20"/>
      <c r="C990" s="20"/>
      <c r="D990" s="11"/>
      <c r="E990" s="11"/>
      <c r="F990" s="13"/>
      <c r="G990" s="14"/>
      <c r="H990" s="14" t="str">
        <f ca="1">IFERROR(__xludf.DUMMYFUNCTION("IFERROR(
  AVERAGE(
    FILTER(
      $E$2:$E990,
      $A$2:$A990 &gt;= A990 - 30,
      $A$2:$A990 &lt;= A990,
      $E$2:$E990 &gt; 0
    )
  ),
"""")"),"")</f>
        <v/>
      </c>
      <c r="I990" s="14"/>
    </row>
    <row r="991" spans="1:9" ht="15.75" customHeight="1" x14ac:dyDescent="0.25">
      <c r="A991" s="9"/>
      <c r="B991" s="20"/>
      <c r="C991" s="20"/>
      <c r="D991" s="11"/>
      <c r="E991" s="11"/>
      <c r="F991" s="13"/>
      <c r="G991" s="14"/>
      <c r="H991" s="14" t="str">
        <f ca="1">IFERROR(__xludf.DUMMYFUNCTION("IFERROR(
  AVERAGE(
    FILTER(
      $E$2:$E991,
      $A$2:$A991 &gt;= A991 - 30,
      $A$2:$A991 &lt;= A991,
      $E$2:$E991 &gt; 0
    )
  ),
"""")"),"")</f>
        <v/>
      </c>
      <c r="I991" s="14"/>
    </row>
    <row r="992" spans="1:9" ht="15.75" customHeight="1" x14ac:dyDescent="0.25">
      <c r="A992" s="9"/>
      <c r="B992" s="20"/>
      <c r="C992" s="20"/>
      <c r="D992" s="11"/>
      <c r="E992" s="11"/>
      <c r="F992" s="13"/>
      <c r="G992" s="14"/>
      <c r="H992" s="14" t="str">
        <f ca="1">IFERROR(__xludf.DUMMYFUNCTION("IFERROR(
  AVERAGE(
    FILTER(
      $E$2:$E992,
      $A$2:$A992 &gt;= A992 - 30,
      $A$2:$A992 &lt;= A992,
      $E$2:$E992 &gt; 0
    )
  ),
"""")"),"")</f>
        <v/>
      </c>
      <c r="I992" s="14"/>
    </row>
    <row r="993" spans="1:9" ht="15.75" customHeight="1" x14ac:dyDescent="0.25">
      <c r="A993" s="9"/>
      <c r="B993" s="20"/>
      <c r="C993" s="20"/>
      <c r="D993" s="11"/>
      <c r="E993" s="11"/>
      <c r="F993" s="13"/>
      <c r="G993" s="14"/>
      <c r="H993" s="14" t="str">
        <f ca="1">IFERROR(__xludf.DUMMYFUNCTION("IFERROR(
  AVERAGE(
    FILTER(
      $E$2:$E993,
      $A$2:$A993 &gt;= A993 - 30,
      $A$2:$A993 &lt;= A993,
      $E$2:$E993 &gt; 0
    )
  ),
"""")"),"")</f>
        <v/>
      </c>
      <c r="I993" s="14"/>
    </row>
    <row r="994" spans="1:9" ht="15.75" customHeight="1" x14ac:dyDescent="0.25">
      <c r="A994" s="9"/>
      <c r="B994" s="20"/>
      <c r="C994" s="20"/>
      <c r="D994" s="11"/>
      <c r="E994" s="11"/>
      <c r="F994" s="13"/>
      <c r="G994" s="14"/>
      <c r="H994" s="14" t="str">
        <f ca="1">IFERROR(__xludf.DUMMYFUNCTION("IFERROR(
  AVERAGE(
    FILTER(
      $E$2:$E994,
      $A$2:$A994 &gt;= A994 - 30,
      $A$2:$A994 &lt;= A994,
      $E$2:$E994 &gt; 0
    )
  ),
"""")"),"")</f>
        <v/>
      </c>
      <c r="I994" s="14"/>
    </row>
    <row r="995" spans="1:9" ht="15.75" customHeight="1" x14ac:dyDescent="0.25">
      <c r="A995" s="9"/>
      <c r="B995" s="20"/>
      <c r="C995" s="20"/>
      <c r="D995" s="11"/>
      <c r="E995" s="11"/>
      <c r="F995" s="13"/>
      <c r="G995" s="14"/>
      <c r="H995" s="14" t="str">
        <f ca="1">IFERROR(__xludf.DUMMYFUNCTION("IFERROR(
  AVERAGE(
    FILTER(
      $E$2:$E995,
      $A$2:$A995 &gt;= A995 - 30,
      $A$2:$A995 &lt;= A995,
      $E$2:$E995 &gt; 0
    )
  ),
"""")"),"")</f>
        <v/>
      </c>
      <c r="I995" s="14"/>
    </row>
    <row r="996" spans="1:9" ht="15.75" customHeight="1" x14ac:dyDescent="0.25">
      <c r="A996" s="9"/>
      <c r="B996" s="20"/>
      <c r="C996" s="20"/>
      <c r="D996" s="11"/>
      <c r="E996" s="11"/>
      <c r="F996" s="13"/>
      <c r="G996" s="14"/>
      <c r="H996" s="14" t="str">
        <f ca="1">IFERROR(__xludf.DUMMYFUNCTION("IFERROR(
  AVERAGE(
    FILTER(
      $E$2:$E996,
      $A$2:$A996 &gt;= A996 - 30,
      $A$2:$A996 &lt;= A996,
      $E$2:$E996 &gt; 0
    )
  ),
"""")"),"")</f>
        <v/>
      </c>
      <c r="I996" s="14"/>
    </row>
    <row r="997" spans="1:9" ht="15.75" customHeight="1" x14ac:dyDescent="0.25">
      <c r="A997" s="9"/>
      <c r="B997" s="20"/>
      <c r="C997" s="20"/>
      <c r="D997" s="11"/>
      <c r="E997" s="11"/>
      <c r="F997" s="13"/>
      <c r="G997" s="14"/>
      <c r="H997" s="14" t="str">
        <f ca="1">IFERROR(__xludf.DUMMYFUNCTION("IFERROR(
  AVERAGE(
    FILTER(
      $E$2:$E997,
      $A$2:$A997 &gt;= A997 - 30,
      $A$2:$A997 &lt;= A997,
      $E$2:$E997 &gt; 0
    )
  ),
"""")"),"")</f>
        <v/>
      </c>
      <c r="I997" s="14"/>
    </row>
    <row r="998" spans="1:9" ht="15.75" customHeight="1" x14ac:dyDescent="0.25">
      <c r="A998" s="9"/>
      <c r="B998" s="20"/>
      <c r="C998" s="20"/>
      <c r="D998" s="11"/>
      <c r="E998" s="11"/>
      <c r="F998" s="13"/>
      <c r="G998" s="14"/>
      <c r="H998" s="14" t="str">
        <f ca="1">IFERROR(__xludf.DUMMYFUNCTION("IFERROR(
  AVERAGE(
    FILTER(
      $E$2:$E998,
      $A$2:$A998 &gt;= A998 - 30,
      $A$2:$A998 &lt;= A998,
      $E$2:$E998 &gt; 0
    )
  ),
"""")"),"")</f>
        <v/>
      </c>
      <c r="I998" s="14"/>
    </row>
    <row r="999" spans="1:9" ht="15.75" customHeight="1" x14ac:dyDescent="0.25">
      <c r="A999" s="9"/>
      <c r="B999" s="20"/>
      <c r="C999" s="20"/>
      <c r="D999" s="11"/>
      <c r="E999" s="11"/>
      <c r="F999" s="13"/>
      <c r="G999" s="14"/>
      <c r="H999" s="14" t="str">
        <f ca="1">IFERROR(__xludf.DUMMYFUNCTION("IFERROR(
  AVERAGE(
    FILTER(
      $E$2:$E999,
      $A$2:$A999 &gt;= A999 - 30,
      $A$2:$A999 &lt;= A999,
      $E$2:$E999 &gt; 0
    )
  ),
"""")"),"")</f>
        <v/>
      </c>
      <c r="I999" s="14"/>
    </row>
    <row r="1000" spans="1:9" ht="15.75" customHeight="1" x14ac:dyDescent="0.25">
      <c r="A1000" s="9"/>
      <c r="B1000" s="20"/>
      <c r="C1000" s="20"/>
      <c r="D1000" s="11"/>
      <c r="E1000" s="11"/>
      <c r="F1000" s="13"/>
      <c r="G1000" s="14"/>
      <c r="H1000" s="14" t="str">
        <f ca="1">IFERROR(__xludf.DUMMYFUNCTION("IFERROR(
  AVERAGE(
    FILTER(
      $E$2:$E1000,
      $A$2:$A1000 &gt;= A1000 - 30,
      $A$2:$A1000 &lt;= A1000,
      $E$2:$E1000 &gt; 0
    )
  ),
"""")"),"")</f>
        <v/>
      </c>
      <c r="I1000" s="14"/>
    </row>
    <row r="1001" spans="1:9" ht="15.75" customHeight="1" x14ac:dyDescent="0.25">
      <c r="A1001" s="9"/>
      <c r="B1001" s="20"/>
      <c r="C1001" s="20"/>
      <c r="D1001" s="11"/>
      <c r="E1001" s="11"/>
      <c r="F1001" s="13"/>
      <c r="G1001" s="14"/>
      <c r="H1001" s="14" t="str">
        <f ca="1">IFERROR(__xludf.DUMMYFUNCTION("IFERROR(
  AVERAGE(
    FILTER(
      $E$2:$E1001,
      $A$2:$A1001 &gt;= A1001 - 30,
      $A$2:$A1001 &lt;= A1001,
      $E$2:$E1001 &gt; 0
    )
  ),
"""")"),"")</f>
        <v/>
      </c>
      <c r="I1001" s="14"/>
    </row>
    <row r="1002" spans="1:9" ht="15.75" customHeight="1" x14ac:dyDescent="0.25">
      <c r="A1002" s="9"/>
      <c r="B1002" s="20"/>
      <c r="C1002" s="20"/>
      <c r="D1002" s="11"/>
      <c r="E1002" s="11"/>
      <c r="F1002" s="13"/>
      <c r="G1002" s="14"/>
      <c r="H1002" s="14" t="str">
        <f ca="1">IFERROR(__xludf.DUMMYFUNCTION("IFERROR(
  AVERAGE(
    FILTER(
      $E$2:$E1002,
      $A$2:$A1002 &gt;= A1002 - 30,
      $A$2:$A1002 &lt;= A1002,
      $E$2:$E1002 &gt; 0
    )
  ),
"""")"),"")</f>
        <v/>
      </c>
      <c r="I1002" s="14"/>
    </row>
    <row r="1003" spans="1:9" ht="15.75" customHeight="1" x14ac:dyDescent="0.25">
      <c r="A1003" s="9"/>
      <c r="B1003" s="20"/>
      <c r="C1003" s="20"/>
      <c r="D1003" s="11"/>
      <c r="E1003" s="11"/>
      <c r="F1003" s="13"/>
      <c r="G1003" s="14"/>
      <c r="H1003" s="14" t="str">
        <f ca="1">IFERROR(__xludf.DUMMYFUNCTION("IFERROR(
  AVERAGE(
    FILTER(
      $E$2:$E1003,
      $A$2:$A1003 &gt;= A1003 - 30,
      $A$2:$A1003 &lt;= A1003,
      $E$2:$E1003 &gt; 0
    )
  ),
"""")"),"")</f>
        <v/>
      </c>
      <c r="I1003" s="14"/>
    </row>
    <row r="1004" spans="1:9" ht="15.75" customHeight="1" x14ac:dyDescent="0.25">
      <c r="A1004" s="9"/>
      <c r="B1004" s="20"/>
      <c r="C1004" s="20"/>
      <c r="D1004" s="11"/>
      <c r="E1004" s="11"/>
      <c r="F1004" s="13"/>
      <c r="G1004" s="14"/>
      <c r="H1004" s="14" t="str">
        <f ca="1">IFERROR(__xludf.DUMMYFUNCTION("IFERROR(
  AVERAGE(
    FILTER(
      $E$2:$E1004,
      $A$2:$A1004 &gt;= A1004 - 30,
      $A$2:$A1004 &lt;= A1004,
      $E$2:$E1004 &gt; 0
    )
  ),
"""")"),"")</f>
        <v/>
      </c>
      <c r="I1004" s="14"/>
    </row>
    <row r="1005" spans="1:9" ht="15.75" customHeight="1" x14ac:dyDescent="0.25">
      <c r="A1005" s="9"/>
      <c r="B1005" s="20"/>
      <c r="C1005" s="20"/>
      <c r="D1005" s="11"/>
      <c r="E1005" s="11"/>
      <c r="F1005" s="13"/>
      <c r="G1005" s="14"/>
      <c r="H1005" s="14" t="str">
        <f ca="1">IFERROR(__xludf.DUMMYFUNCTION("IFERROR(
  AVERAGE(
    FILTER(
      $E$2:$E1005,
      $A$2:$A1005 &gt;= A1005 - 30,
      $A$2:$A1005 &lt;= A1005,
      $E$2:$E1005 &gt; 0
    )
  ),
"""")"),"")</f>
        <v/>
      </c>
      <c r="I1005" s="14"/>
    </row>
    <row r="1006" spans="1:9" ht="15.75" customHeight="1" x14ac:dyDescent="0.25">
      <c r="A1006" s="9"/>
      <c r="B1006" s="20"/>
      <c r="C1006" s="20"/>
      <c r="D1006" s="11"/>
      <c r="E1006" s="11"/>
      <c r="F1006" s="13"/>
      <c r="G1006" s="14"/>
      <c r="H1006" s="14" t="str">
        <f ca="1">IFERROR(__xludf.DUMMYFUNCTION("IFERROR(
  AVERAGE(
    FILTER(
      $E$2:$E1006,
      $A$2:$A1006 &gt;= A1006 - 30,
      $A$2:$A1006 &lt;= A1006,
      $E$2:$E1006 &gt; 0
    )
  ),
"""")"),"")</f>
        <v/>
      </c>
      <c r="I1006" s="14"/>
    </row>
    <row r="1007" spans="1:9" ht="15.75" customHeight="1" x14ac:dyDescent="0.25">
      <c r="A1007" s="9"/>
      <c r="B1007" s="20"/>
      <c r="C1007" s="20"/>
      <c r="D1007" s="11"/>
      <c r="E1007" s="11"/>
      <c r="F1007" s="13"/>
      <c r="G1007" s="14"/>
      <c r="H1007" s="14" t="str">
        <f ca="1">IFERROR(__xludf.DUMMYFUNCTION("IFERROR(
  AVERAGE(
    FILTER(
      $E$2:$E1007,
      $A$2:$A1007 &gt;= A1007 - 30,
      $A$2:$A1007 &lt;= A1007,
      $E$2:$E1007 &gt; 0
    )
  ),
"""")"),"")</f>
        <v/>
      </c>
      <c r="I1007" s="14"/>
    </row>
    <row r="1008" spans="1:9" ht="15.75" customHeight="1" x14ac:dyDescent="0.25">
      <c r="A1008" s="9"/>
      <c r="B1008" s="20"/>
      <c r="C1008" s="20"/>
      <c r="D1008" s="11"/>
      <c r="E1008" s="11"/>
      <c r="F1008" s="13"/>
      <c r="G1008" s="14"/>
      <c r="H1008" s="14" t="str">
        <f ca="1">IFERROR(__xludf.DUMMYFUNCTION("IFERROR(
  AVERAGE(
    FILTER(
      $E$2:$E1008,
      $A$2:$A1008 &gt;= A1008 - 30,
      $A$2:$A1008 &lt;= A1008,
      $E$2:$E1008 &gt; 0
    )
  ),
"""")"),"")</f>
        <v/>
      </c>
      <c r="I1008" s="14"/>
    </row>
    <row r="1009" spans="1:9" ht="15.75" customHeight="1" x14ac:dyDescent="0.25">
      <c r="A1009" s="9"/>
      <c r="B1009" s="20"/>
      <c r="C1009" s="20"/>
      <c r="D1009" s="11"/>
      <c r="E1009" s="11"/>
      <c r="F1009" s="13"/>
      <c r="G1009" s="14"/>
      <c r="H1009" s="14" t="str">
        <f ca="1">IFERROR(__xludf.DUMMYFUNCTION("IFERROR(
  AVERAGE(
    FILTER(
      $E$2:$E1009,
      $A$2:$A1009 &gt;= A1009 - 30,
      $A$2:$A1009 &lt;= A1009,
      $E$2:$E1009 &gt; 0
    )
  ),
"""")"),"")</f>
        <v/>
      </c>
      <c r="I1009" s="14"/>
    </row>
    <row r="1010" spans="1:9" ht="15.75" customHeight="1" x14ac:dyDescent="0.25">
      <c r="A1010" s="9"/>
      <c r="B1010" s="20"/>
      <c r="C1010" s="20"/>
      <c r="D1010" s="11"/>
      <c r="E1010" s="11"/>
      <c r="F1010" s="13"/>
      <c r="G1010" s="14"/>
      <c r="H1010" s="14" t="str">
        <f ca="1">IFERROR(__xludf.DUMMYFUNCTION("IFERROR(
  AVERAGE(
    FILTER(
      $E$2:$E1010,
      $A$2:$A1010 &gt;= A1010 - 30,
      $A$2:$A1010 &lt;= A1010,
      $E$2:$E1010 &gt; 0
    )
  ),
"""")"),"")</f>
        <v/>
      </c>
      <c r="I1010" s="14"/>
    </row>
    <row r="1011" spans="1:9" ht="15.75" customHeight="1" x14ac:dyDescent="0.25">
      <c r="A1011" s="9"/>
      <c r="B1011" s="20"/>
      <c r="C1011" s="20"/>
      <c r="D1011" s="11"/>
      <c r="E1011" s="11"/>
      <c r="F1011" s="13"/>
      <c r="G1011" s="14"/>
      <c r="H1011" s="14" t="str">
        <f ca="1">IFERROR(__xludf.DUMMYFUNCTION("IFERROR(
  AVERAGE(
    FILTER(
      $E$2:$E1011,
      $A$2:$A1011 &gt;= A1011 - 30,
      $A$2:$A1011 &lt;= A1011,
      $E$2:$E1011 &gt; 0
    )
  ),
"""")"),"")</f>
        <v/>
      </c>
      <c r="I1011" s="14"/>
    </row>
    <row r="1012" spans="1:9" ht="15.75" customHeight="1" x14ac:dyDescent="0.25">
      <c r="A1012" s="9"/>
      <c r="B1012" s="20"/>
      <c r="C1012" s="20"/>
      <c r="D1012" s="11"/>
      <c r="E1012" s="11"/>
      <c r="F1012" s="13"/>
      <c r="G1012" s="14"/>
      <c r="H1012" s="14" t="str">
        <f ca="1">IFERROR(__xludf.DUMMYFUNCTION("IFERROR(
  AVERAGE(
    FILTER(
      $E$2:$E1012,
      $A$2:$A1012 &gt;= A1012 - 30,
      $A$2:$A1012 &lt;= A1012,
      $E$2:$E1012 &gt; 0
    )
  ),
"""")"),"")</f>
        <v/>
      </c>
      <c r="I1012" s="14"/>
    </row>
    <row r="1013" spans="1:9" ht="15.75" customHeight="1" x14ac:dyDescent="0.25">
      <c r="A1013" s="9"/>
      <c r="B1013" s="20"/>
      <c r="C1013" s="20"/>
      <c r="D1013" s="11"/>
      <c r="E1013" s="11"/>
      <c r="F1013" s="13"/>
      <c r="G1013" s="14"/>
      <c r="H1013" s="14" t="str">
        <f ca="1">IFERROR(__xludf.DUMMYFUNCTION("IFERROR(
  AVERAGE(
    FILTER(
      $E$2:$E1013,
      $A$2:$A1013 &gt;= A1013 - 30,
      $A$2:$A1013 &lt;= A1013,
      $E$2:$E1013 &gt; 0
    )
  ),
"""")"),"")</f>
        <v/>
      </c>
      <c r="I1013" s="14"/>
    </row>
    <row r="1014" spans="1:9" ht="15.75" customHeight="1" x14ac:dyDescent="0.25">
      <c r="A1014" s="9"/>
      <c r="B1014" s="20"/>
      <c r="C1014" s="20"/>
      <c r="D1014" s="11"/>
      <c r="E1014" s="11"/>
      <c r="F1014" s="13"/>
      <c r="G1014" s="14"/>
      <c r="H1014" s="14" t="str">
        <f ca="1">IFERROR(__xludf.DUMMYFUNCTION("IFERROR(
  AVERAGE(
    FILTER(
      $E$2:$E1014,
      $A$2:$A1014 &gt;= A1014 - 30,
      $A$2:$A1014 &lt;= A1014,
      $E$2:$E1014 &gt; 0
    )
  ),
"""")"),"")</f>
        <v/>
      </c>
      <c r="I1014" s="14"/>
    </row>
    <row r="1015" spans="1:9" ht="15.75" customHeight="1" x14ac:dyDescent="0.25">
      <c r="A1015" s="9"/>
      <c r="B1015" s="20"/>
      <c r="C1015" s="20"/>
      <c r="D1015" s="11"/>
      <c r="E1015" s="11"/>
      <c r="F1015" s="13"/>
      <c r="G1015" s="14"/>
      <c r="H1015" s="14" t="str">
        <f ca="1">IFERROR(__xludf.DUMMYFUNCTION("IFERROR(
  AVERAGE(
    FILTER(
      $E$2:$E1015,
      $A$2:$A1015 &gt;= A1015 - 30,
      $A$2:$A1015 &lt;= A1015,
      $E$2:$E1015 &gt; 0
    )
  ),
"""")"),"")</f>
        <v/>
      </c>
      <c r="I1015" s="14"/>
    </row>
    <row r="1016" spans="1:9" ht="15.75" customHeight="1" x14ac:dyDescent="0.25">
      <c r="A1016" s="9"/>
      <c r="B1016" s="20"/>
      <c r="C1016" s="20"/>
      <c r="D1016" s="11"/>
      <c r="E1016" s="11"/>
      <c r="F1016" s="13"/>
      <c r="G1016" s="14"/>
      <c r="H1016" s="14" t="str">
        <f ca="1">IFERROR(__xludf.DUMMYFUNCTION("IFERROR(
  AVERAGE(
    FILTER(
      $E$2:$E1016,
      $A$2:$A1016 &gt;= A1016 - 30,
      $A$2:$A1016 &lt;= A1016,
      $E$2:$E1016 &gt; 0
    )
  ),
"""")"),"")</f>
        <v/>
      </c>
      <c r="I1016" s="14"/>
    </row>
    <row r="1017" spans="1:9" ht="15.75" customHeight="1" x14ac:dyDescent="0.25">
      <c r="A1017" s="9"/>
      <c r="B1017" s="20"/>
      <c r="C1017" s="20"/>
      <c r="D1017" s="11"/>
      <c r="E1017" s="11"/>
      <c r="F1017" s="13"/>
      <c r="G1017" s="14"/>
      <c r="H1017" s="14" t="str">
        <f ca="1">IFERROR(__xludf.DUMMYFUNCTION("IFERROR(
  AVERAGE(
    FILTER(
      $E$2:$E1017,
      $A$2:$A1017 &gt;= A1017 - 30,
      $A$2:$A1017 &lt;= A1017,
      $E$2:$E1017 &gt; 0
    )
  ),
"""")"),"")</f>
        <v/>
      </c>
      <c r="I1017" s="14"/>
    </row>
    <row r="1018" spans="1:9" ht="15.75" customHeight="1" x14ac:dyDescent="0.25">
      <c r="A1018" s="9"/>
      <c r="B1018" s="20"/>
      <c r="C1018" s="20"/>
      <c r="D1018" s="11"/>
      <c r="E1018" s="11"/>
      <c r="F1018" s="13"/>
      <c r="G1018" s="14"/>
      <c r="H1018" s="14" t="str">
        <f ca="1">IFERROR(__xludf.DUMMYFUNCTION("IFERROR(
  AVERAGE(
    FILTER(
      $E$2:$E1018,
      $A$2:$A1018 &gt;= A1018 - 30,
      $A$2:$A1018 &lt;= A1018,
      $E$2:$E1018 &gt; 0
    )
  ),
"""")"),"")</f>
        <v/>
      </c>
      <c r="I1018" s="14"/>
    </row>
    <row r="1019" spans="1:9" ht="15.75" customHeight="1" x14ac:dyDescent="0.25">
      <c r="A1019" s="9"/>
      <c r="B1019" s="20"/>
      <c r="C1019" s="20"/>
      <c r="D1019" s="11"/>
      <c r="E1019" s="11"/>
      <c r="F1019" s="13"/>
      <c r="G1019" s="14"/>
      <c r="H1019" s="14" t="str">
        <f ca="1">IFERROR(__xludf.DUMMYFUNCTION("IFERROR(
  AVERAGE(
    FILTER(
      $E$2:$E1019,
      $A$2:$A1019 &gt;= A1019 - 30,
      $A$2:$A1019 &lt;= A1019,
      $E$2:$E1019 &gt; 0
    )
  ),
"""")"),"")</f>
        <v/>
      </c>
      <c r="I1019" s="14"/>
    </row>
    <row r="1020" spans="1:9" ht="15.75" customHeight="1" x14ac:dyDescent="0.25">
      <c r="A1020" s="9"/>
      <c r="B1020" s="20"/>
      <c r="C1020" s="20"/>
      <c r="D1020" s="11"/>
      <c r="E1020" s="11"/>
      <c r="F1020" s="13"/>
      <c r="G1020" s="14"/>
      <c r="H1020" s="14" t="str">
        <f ca="1">IFERROR(__xludf.DUMMYFUNCTION("IFERROR(
  AVERAGE(
    FILTER(
      $E$2:$E1020,
      $A$2:$A1020 &gt;= A1020 - 30,
      $A$2:$A1020 &lt;= A1020,
      $E$2:$E1020 &gt; 0
    )
  ),
"""")"),"")</f>
        <v/>
      </c>
      <c r="I1020" s="14"/>
    </row>
    <row r="1021" spans="1:9" ht="15.75" customHeight="1" x14ac:dyDescent="0.25">
      <c r="A1021" s="9"/>
      <c r="B1021" s="20"/>
      <c r="C1021" s="20"/>
      <c r="D1021" s="11"/>
      <c r="E1021" s="11"/>
      <c r="F1021" s="13"/>
      <c r="G1021" s="14"/>
      <c r="H1021" s="14" t="str">
        <f ca="1">IFERROR(__xludf.DUMMYFUNCTION("IFERROR(
  AVERAGE(
    FILTER(
      $E$2:$E1021,
      $A$2:$A1021 &gt;= A1021 - 30,
      $A$2:$A1021 &lt;= A1021,
      $E$2:$E1021 &gt; 0
    )
  ),
"""")"),"")</f>
        <v/>
      </c>
      <c r="I1021" s="14"/>
    </row>
    <row r="1022" spans="1:9" ht="15.75" customHeight="1" x14ac:dyDescent="0.25">
      <c r="A1022" s="9"/>
      <c r="B1022" s="20"/>
      <c r="C1022" s="20"/>
      <c r="D1022" s="11"/>
      <c r="E1022" s="11"/>
      <c r="F1022" s="13"/>
      <c r="G1022" s="14"/>
      <c r="H1022" s="14" t="str">
        <f ca="1">IFERROR(__xludf.DUMMYFUNCTION("IFERROR(
  AVERAGE(
    FILTER(
      $E$2:$E1022,
      $A$2:$A1022 &gt;= A1022 - 30,
      $A$2:$A1022 &lt;= A1022,
      $E$2:$E1022 &gt; 0
    )
  ),
"""")"),"")</f>
        <v/>
      </c>
      <c r="I1022" s="14"/>
    </row>
    <row r="1023" spans="1:9" ht="15.75" customHeight="1" x14ac:dyDescent="0.25">
      <c r="A1023" s="9"/>
      <c r="B1023" s="20"/>
      <c r="C1023" s="20"/>
      <c r="D1023" s="11"/>
      <c r="E1023" s="11"/>
      <c r="F1023" s="13"/>
      <c r="G1023" s="14"/>
      <c r="H1023" s="14" t="str">
        <f ca="1">IFERROR(__xludf.DUMMYFUNCTION("IFERROR(
  AVERAGE(
    FILTER(
      $E$2:$E1023,
      $A$2:$A1023 &gt;= A1023 - 30,
      $A$2:$A1023 &lt;= A1023,
      $E$2:$E1023 &gt; 0
    )
  ),
"""")"),"")</f>
        <v/>
      </c>
      <c r="I1023" s="14"/>
    </row>
    <row r="1024" spans="1:9" ht="15.75" customHeight="1" x14ac:dyDescent="0.25">
      <c r="A1024" s="9"/>
      <c r="B1024" s="20"/>
      <c r="C1024" s="20"/>
      <c r="D1024" s="11"/>
      <c r="E1024" s="11"/>
      <c r="F1024" s="13"/>
      <c r="G1024" s="14"/>
      <c r="H1024" s="14" t="str">
        <f ca="1">IFERROR(__xludf.DUMMYFUNCTION("IFERROR(
  AVERAGE(
    FILTER(
      $E$2:$E1024,
      $A$2:$A1024 &gt;= A1024 - 30,
      $A$2:$A1024 &lt;= A1024,
      $E$2:$E1024 &gt; 0
    )
  ),
"""")"),"")</f>
        <v/>
      </c>
      <c r="I1024" s="14"/>
    </row>
    <row r="1025" spans="1:9" ht="15.75" customHeight="1" x14ac:dyDescent="0.25">
      <c r="A1025" s="9"/>
      <c r="B1025" s="20"/>
      <c r="C1025" s="20"/>
      <c r="D1025" s="11"/>
      <c r="E1025" s="11"/>
      <c r="F1025" s="13"/>
      <c r="G1025" s="14"/>
      <c r="H1025" s="14" t="str">
        <f ca="1">IFERROR(__xludf.DUMMYFUNCTION("IFERROR(
  AVERAGE(
    FILTER(
      $E$2:$E1025,
      $A$2:$A1025 &gt;= A1025 - 30,
      $A$2:$A1025 &lt;= A1025,
      $E$2:$E1025 &gt; 0
    )
  ),
"""")"),"")</f>
        <v/>
      </c>
      <c r="I1025" s="14"/>
    </row>
  </sheetData>
  <autoFilter ref="A1:I1025" xr:uid="{00000000-0009-0000-0000-000004000000}"/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WASTAGE - EXTRUSION</vt:lpstr>
      <vt:lpstr>WASTAGE- PRINTING LAMINTAION SL</vt:lpstr>
      <vt:lpstr>WASTAGE - POUCHING</vt:lpstr>
      <vt:lpstr>WASTAGE - PVC</vt:lpstr>
      <vt:lpstr>WASTAGE - WPP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caakash</cp:lastModifiedBy>
  <dcterms:modified xsi:type="dcterms:W3CDTF">2026-05-02T00:16:43Z</dcterms:modified>
</cp:coreProperties>
</file>